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wsl.localhost\Ubuntu-24.04\home\llantoin\dev\auditgen\auditgen-back\data\templates\"/>
    </mc:Choice>
  </mc:AlternateContent>
  <xr:revisionPtr revIDLastSave="0" documentId="13_ncr:1_{D96EDA62-F16B-4486-8874-A7D72D61F36D}" xr6:coauthVersionLast="47" xr6:coauthVersionMax="47" xr10:uidLastSave="{00000000-0000-0000-0000-000000000000}"/>
  <bookViews>
    <workbookView xWindow="1500" yWindow="-16080" windowWidth="21600" windowHeight="13665" tabRatio="961" xr2:uid="{2D8F9168-B74A-4D54-9119-867D24A6EFDD}"/>
  </bookViews>
  <sheets>
    <sheet name="Échantillon" sheetId="7" r:id="rId1"/>
    <sheet name="Synthèse" sheetId="4" r:id="rId2"/>
    <sheet name="Critères et tests" sheetId="3" r:id="rId3"/>
    <sheet name="Visualisation d'ensemble" sheetId="37" r:id="rId4"/>
    <sheet name="Transverse" sheetId="63" r:id="rId5"/>
    <sheet name="P01" sheetId="35" r:id="rId6"/>
    <sheet name="P02" sheetId="11" r:id="rId7"/>
    <sheet name="P03" sheetId="12" r:id="rId8"/>
    <sheet name="P04" sheetId="14" r:id="rId9"/>
    <sheet name="P05" sheetId="15" r:id="rId10"/>
    <sheet name="P06" sheetId="16" r:id="rId11"/>
    <sheet name="P07" sheetId="13" r:id="rId12"/>
    <sheet name="P08" sheetId="17" r:id="rId13"/>
    <sheet name="P09" sheetId="18" r:id="rId14"/>
    <sheet name="P10" sheetId="19" r:id="rId15"/>
    <sheet name="P11" sheetId="20" r:id="rId16"/>
    <sheet name="P12" sheetId="21" r:id="rId17"/>
    <sheet name="P13" sheetId="22" r:id="rId18"/>
    <sheet name="P14" sheetId="23" r:id="rId19"/>
    <sheet name="P15" sheetId="24" r:id="rId20"/>
    <sheet name="P16" sheetId="25" r:id="rId21"/>
    <sheet name="P17" sheetId="26" r:id="rId22"/>
    <sheet name="P18" sheetId="27" r:id="rId23"/>
    <sheet name="P19" sheetId="28" r:id="rId24"/>
    <sheet name="P20" sheetId="29" r:id="rId25"/>
    <sheet name="P21" sheetId="39" r:id="rId26"/>
    <sheet name="P22" sheetId="40" r:id="rId27"/>
    <sheet name="P23" sheetId="41" r:id="rId28"/>
    <sheet name="P24" sheetId="42" r:id="rId29"/>
    <sheet name="P25" sheetId="43" r:id="rId30"/>
    <sheet name="P26" sheetId="44" r:id="rId31"/>
    <sheet name="P27" sheetId="45" r:id="rId32"/>
    <sheet name="P28" sheetId="46" r:id="rId33"/>
    <sheet name="P29" sheetId="47" r:id="rId34"/>
    <sheet name="P30" sheetId="48" r:id="rId35"/>
    <sheet name="P31" sheetId="49" r:id="rId36"/>
    <sheet name="P32" sheetId="50" r:id="rId37"/>
    <sheet name="P33" sheetId="51" r:id="rId38"/>
    <sheet name="P34" sheetId="54" r:id="rId39"/>
    <sheet name="P35" sheetId="55" r:id="rId40"/>
    <sheet name="P36" sheetId="56" r:id="rId41"/>
    <sheet name="P37" sheetId="57" r:id="rId42"/>
    <sheet name="P38" sheetId="58" r:id="rId43"/>
    <sheet name="P39" sheetId="59" r:id="rId44"/>
    <sheet name="P40" sheetId="60" r:id="rId45"/>
  </sheets>
  <definedNames>
    <definedName name="_xlnm._FilterDatabase" localSheetId="2" hidden="1">'Critères et tests'!$A$2:$J$108</definedName>
    <definedName name="_xlnm._FilterDatabase" localSheetId="5" hidden="1">'P01'!$A$3:$K$109</definedName>
    <definedName name="_xlnm._FilterDatabase" localSheetId="6" hidden="1">'P02'!$A$3:$K$3</definedName>
    <definedName name="_xlnm._FilterDatabase" localSheetId="7" hidden="1">'P03'!$A$3:$K$3</definedName>
    <definedName name="_xlnm._FilterDatabase" localSheetId="8" hidden="1">'P04'!$A$1:$K$112</definedName>
    <definedName name="_xlnm._FilterDatabase" localSheetId="9" hidden="1">'P05'!$A$1:$K$112</definedName>
    <definedName name="_xlnm._FilterDatabase" localSheetId="10" hidden="1">'P06'!$A$3:$K$3</definedName>
    <definedName name="_xlnm._FilterDatabase" localSheetId="11" hidden="1">'P07'!$A$3:$K$3</definedName>
    <definedName name="_xlnm._FilterDatabase" localSheetId="12" hidden="1">'P08'!$A$3:$K$3</definedName>
    <definedName name="_xlnm._FilterDatabase" localSheetId="13" hidden="1">'P09'!$A$3:$K$3</definedName>
    <definedName name="_xlnm._FilterDatabase" localSheetId="14" hidden="1">'P10'!$A$3:$K$3</definedName>
    <definedName name="_xlnm._FilterDatabase" localSheetId="15" hidden="1">'P11'!$A$3:$K$3</definedName>
    <definedName name="_xlnm._FilterDatabase" localSheetId="16" hidden="1">'P12'!$A$3:$K$3</definedName>
    <definedName name="_xlnm._FilterDatabase" localSheetId="17" hidden="1">'P13'!$A$3:$K$3</definedName>
    <definedName name="_xlnm._FilterDatabase" localSheetId="18" hidden="1">'P14'!$A$3:$K$3</definedName>
    <definedName name="_xlnm._FilterDatabase" localSheetId="19" hidden="1">'P15'!$A$3:$K$3</definedName>
    <definedName name="_xlnm._FilterDatabase" localSheetId="20" hidden="1">'P16'!$A$3:$K$3</definedName>
    <definedName name="_xlnm._FilterDatabase" localSheetId="21" hidden="1">'P17'!$A$3:$K$3</definedName>
    <definedName name="_xlnm._FilterDatabase" localSheetId="22" hidden="1">'P18'!$A$3:$K$3</definedName>
    <definedName name="_xlnm._FilterDatabase" localSheetId="23" hidden="1">'P19'!$A$3:$K$3</definedName>
    <definedName name="_xlnm._FilterDatabase" localSheetId="24" hidden="1">'P20'!$A$3:$K$3</definedName>
    <definedName name="_xlnm._FilterDatabase" localSheetId="25" hidden="1">'P21'!$A$3:$K$3</definedName>
    <definedName name="_xlnm._FilterDatabase" localSheetId="26" hidden="1">'P22'!$A$3:$K$3</definedName>
    <definedName name="_xlnm._FilterDatabase" localSheetId="27" hidden="1">'P23'!$A$3:$K$3</definedName>
    <definedName name="_xlnm._FilterDatabase" localSheetId="28" hidden="1">'P24'!$A$3:$K$3</definedName>
    <definedName name="_xlnm._FilterDatabase" localSheetId="29" hidden="1">'P25'!$A$3:$K$3</definedName>
    <definedName name="_xlnm._FilterDatabase" localSheetId="30" hidden="1">'P26'!$A$3:$K$3</definedName>
    <definedName name="_xlnm._FilterDatabase" localSheetId="31" hidden="1">'P27'!$A$3:$K$3</definedName>
    <definedName name="_xlnm._FilterDatabase" localSheetId="32" hidden="1">'P28'!$A$3:$K$3</definedName>
    <definedName name="_xlnm._FilterDatabase" localSheetId="33" hidden="1">'P29'!$A$3:$K$3</definedName>
    <definedName name="_xlnm._FilterDatabase" localSheetId="34" hidden="1">'P30'!$A$3:$K$3</definedName>
    <definedName name="_xlnm._FilterDatabase" localSheetId="35" hidden="1">'P31'!$A$3:$K$3</definedName>
    <definedName name="_xlnm._FilterDatabase" localSheetId="36" hidden="1">'P32'!$A$3:$K$3</definedName>
    <definedName name="_xlnm._FilterDatabase" localSheetId="37" hidden="1">'P33'!$A$3:$K$3</definedName>
    <definedName name="_xlnm._FilterDatabase" localSheetId="38" hidden="1">'P34'!$A$3:$K$3</definedName>
    <definedName name="_xlnm._FilterDatabase" localSheetId="39" hidden="1">'P35'!$A$3:$K$3</definedName>
    <definedName name="_xlnm._FilterDatabase" localSheetId="40" hidden="1">'P36'!$A$3:$K$3</definedName>
    <definedName name="_xlnm._FilterDatabase" localSheetId="41" hidden="1">'P37'!$A$3:$K$3</definedName>
    <definedName name="_xlnm._FilterDatabase" localSheetId="42" hidden="1">'P38'!$A$3:$K$3</definedName>
    <definedName name="_xlnm._FilterDatabase" localSheetId="43" hidden="1">'P39'!$A$3:$K$3</definedName>
    <definedName name="_xlnm._FilterDatabase" localSheetId="44" hidden="1">'P40'!$A$3:$K$3</definedName>
    <definedName name="_xlnm._FilterDatabase" localSheetId="4" hidden="1">Transverse!$A$3:$K$109</definedName>
    <definedName name="_xlnm._FilterDatabase" localSheetId="3" hidden="1">'Visualisation d''ensemble'!$A$7:$CN$7</definedName>
    <definedName name="C_">#REF!</definedName>
    <definedName name="Critères_respectés">#REF!</definedName>
    <definedName name="P21_">Échantillon!$A$32</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63" l="1"/>
  <c r="A5" i="63"/>
  <c r="A6" i="63"/>
  <c r="A7" i="63"/>
  <c r="A8" i="63"/>
  <c r="A9" i="63"/>
  <c r="A10" i="63"/>
  <c r="A11" i="63"/>
  <c r="A12" i="63"/>
  <c r="A13" i="63"/>
  <c r="A14" i="63"/>
  <c r="A15" i="63"/>
  <c r="A16" i="63"/>
  <c r="A17" i="63"/>
  <c r="A18" i="63"/>
  <c r="A19" i="63"/>
  <c r="A20" i="63"/>
  <c r="A21" i="63"/>
  <c r="A22" i="63"/>
  <c r="A23" i="63"/>
  <c r="A24" i="63"/>
  <c r="A25" i="63"/>
  <c r="A26" i="63"/>
  <c r="A27" i="63"/>
  <c r="A28" i="63"/>
  <c r="A29" i="63"/>
  <c r="A30" i="63"/>
  <c r="A31" i="63"/>
  <c r="A32" i="63"/>
  <c r="A33" i="63"/>
  <c r="A34" i="63"/>
  <c r="A35" i="63"/>
  <c r="A36" i="63"/>
  <c r="A37" i="63"/>
  <c r="A38" i="63"/>
  <c r="A39" i="63"/>
  <c r="A40" i="63"/>
  <c r="A41" i="63"/>
  <c r="A42" i="63"/>
  <c r="A43" i="63"/>
  <c r="A44" i="63"/>
  <c r="A45" i="63"/>
  <c r="A46" i="63"/>
  <c r="A47" i="63"/>
  <c r="A48" i="63"/>
  <c r="A49" i="63"/>
  <c r="A50" i="63"/>
  <c r="A51" i="63"/>
  <c r="A52" i="63"/>
  <c r="A53" i="63"/>
  <c r="A54" i="63"/>
  <c r="A55" i="63"/>
  <c r="A56" i="63"/>
  <c r="A57" i="63"/>
  <c r="A58" i="63"/>
  <c r="A59" i="63"/>
  <c r="A60" i="63"/>
  <c r="A61" i="63"/>
  <c r="A62" i="63"/>
  <c r="A63" i="63"/>
  <c r="A64" i="63"/>
  <c r="A65" i="63"/>
  <c r="A66" i="63"/>
  <c r="A67" i="63"/>
  <c r="A68" i="63"/>
  <c r="A69" i="63"/>
  <c r="A70" i="63"/>
  <c r="A71" i="63"/>
  <c r="A72" i="63"/>
  <c r="A73" i="63"/>
  <c r="A74" i="63"/>
  <c r="A75" i="63"/>
  <c r="A76" i="63"/>
  <c r="A77" i="63"/>
  <c r="A78" i="63"/>
  <c r="A79" i="63"/>
  <c r="A80" i="63"/>
  <c r="A81" i="63"/>
  <c r="A82" i="63"/>
  <c r="A83" i="63"/>
  <c r="A84" i="63"/>
  <c r="A85" i="63"/>
  <c r="A86" i="63"/>
  <c r="A87" i="63"/>
  <c r="A88" i="63"/>
  <c r="A89" i="63"/>
  <c r="A90" i="63"/>
  <c r="A91" i="63"/>
  <c r="A92" i="63"/>
  <c r="A93" i="63"/>
  <c r="A94" i="63"/>
  <c r="A95" i="63"/>
  <c r="A96" i="63"/>
  <c r="A97" i="63"/>
  <c r="A98" i="63"/>
  <c r="A99" i="63"/>
  <c r="A100" i="63"/>
  <c r="A101" i="63"/>
  <c r="A102" i="63"/>
  <c r="A103" i="63"/>
  <c r="A104" i="63"/>
  <c r="A105" i="63"/>
  <c r="A106" i="63"/>
  <c r="A107" i="63"/>
  <c r="A108" i="63"/>
  <c r="A109" i="63"/>
  <c r="A3" i="63"/>
  <c r="A3" i="35"/>
  <c r="A109" i="60"/>
  <c r="A108" i="60"/>
  <c r="A107" i="60"/>
  <c r="A106" i="60"/>
  <c r="A105" i="60"/>
  <c r="A104" i="60"/>
  <c r="A103" i="60"/>
  <c r="A102" i="60"/>
  <c r="A101" i="60"/>
  <c r="A100" i="60"/>
  <c r="A99" i="60"/>
  <c r="A98" i="60"/>
  <c r="A97" i="60"/>
  <c r="A96" i="60"/>
  <c r="A95" i="60"/>
  <c r="A94" i="60"/>
  <c r="A93" i="60"/>
  <c r="A92" i="60"/>
  <c r="A91" i="60"/>
  <c r="A90" i="60"/>
  <c r="A89" i="60"/>
  <c r="A88" i="60"/>
  <c r="A87" i="60"/>
  <c r="A86" i="60"/>
  <c r="A85" i="60"/>
  <c r="A84" i="60"/>
  <c r="A83" i="60"/>
  <c r="A82" i="60"/>
  <c r="A81" i="60"/>
  <c r="A80" i="60"/>
  <c r="A79" i="60"/>
  <c r="A78" i="60"/>
  <c r="A77" i="60"/>
  <c r="A76" i="60"/>
  <c r="A75" i="60"/>
  <c r="A74" i="60"/>
  <c r="A73" i="60"/>
  <c r="A72" i="60"/>
  <c r="A71" i="60"/>
  <c r="A70" i="60"/>
  <c r="A69" i="60"/>
  <c r="A68" i="60"/>
  <c r="A67" i="60"/>
  <c r="A66" i="60"/>
  <c r="A65" i="60"/>
  <c r="A64" i="60"/>
  <c r="A63" i="60"/>
  <c r="A62" i="60"/>
  <c r="A61" i="60"/>
  <c r="A60" i="60"/>
  <c r="A59" i="60"/>
  <c r="A58" i="60"/>
  <c r="A57" i="60"/>
  <c r="A56" i="60"/>
  <c r="A55" i="60"/>
  <c r="A54" i="60"/>
  <c r="A53" i="60"/>
  <c r="A52" i="60"/>
  <c r="A51" i="60"/>
  <c r="A50" i="60"/>
  <c r="A49" i="60"/>
  <c r="A48" i="60"/>
  <c r="A47" i="60"/>
  <c r="A46" i="60"/>
  <c r="A45" i="60"/>
  <c r="A44" i="60"/>
  <c r="A43" i="60"/>
  <c r="A42" i="60"/>
  <c r="A41" i="60"/>
  <c r="A40" i="60"/>
  <c r="A39" i="60"/>
  <c r="A38" i="60"/>
  <c r="A37" i="60"/>
  <c r="A36" i="60"/>
  <c r="A35" i="60"/>
  <c r="A34" i="60"/>
  <c r="A33" i="60"/>
  <c r="A32" i="60"/>
  <c r="A31" i="60"/>
  <c r="A30" i="60"/>
  <c r="A29" i="60"/>
  <c r="A28" i="60"/>
  <c r="A27" i="60"/>
  <c r="A26" i="60"/>
  <c r="A25" i="60"/>
  <c r="A24" i="60"/>
  <c r="A23" i="60"/>
  <c r="A22" i="60"/>
  <c r="A21" i="60"/>
  <c r="A20" i="60"/>
  <c r="A19" i="60"/>
  <c r="A18" i="60"/>
  <c r="A17" i="60"/>
  <c r="A16" i="60"/>
  <c r="A15" i="60"/>
  <c r="A14" i="60"/>
  <c r="A13" i="60"/>
  <c r="A12" i="60"/>
  <c r="A11" i="60"/>
  <c r="A10" i="60"/>
  <c r="A9" i="60"/>
  <c r="A8" i="60"/>
  <c r="A7" i="60"/>
  <c r="A6" i="60"/>
  <c r="A5" i="60"/>
  <c r="A4" i="60"/>
  <c r="A3" i="60"/>
  <c r="A109" i="59"/>
  <c r="A108" i="59"/>
  <c r="A107" i="59"/>
  <c r="A106" i="59"/>
  <c r="A105" i="59"/>
  <c r="A104" i="59"/>
  <c r="A103" i="59"/>
  <c r="A102" i="59"/>
  <c r="A101" i="59"/>
  <c r="A100" i="59"/>
  <c r="A99" i="59"/>
  <c r="A98" i="59"/>
  <c r="A97" i="59"/>
  <c r="A96" i="59"/>
  <c r="A95" i="59"/>
  <c r="A94" i="59"/>
  <c r="A93" i="59"/>
  <c r="A92" i="59"/>
  <c r="A91" i="59"/>
  <c r="A90" i="59"/>
  <c r="A89" i="59"/>
  <c r="A88" i="59"/>
  <c r="A8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A6" i="59"/>
  <c r="A5" i="59"/>
  <c r="A4" i="59"/>
  <c r="A3" i="59"/>
  <c r="A109" i="58"/>
  <c r="A108" i="58"/>
  <c r="A107" i="58"/>
  <c r="A106" i="58"/>
  <c r="A105" i="58"/>
  <c r="A104" i="58"/>
  <c r="A103" i="58"/>
  <c r="A102" i="58"/>
  <c r="A101" i="58"/>
  <c r="A100" i="58"/>
  <c r="A99" i="58"/>
  <c r="A98" i="58"/>
  <c r="A97" i="58"/>
  <c r="A96" i="58"/>
  <c r="A95" i="58"/>
  <c r="A94" i="58"/>
  <c r="A93" i="58"/>
  <c r="A92" i="58"/>
  <c r="A91" i="58"/>
  <c r="A90" i="58"/>
  <c r="A89" i="58"/>
  <c r="A88" i="58"/>
  <c r="A87" i="58"/>
  <c r="A86" i="58"/>
  <c r="A85" i="58"/>
  <c r="A84" i="58"/>
  <c r="A83" i="58"/>
  <c r="A82" i="58"/>
  <c r="A81" i="58"/>
  <c r="A80" i="58"/>
  <c r="A79" i="58"/>
  <c r="A78" i="58"/>
  <c r="A77" i="58"/>
  <c r="A76" i="58"/>
  <c r="A75" i="58"/>
  <c r="A74" i="58"/>
  <c r="A73" i="58"/>
  <c r="A72" i="58"/>
  <c r="A71" i="58"/>
  <c r="A70" i="58"/>
  <c r="A69" i="58"/>
  <c r="A68" i="58"/>
  <c r="A67" i="58"/>
  <c r="A66" i="58"/>
  <c r="A65" i="58"/>
  <c r="A64" i="58"/>
  <c r="A63" i="58"/>
  <c r="A62" i="58"/>
  <c r="A61" i="58"/>
  <c r="A60" i="58"/>
  <c r="A59" i="58"/>
  <c r="A58" i="58"/>
  <c r="A57" i="58"/>
  <c r="A56" i="58"/>
  <c r="A55" i="58"/>
  <c r="A54" i="58"/>
  <c r="A53" i="58"/>
  <c r="A52" i="58"/>
  <c r="A51" i="58"/>
  <c r="A50" i="58"/>
  <c r="A49" i="58"/>
  <c r="A48" i="58"/>
  <c r="A47" i="58"/>
  <c r="A46" i="58"/>
  <c r="A45" i="58"/>
  <c r="A44" i="58"/>
  <c r="A43" i="58"/>
  <c r="A42" i="58"/>
  <c r="A41" i="58"/>
  <c r="A40" i="58"/>
  <c r="A39" i="58"/>
  <c r="A38" i="58"/>
  <c r="A37" i="58"/>
  <c r="A36" i="58"/>
  <c r="A35" i="58"/>
  <c r="A34" i="58"/>
  <c r="A33" i="58"/>
  <c r="A32" i="58"/>
  <c r="A31" i="58"/>
  <c r="A30" i="58"/>
  <c r="A29" i="58"/>
  <c r="A28" i="58"/>
  <c r="A27" i="58"/>
  <c r="A26" i="58"/>
  <c r="A25" i="58"/>
  <c r="A24" i="58"/>
  <c r="A23" i="58"/>
  <c r="A22" i="58"/>
  <c r="A21" i="58"/>
  <c r="A20" i="58"/>
  <c r="A19" i="58"/>
  <c r="A18" i="58"/>
  <c r="A17" i="58"/>
  <c r="A16" i="58"/>
  <c r="A15" i="58"/>
  <c r="A14" i="58"/>
  <c r="A13" i="58"/>
  <c r="A12" i="58"/>
  <c r="A11" i="58"/>
  <c r="A10" i="58"/>
  <c r="A9" i="58"/>
  <c r="A8" i="58"/>
  <c r="A7" i="58"/>
  <c r="A6" i="58"/>
  <c r="A5" i="58"/>
  <c r="A4" i="58"/>
  <c r="A3" i="58"/>
  <c r="A109" i="57"/>
  <c r="A108" i="57"/>
  <c r="A107" i="57"/>
  <c r="A106" i="57"/>
  <c r="A105" i="57"/>
  <c r="A104" i="57"/>
  <c r="A103" i="57"/>
  <c r="A102" i="57"/>
  <c r="A101" i="57"/>
  <c r="A100" i="57"/>
  <c r="A99" i="57"/>
  <c r="A98" i="57"/>
  <c r="A97" i="57"/>
  <c r="A96" i="57"/>
  <c r="A95" i="57"/>
  <c r="A94" i="57"/>
  <c r="A93" i="57"/>
  <c r="A92" i="57"/>
  <c r="A91" i="57"/>
  <c r="A90" i="57"/>
  <c r="A89" i="57"/>
  <c r="A88" i="57"/>
  <c r="A87" i="57"/>
  <c r="A86" i="57"/>
  <c r="A85" i="57"/>
  <c r="A84" i="57"/>
  <c r="A83" i="57"/>
  <c r="A82" i="57"/>
  <c r="A81" i="57"/>
  <c r="A80" i="57"/>
  <c r="A79" i="57"/>
  <c r="A78" i="57"/>
  <c r="A77" i="57"/>
  <c r="A76" i="57"/>
  <c r="A75" i="57"/>
  <c r="A74" i="57"/>
  <c r="A73" i="57"/>
  <c r="A72" i="57"/>
  <c r="A71" i="57"/>
  <c r="A70" i="57"/>
  <c r="A69" i="57"/>
  <c r="A68" i="57"/>
  <c r="A67" i="57"/>
  <c r="A66" i="57"/>
  <c r="A65" i="57"/>
  <c r="A64" i="57"/>
  <c r="A63" i="57"/>
  <c r="A62" i="57"/>
  <c r="A61" i="57"/>
  <c r="A60" i="57"/>
  <c r="A59" i="57"/>
  <c r="A58" i="57"/>
  <c r="A57" i="57"/>
  <c r="A56" i="57"/>
  <c r="A55" i="57"/>
  <c r="A54" i="57"/>
  <c r="A53" i="57"/>
  <c r="A52" i="57"/>
  <c r="A51" i="57"/>
  <c r="A50" i="57"/>
  <c r="A49" i="57"/>
  <c r="A48" i="57"/>
  <c r="A47" i="57"/>
  <c r="A46" i="57"/>
  <c r="A45" i="57"/>
  <c r="A44" i="57"/>
  <c r="A43" i="57"/>
  <c r="A42" i="57"/>
  <c r="A41" i="57"/>
  <c r="A40" i="57"/>
  <c r="A39" i="57"/>
  <c r="A38" i="57"/>
  <c r="A37" i="57"/>
  <c r="A36" i="57"/>
  <c r="A35" i="57"/>
  <c r="A34" i="57"/>
  <c r="A33" i="57"/>
  <c r="A32" i="57"/>
  <c r="A31" i="57"/>
  <c r="A30" i="57"/>
  <c r="A29" i="57"/>
  <c r="A28" i="57"/>
  <c r="A27" i="57"/>
  <c r="A26" i="57"/>
  <c r="A25" i="57"/>
  <c r="A24" i="57"/>
  <c r="A23" i="57"/>
  <c r="A22" i="57"/>
  <c r="A21" i="57"/>
  <c r="A20" i="57"/>
  <c r="A19" i="57"/>
  <c r="A18" i="57"/>
  <c r="A17" i="57"/>
  <c r="A16" i="57"/>
  <c r="A15" i="57"/>
  <c r="A14" i="57"/>
  <c r="A13" i="57"/>
  <c r="A12" i="57"/>
  <c r="A11" i="57"/>
  <c r="A10" i="57"/>
  <c r="A9" i="57"/>
  <c r="A8" i="57"/>
  <c r="A7" i="57"/>
  <c r="A6" i="57"/>
  <c r="A5" i="57"/>
  <c r="A4" i="57"/>
  <c r="A3" i="57"/>
  <c r="A109" i="56"/>
  <c r="A108" i="56"/>
  <c r="A107" i="56"/>
  <c r="A106" i="56"/>
  <c r="A105" i="56"/>
  <c r="A104" i="56"/>
  <c r="A103" i="56"/>
  <c r="A102" i="56"/>
  <c r="A101" i="56"/>
  <c r="A100" i="56"/>
  <c r="A99" i="56"/>
  <c r="A98" i="56"/>
  <c r="A97" i="56"/>
  <c r="A96" i="56"/>
  <c r="A95" i="56"/>
  <c r="A94" i="56"/>
  <c r="A93" i="56"/>
  <c r="A92" i="56"/>
  <c r="A91" i="56"/>
  <c r="A90" i="56"/>
  <c r="A89" i="56"/>
  <c r="A88" i="56"/>
  <c r="A87" i="56"/>
  <c r="A86" i="56"/>
  <c r="A85" i="56"/>
  <c r="A84" i="56"/>
  <c r="A83" i="56"/>
  <c r="A82" i="56"/>
  <c r="A81" i="56"/>
  <c r="A80" i="56"/>
  <c r="A79" i="56"/>
  <c r="A78" i="56"/>
  <c r="A77" i="56"/>
  <c r="A76" i="56"/>
  <c r="A75" i="56"/>
  <c r="A74" i="56"/>
  <c r="A73" i="56"/>
  <c r="A72" i="56"/>
  <c r="A71" i="56"/>
  <c r="A70" i="56"/>
  <c r="A69" i="56"/>
  <c r="A68" i="56"/>
  <c r="A67" i="56"/>
  <c r="A66" i="56"/>
  <c r="A65" i="56"/>
  <c r="A64" i="56"/>
  <c r="A63" i="56"/>
  <c r="A62" i="56"/>
  <c r="A61" i="56"/>
  <c r="A60" i="56"/>
  <c r="A59" i="56"/>
  <c r="A58" i="56"/>
  <c r="A57" i="56"/>
  <c r="A56" i="56"/>
  <c r="A55" i="56"/>
  <c r="A54" i="56"/>
  <c r="A53" i="56"/>
  <c r="A52" i="56"/>
  <c r="A51" i="56"/>
  <c r="A50" i="56"/>
  <c r="A49" i="56"/>
  <c r="A48" i="56"/>
  <c r="A47" i="56"/>
  <c r="A46" i="56"/>
  <c r="A45" i="56"/>
  <c r="A44" i="56"/>
  <c r="A43" i="56"/>
  <c r="A42" i="56"/>
  <c r="A41" i="56"/>
  <c r="A40" i="56"/>
  <c r="A39" i="56"/>
  <c r="A38" i="56"/>
  <c r="A37" i="56"/>
  <c r="A36" i="56"/>
  <c r="A35" i="56"/>
  <c r="A34" i="56"/>
  <c r="A33"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6" i="56"/>
  <c r="A5" i="56"/>
  <c r="A4" i="56"/>
  <c r="A3" i="56"/>
  <c r="A109" i="55"/>
  <c r="A108" i="55"/>
  <c r="A107" i="55"/>
  <c r="A106" i="55"/>
  <c r="A105" i="55"/>
  <c r="A104" i="55"/>
  <c r="A103" i="55"/>
  <c r="A102" i="55"/>
  <c r="A101" i="55"/>
  <c r="A100" i="55"/>
  <c r="A99" i="55"/>
  <c r="A98" i="55"/>
  <c r="A97" i="55"/>
  <c r="A96" i="55"/>
  <c r="A95" i="55"/>
  <c r="A94" i="55"/>
  <c r="A93" i="55"/>
  <c r="A92" i="55"/>
  <c r="A91" i="55"/>
  <c r="A90" i="55"/>
  <c r="A89" i="55"/>
  <c r="A88" i="55"/>
  <c r="A87" i="55"/>
  <c r="A86" i="55"/>
  <c r="A85" i="55"/>
  <c r="A84" i="55"/>
  <c r="A83" i="55"/>
  <c r="A82" i="55"/>
  <c r="A81" i="55"/>
  <c r="A80" i="55"/>
  <c r="A79" i="55"/>
  <c r="A78" i="55"/>
  <c r="A77" i="55"/>
  <c r="A76" i="55"/>
  <c r="A75" i="55"/>
  <c r="A74" i="55"/>
  <c r="A73" i="55"/>
  <c r="A72" i="55"/>
  <c r="A71" i="55"/>
  <c r="A70" i="55"/>
  <c r="A69" i="55"/>
  <c r="A68" i="55"/>
  <c r="A67" i="55"/>
  <c r="A66" i="55"/>
  <c r="A65" i="55"/>
  <c r="A64" i="55"/>
  <c r="A63" i="55"/>
  <c r="A62" i="55"/>
  <c r="A61" i="55"/>
  <c r="A60" i="55"/>
  <c r="A59" i="55"/>
  <c r="A58" i="55"/>
  <c r="A57" i="55"/>
  <c r="A56" i="55"/>
  <c r="A55" i="55"/>
  <c r="A54" i="55"/>
  <c r="A53" i="55"/>
  <c r="A52" i="55"/>
  <c r="A51" i="55"/>
  <c r="A50" i="55"/>
  <c r="A49" i="55"/>
  <c r="A48" i="55"/>
  <c r="A47" i="55"/>
  <c r="A46" i="55"/>
  <c r="A45" i="55"/>
  <c r="A44" i="55"/>
  <c r="A43" i="55"/>
  <c r="A42" i="55"/>
  <c r="A41" i="55"/>
  <c r="A40" i="55"/>
  <c r="A39" i="55"/>
  <c r="A38" i="55"/>
  <c r="A37" i="55"/>
  <c r="A36" i="55"/>
  <c r="A35" i="55"/>
  <c r="A34" i="55"/>
  <c r="A33"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6" i="55"/>
  <c r="A5" i="55"/>
  <c r="A4" i="55"/>
  <c r="A3" i="55"/>
  <c r="A109" i="54"/>
  <c r="A108" i="54"/>
  <c r="A107" i="54"/>
  <c r="A106" i="54"/>
  <c r="A105" i="54"/>
  <c r="A104" i="54"/>
  <c r="A103" i="54"/>
  <c r="A102" i="54"/>
  <c r="A101" i="54"/>
  <c r="A100" i="54"/>
  <c r="A99" i="54"/>
  <c r="A98" i="54"/>
  <c r="A97" i="54"/>
  <c r="A96" i="54"/>
  <c r="A95" i="54"/>
  <c r="A94" i="54"/>
  <c r="A93" i="54"/>
  <c r="A92" i="54"/>
  <c r="A91" i="54"/>
  <c r="A90" i="54"/>
  <c r="A89" i="54"/>
  <c r="A88" i="54"/>
  <c r="A87" i="54"/>
  <c r="A86" i="54"/>
  <c r="A85" i="54"/>
  <c r="A84" i="54"/>
  <c r="A83" i="54"/>
  <c r="A82" i="54"/>
  <c r="A81" i="54"/>
  <c r="A80" i="54"/>
  <c r="A79" i="54"/>
  <c r="A78" i="54"/>
  <c r="A77" i="54"/>
  <c r="A76" i="54"/>
  <c r="A75" i="54"/>
  <c r="A74" i="54"/>
  <c r="A73" i="54"/>
  <c r="A72" i="54"/>
  <c r="A71" i="54"/>
  <c r="A70" i="54"/>
  <c r="A69" i="54"/>
  <c r="A68" i="54"/>
  <c r="A67" i="54"/>
  <c r="A66" i="54"/>
  <c r="A65" i="54"/>
  <c r="A64" i="54"/>
  <c r="A63" i="54"/>
  <c r="A62" i="54"/>
  <c r="A61" i="54"/>
  <c r="A60" i="54"/>
  <c r="A59" i="54"/>
  <c r="A58" i="54"/>
  <c r="A57" i="54"/>
  <c r="A56" i="54"/>
  <c r="A55" i="54"/>
  <c r="A54" i="54"/>
  <c r="A53" i="54"/>
  <c r="A52" i="54"/>
  <c r="A51" i="54"/>
  <c r="A50" i="54"/>
  <c r="A49" i="54"/>
  <c r="A48" i="54"/>
  <c r="A47" i="54"/>
  <c r="A46" i="54"/>
  <c r="A45" i="54"/>
  <c r="A44" i="54"/>
  <c r="A43" i="54"/>
  <c r="A42" i="54"/>
  <c r="A41" i="54"/>
  <c r="A40" i="54"/>
  <c r="A39" i="54"/>
  <c r="A38" i="54"/>
  <c r="A37" i="54"/>
  <c r="A36" i="54"/>
  <c r="A35" i="54"/>
  <c r="A34" i="54"/>
  <c r="A33" i="54"/>
  <c r="A32" i="54"/>
  <c r="A31" i="54"/>
  <c r="A30" i="54"/>
  <c r="A29" i="54"/>
  <c r="A28" i="54"/>
  <c r="A27" i="54"/>
  <c r="A26" i="54"/>
  <c r="A25" i="54"/>
  <c r="A24" i="54"/>
  <c r="A23" i="54"/>
  <c r="A22" i="54"/>
  <c r="A21" i="54"/>
  <c r="A20" i="54"/>
  <c r="A19" i="54"/>
  <c r="A18" i="54"/>
  <c r="A17" i="54"/>
  <c r="A16" i="54"/>
  <c r="A15" i="54"/>
  <c r="A14" i="54"/>
  <c r="A13" i="54"/>
  <c r="A12" i="54"/>
  <c r="A11" i="54"/>
  <c r="A10" i="54"/>
  <c r="A9" i="54"/>
  <c r="A8" i="54"/>
  <c r="A7" i="54"/>
  <c r="A6" i="54"/>
  <c r="A5" i="54"/>
  <c r="A4" i="54"/>
  <c r="A3" i="54"/>
  <c r="A109" i="51"/>
  <c r="A108" i="51"/>
  <c r="A107" i="51"/>
  <c r="A106" i="51"/>
  <c r="A105" i="51"/>
  <c r="A104" i="51"/>
  <c r="A103" i="51"/>
  <c r="A102" i="51"/>
  <c r="A101" i="51"/>
  <c r="A100" i="51"/>
  <c r="A99" i="51"/>
  <c r="A98" i="51"/>
  <c r="A97" i="51"/>
  <c r="A96" i="51"/>
  <c r="A95" i="51"/>
  <c r="A94" i="51"/>
  <c r="A93" i="51"/>
  <c r="A92" i="51"/>
  <c r="A91" i="51"/>
  <c r="A90" i="51"/>
  <c r="A89" i="51"/>
  <c r="A88" i="51"/>
  <c r="A87" i="51"/>
  <c r="A86" i="51"/>
  <c r="A85" i="51"/>
  <c r="A84" i="51"/>
  <c r="A83" i="51"/>
  <c r="A82" i="51"/>
  <c r="A81" i="51"/>
  <c r="A80" i="51"/>
  <c r="A79" i="51"/>
  <c r="A78" i="51"/>
  <c r="A77" i="51"/>
  <c r="A76" i="51"/>
  <c r="A75" i="51"/>
  <c r="A74" i="51"/>
  <c r="A73" i="51"/>
  <c r="A72" i="51"/>
  <c r="A71" i="51"/>
  <c r="A70" i="51"/>
  <c r="A69" i="51"/>
  <c r="A68" i="51"/>
  <c r="A67" i="51"/>
  <c r="A66" i="51"/>
  <c r="A65" i="51"/>
  <c r="A64" i="51"/>
  <c r="A63" i="51"/>
  <c r="A62" i="51"/>
  <c r="A61" i="51"/>
  <c r="A60" i="51"/>
  <c r="A59" i="51"/>
  <c r="A58" i="51"/>
  <c r="A57" i="51"/>
  <c r="A56" i="51"/>
  <c r="A55" i="51"/>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 i="51"/>
  <c r="A4" i="51"/>
  <c r="A3" i="51"/>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5" i="50"/>
  <c r="A4" i="50"/>
  <c r="A3" i="50"/>
  <c r="A109" i="49"/>
  <c r="A108" i="49"/>
  <c r="A107" i="49"/>
  <c r="A106" i="49"/>
  <c r="A105" i="49"/>
  <c r="A104" i="49"/>
  <c r="A103" i="49"/>
  <c r="A102" i="49"/>
  <c r="A101" i="49"/>
  <c r="A100" i="49"/>
  <c r="A99" i="49"/>
  <c r="A98" i="49"/>
  <c r="A97" i="49"/>
  <c r="A96" i="49"/>
  <c r="A95" i="49"/>
  <c r="A94" i="49"/>
  <c r="A93" i="49"/>
  <c r="A92" i="49"/>
  <c r="A91" i="49"/>
  <c r="A90" i="49"/>
  <c r="A89" i="49"/>
  <c r="A88" i="49"/>
  <c r="A87" i="49"/>
  <c r="A86" i="49"/>
  <c r="A85" i="49"/>
  <c r="A84" i="49"/>
  <c r="A83" i="49"/>
  <c r="A82" i="49"/>
  <c r="A81" i="49"/>
  <c r="A80" i="49"/>
  <c r="A79" i="49"/>
  <c r="A78" i="49"/>
  <c r="A77" i="49"/>
  <c r="A76" i="49"/>
  <c r="A75" i="49"/>
  <c r="A74" i="49"/>
  <c r="A73" i="49"/>
  <c r="A72" i="49"/>
  <c r="A71" i="49"/>
  <c r="A70" i="49"/>
  <c r="A69" i="49"/>
  <c r="A68" i="49"/>
  <c r="A67" i="49"/>
  <c r="A66" i="49"/>
  <c r="A65" i="49"/>
  <c r="A64" i="49"/>
  <c r="A63" i="49"/>
  <c r="A62" i="49"/>
  <c r="A61" i="49"/>
  <c r="A60" i="49"/>
  <c r="A59" i="49"/>
  <c r="A58" i="49"/>
  <c r="A57" i="49"/>
  <c r="A56" i="49"/>
  <c r="A55" i="49"/>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5" i="49"/>
  <c r="A4" i="49"/>
  <c r="A3" i="49"/>
  <c r="A109" i="48"/>
  <c r="A108" i="48"/>
  <c r="A107" i="48"/>
  <c r="A106" i="48"/>
  <c r="A105" i="48"/>
  <c r="A104" i="48"/>
  <c r="A103" i="48"/>
  <c r="A102" i="48"/>
  <c r="A101" i="48"/>
  <c r="A100" i="48"/>
  <c r="A99" i="48"/>
  <c r="A98" i="48"/>
  <c r="A97" i="48"/>
  <c r="A96" i="48"/>
  <c r="A95" i="48"/>
  <c r="A94" i="48"/>
  <c r="A93" i="48"/>
  <c r="A92" i="48"/>
  <c r="A91" i="48"/>
  <c r="A90" i="48"/>
  <c r="A89" i="48"/>
  <c r="A88" i="48"/>
  <c r="A87" i="48"/>
  <c r="A86" i="48"/>
  <c r="A85" i="48"/>
  <c r="A84" i="48"/>
  <c r="A83" i="48"/>
  <c r="A82" i="48"/>
  <c r="A81" i="48"/>
  <c r="A80" i="48"/>
  <c r="A79" i="48"/>
  <c r="A78" i="48"/>
  <c r="A77" i="48"/>
  <c r="A76" i="48"/>
  <c r="A75" i="48"/>
  <c r="A74" i="48"/>
  <c r="A73" i="48"/>
  <c r="A72" i="48"/>
  <c r="A71" i="48"/>
  <c r="A70" i="48"/>
  <c r="A69" i="48"/>
  <c r="A68" i="48"/>
  <c r="A67" i="48"/>
  <c r="A66" i="48"/>
  <c r="A65" i="48"/>
  <c r="A64" i="48"/>
  <c r="A63" i="48"/>
  <c r="A62" i="48"/>
  <c r="A61" i="48"/>
  <c r="A60" i="48"/>
  <c r="A59" i="48"/>
  <c r="A58" i="48"/>
  <c r="A57" i="48"/>
  <c r="A56" i="48"/>
  <c r="A55" i="48"/>
  <c r="A54" i="48"/>
  <c r="A53" i="48"/>
  <c r="A52" i="48"/>
  <c r="A51" i="48"/>
  <c r="A50" i="48"/>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 i="48"/>
  <c r="A4" i="48"/>
  <c r="A3" i="48"/>
  <c r="A109" i="47"/>
  <c r="A108" i="47"/>
  <c r="A107" i="47"/>
  <c r="A106" i="47"/>
  <c r="A105" i="47"/>
  <c r="A104" i="47"/>
  <c r="A103" i="47"/>
  <c r="A102" i="47"/>
  <c r="A101" i="47"/>
  <c r="A100" i="47"/>
  <c r="A99" i="47"/>
  <c r="A98" i="47"/>
  <c r="A97" i="47"/>
  <c r="A96" i="47"/>
  <c r="A95" i="47"/>
  <c r="A94" i="47"/>
  <c r="A93" i="47"/>
  <c r="A92" i="47"/>
  <c r="A91" i="47"/>
  <c r="A90" i="47"/>
  <c r="A89" i="47"/>
  <c r="A88" i="47"/>
  <c r="A87" i="47"/>
  <c r="A86" i="47"/>
  <c r="A85" i="47"/>
  <c r="A84" i="47"/>
  <c r="A83" i="47"/>
  <c r="A82" i="47"/>
  <c r="A81" i="47"/>
  <c r="A80" i="47"/>
  <c r="A79" i="47"/>
  <c r="A78" i="47"/>
  <c r="A77" i="47"/>
  <c r="A76" i="47"/>
  <c r="A75" i="47"/>
  <c r="A74" i="47"/>
  <c r="A73" i="47"/>
  <c r="A72" i="47"/>
  <c r="A71" i="47"/>
  <c r="A70" i="47"/>
  <c r="A69" i="47"/>
  <c r="A68" i="47"/>
  <c r="A67" i="47"/>
  <c r="A66" i="47"/>
  <c r="A65" i="47"/>
  <c r="A64" i="47"/>
  <c r="A63" i="47"/>
  <c r="A62" i="47"/>
  <c r="A61" i="47"/>
  <c r="A60" i="47"/>
  <c r="A59" i="47"/>
  <c r="A58" i="47"/>
  <c r="A57" i="47"/>
  <c r="A56" i="47"/>
  <c r="A55" i="47"/>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 i="47"/>
  <c r="A4" i="47"/>
  <c r="A3" i="47"/>
  <c r="A109" i="46"/>
  <c r="A108" i="46"/>
  <c r="A107" i="46"/>
  <c r="A106" i="46"/>
  <c r="A105" i="46"/>
  <c r="A104" i="46"/>
  <c r="A103" i="46"/>
  <c r="A102" i="46"/>
  <c r="A101" i="46"/>
  <c r="A100" i="46"/>
  <c r="A99" i="46"/>
  <c r="A98" i="46"/>
  <c r="A97" i="46"/>
  <c r="A96" i="46"/>
  <c r="A95" i="46"/>
  <c r="A94" i="46"/>
  <c r="A93" i="46"/>
  <c r="A92" i="46"/>
  <c r="A91" i="46"/>
  <c r="A90" i="46"/>
  <c r="A89" i="46"/>
  <c r="A88" i="46"/>
  <c r="A87" i="46"/>
  <c r="A86" i="46"/>
  <c r="A85" i="46"/>
  <c r="A84" i="46"/>
  <c r="A83" i="46"/>
  <c r="A82" i="46"/>
  <c r="A81" i="46"/>
  <c r="A80" i="46"/>
  <c r="A79" i="46"/>
  <c r="A78" i="46"/>
  <c r="A77" i="46"/>
  <c r="A76" i="46"/>
  <c r="A75" i="46"/>
  <c r="A74" i="46"/>
  <c r="A73" i="46"/>
  <c r="A72" i="46"/>
  <c r="A71" i="46"/>
  <c r="A70" i="46"/>
  <c r="A69" i="46"/>
  <c r="A68" i="46"/>
  <c r="A67" i="46"/>
  <c r="A66" i="46"/>
  <c r="A65" i="46"/>
  <c r="A64" i="46"/>
  <c r="A63" i="46"/>
  <c r="A62" i="46"/>
  <c r="A61" i="46"/>
  <c r="A60" i="46"/>
  <c r="A59" i="46"/>
  <c r="A58" i="46"/>
  <c r="A57" i="46"/>
  <c r="A56" i="46"/>
  <c r="A55" i="46"/>
  <c r="A54" i="46"/>
  <c r="A53" i="46"/>
  <c r="A5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109" i="45"/>
  <c r="A108" i="45"/>
  <c r="A107" i="45"/>
  <c r="A106" i="45"/>
  <c r="A105" i="45"/>
  <c r="A104" i="45"/>
  <c r="A103" i="45"/>
  <c r="A102" i="45"/>
  <c r="A101" i="45"/>
  <c r="A100" i="45"/>
  <c r="A99" i="45"/>
  <c r="A98" i="45"/>
  <c r="A97" i="45"/>
  <c r="A96" i="45"/>
  <c r="A95" i="45"/>
  <c r="A94" i="45"/>
  <c r="A93" i="45"/>
  <c r="A92" i="45"/>
  <c r="A91" i="45"/>
  <c r="A90" i="45"/>
  <c r="A89" i="45"/>
  <c r="A88" i="45"/>
  <c r="A87" i="45"/>
  <c r="A86" i="45"/>
  <c r="A85" i="45"/>
  <c r="A84" i="45"/>
  <c r="A83" i="45"/>
  <c r="A82" i="45"/>
  <c r="A81" i="45"/>
  <c r="A80" i="45"/>
  <c r="A79" i="45"/>
  <c r="A78" i="45"/>
  <c r="A77" i="45"/>
  <c r="A76" i="45"/>
  <c r="A75" i="45"/>
  <c r="A74" i="45"/>
  <c r="A73" i="45"/>
  <c r="A72" i="45"/>
  <c r="A71" i="45"/>
  <c r="A70" i="45"/>
  <c r="A69" i="45"/>
  <c r="A68" i="45"/>
  <c r="A67" i="45"/>
  <c r="A66" i="45"/>
  <c r="A65" i="45"/>
  <c r="A64" i="45"/>
  <c r="A63" i="45"/>
  <c r="A62" i="45"/>
  <c r="A61" i="45"/>
  <c r="A60" i="45"/>
  <c r="A59" i="45"/>
  <c r="A58" i="45"/>
  <c r="A57" i="45"/>
  <c r="A56" i="45"/>
  <c r="A55" i="45"/>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5" i="45"/>
  <c r="A4" i="45"/>
  <c r="A3" i="45"/>
  <c r="A109" i="44"/>
  <c r="A108" i="44"/>
  <c r="A107" i="44"/>
  <c r="A106" i="44"/>
  <c r="A105" i="44"/>
  <c r="A104" i="44"/>
  <c r="A103" i="44"/>
  <c r="A102" i="44"/>
  <c r="A101" i="44"/>
  <c r="A100" i="44"/>
  <c r="A99" i="44"/>
  <c r="A98" i="44"/>
  <c r="A97" i="44"/>
  <c r="A96" i="44"/>
  <c r="A95" i="44"/>
  <c r="A94" i="44"/>
  <c r="A93" i="44"/>
  <c r="A92" i="44"/>
  <c r="A91" i="44"/>
  <c r="A90" i="44"/>
  <c r="A89" i="44"/>
  <c r="A88" i="44"/>
  <c r="A87" i="44"/>
  <c r="A86" i="44"/>
  <c r="A85" i="44"/>
  <c r="A84" i="44"/>
  <c r="A83" i="44"/>
  <c r="A82" i="44"/>
  <c r="A81" i="44"/>
  <c r="A80" i="44"/>
  <c r="A79" i="44"/>
  <c r="A78" i="44"/>
  <c r="A77" i="44"/>
  <c r="A76" i="44"/>
  <c r="A75" i="44"/>
  <c r="A74" i="44"/>
  <c r="A73" i="44"/>
  <c r="A72" i="44"/>
  <c r="A71" i="44"/>
  <c r="A70" i="44"/>
  <c r="A69" i="44"/>
  <c r="A68" i="44"/>
  <c r="A67" i="44"/>
  <c r="A66" i="44"/>
  <c r="A65" i="44"/>
  <c r="A64" i="44"/>
  <c r="A63" i="44"/>
  <c r="A62" i="44"/>
  <c r="A61" i="44"/>
  <c r="A60" i="44"/>
  <c r="A59" i="44"/>
  <c r="A58" i="44"/>
  <c r="A57" i="44"/>
  <c r="A56" i="44"/>
  <c r="A55" i="44"/>
  <c r="A54" i="44"/>
  <c r="A53" i="44"/>
  <c r="A52" i="44"/>
  <c r="A51" i="44"/>
  <c r="A50" i="44"/>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 i="44"/>
  <c r="A4" i="44"/>
  <c r="A3" i="44"/>
  <c r="A109" i="43"/>
  <c r="A108" i="43"/>
  <c r="A107" i="43"/>
  <c r="A106" i="43"/>
  <c r="A105" i="43"/>
  <c r="A104" i="43"/>
  <c r="A103" i="43"/>
  <c r="A102" i="43"/>
  <c r="A101" i="43"/>
  <c r="A100" i="43"/>
  <c r="A99" i="43"/>
  <c r="A98" i="43"/>
  <c r="A97" i="43"/>
  <c r="A96" i="43"/>
  <c r="A95" i="43"/>
  <c r="A94" i="43"/>
  <c r="A93" i="43"/>
  <c r="A92" i="43"/>
  <c r="A91" i="43"/>
  <c r="A90" i="43"/>
  <c r="A89" i="43"/>
  <c r="A88" i="43"/>
  <c r="A87" i="43"/>
  <c r="A86" i="43"/>
  <c r="A85" i="43"/>
  <c r="A84" i="43"/>
  <c r="A83" i="43"/>
  <c r="A82" i="43"/>
  <c r="A81" i="43"/>
  <c r="A80" i="43"/>
  <c r="A79" i="43"/>
  <c r="A78" i="43"/>
  <c r="A77" i="43"/>
  <c r="A76" i="43"/>
  <c r="A75" i="43"/>
  <c r="A74" i="43"/>
  <c r="A73" i="43"/>
  <c r="A72" i="43"/>
  <c r="A71" i="43"/>
  <c r="A70" i="43"/>
  <c r="A69" i="43"/>
  <c r="A68" i="43"/>
  <c r="A67" i="43"/>
  <c r="A66" i="43"/>
  <c r="A65" i="43"/>
  <c r="A64" i="43"/>
  <c r="A63" i="43"/>
  <c r="A62" i="43"/>
  <c r="A61" i="43"/>
  <c r="A60" i="43"/>
  <c r="A59" i="43"/>
  <c r="A58" i="43"/>
  <c r="A57" i="43"/>
  <c r="A56" i="43"/>
  <c r="A55" i="43"/>
  <c r="A54" i="43"/>
  <c r="A53" i="43"/>
  <c r="A52" i="43"/>
  <c r="A51" i="43"/>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6" i="43"/>
  <c r="A5" i="43"/>
  <c r="A4" i="43"/>
  <c r="A3" i="43"/>
  <c r="A109" i="42"/>
  <c r="A108" i="42"/>
  <c r="A107" i="42"/>
  <c r="A106" i="42"/>
  <c r="A105" i="42"/>
  <c r="A104" i="42"/>
  <c r="A103" i="42"/>
  <c r="A102" i="42"/>
  <c r="A101" i="42"/>
  <c r="A100" i="42"/>
  <c r="A99" i="42"/>
  <c r="A98" i="42"/>
  <c r="A97" i="42"/>
  <c r="A96" i="42"/>
  <c r="A95" i="42"/>
  <c r="A94" i="42"/>
  <c r="A93" i="42"/>
  <c r="A92" i="42"/>
  <c r="A91" i="42"/>
  <c r="A90" i="42"/>
  <c r="A89" i="42"/>
  <c r="A88" i="42"/>
  <c r="A87" i="42"/>
  <c r="A86" i="42"/>
  <c r="A85" i="42"/>
  <c r="A84" i="42"/>
  <c r="A83" i="42"/>
  <c r="A82" i="42"/>
  <c r="A81" i="42"/>
  <c r="A80" i="42"/>
  <c r="A79" i="42"/>
  <c r="A78" i="42"/>
  <c r="A77" i="42"/>
  <c r="A76" i="42"/>
  <c r="A75" i="42"/>
  <c r="A74" i="42"/>
  <c r="A73" i="42"/>
  <c r="A72" i="42"/>
  <c r="A71" i="42"/>
  <c r="A70" i="42"/>
  <c r="A69" i="42"/>
  <c r="A68" i="42"/>
  <c r="A67" i="42"/>
  <c r="A66" i="42"/>
  <c r="A65" i="42"/>
  <c r="A64" i="42"/>
  <c r="A63" i="42"/>
  <c r="A62" i="42"/>
  <c r="A61" i="42"/>
  <c r="A60" i="42"/>
  <c r="A59" i="42"/>
  <c r="A58" i="42"/>
  <c r="A57" i="42"/>
  <c r="A56" i="42"/>
  <c r="A55" i="42"/>
  <c r="A54" i="42"/>
  <c r="A53" i="42"/>
  <c r="A52" i="42"/>
  <c r="A51" i="42"/>
  <c r="A50" i="42"/>
  <c r="A49" i="42"/>
  <c r="A48" i="42"/>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6" i="42"/>
  <c r="A5" i="42"/>
  <c r="A4" i="42"/>
  <c r="A3" i="42"/>
  <c r="A109" i="41"/>
  <c r="A108" i="41"/>
  <c r="A107" i="41"/>
  <c r="A106" i="41"/>
  <c r="A105" i="41"/>
  <c r="A104" i="41"/>
  <c r="A103" i="41"/>
  <c r="A102" i="41"/>
  <c r="A101" i="41"/>
  <c r="A100" i="41"/>
  <c r="A99" i="41"/>
  <c r="A98" i="41"/>
  <c r="A97" i="41"/>
  <c r="A96" i="41"/>
  <c r="A95" i="41"/>
  <c r="A94" i="41"/>
  <c r="A93" i="41"/>
  <c r="A92" i="41"/>
  <c r="A91" i="41"/>
  <c r="A90" i="41"/>
  <c r="A89" i="41"/>
  <c r="A88" i="41"/>
  <c r="A87" i="41"/>
  <c r="A86" i="41"/>
  <c r="A85" i="41"/>
  <c r="A84" i="41"/>
  <c r="A83" i="41"/>
  <c r="A82" i="41"/>
  <c r="A81" i="41"/>
  <c r="A80" i="41"/>
  <c r="A79" i="41"/>
  <c r="A78" i="41"/>
  <c r="A77" i="41"/>
  <c r="A76" i="41"/>
  <c r="A75" i="41"/>
  <c r="A74" i="41"/>
  <c r="A73" i="41"/>
  <c r="A72" i="41"/>
  <c r="A71" i="41"/>
  <c r="A70" i="41"/>
  <c r="A69" i="41"/>
  <c r="A68" i="41"/>
  <c r="A67" i="41"/>
  <c r="A66" i="41"/>
  <c r="A65" i="41"/>
  <c r="A64" i="41"/>
  <c r="A63" i="41"/>
  <c r="A62" i="41"/>
  <c r="A61" i="41"/>
  <c r="A60" i="41"/>
  <c r="A59" i="41"/>
  <c r="A58" i="41"/>
  <c r="A57" i="41"/>
  <c r="A56" i="41"/>
  <c r="A55" i="41"/>
  <c r="A54" i="41"/>
  <c r="A53" i="41"/>
  <c r="A52" i="41"/>
  <c r="A51" i="41"/>
  <c r="A50" i="41"/>
  <c r="A49" i="41"/>
  <c r="A48" i="41"/>
  <c r="A47" i="41"/>
  <c r="A46" i="41"/>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6" i="41"/>
  <c r="A5" i="41"/>
  <c r="A4" i="41"/>
  <c r="A3" i="41"/>
  <c r="A109" i="40"/>
  <c r="A108" i="40"/>
  <c r="A107" i="40"/>
  <c r="A106" i="40"/>
  <c r="A105" i="40"/>
  <c r="A104" i="40"/>
  <c r="A103" i="40"/>
  <c r="A102" i="40"/>
  <c r="A101" i="40"/>
  <c r="A100" i="40"/>
  <c r="A99" i="40"/>
  <c r="A98" i="40"/>
  <c r="A97" i="40"/>
  <c r="A96" i="40"/>
  <c r="A95" i="40"/>
  <c r="A94" i="40"/>
  <c r="A93" i="40"/>
  <c r="A92" i="40"/>
  <c r="A91" i="40"/>
  <c r="A90" i="40"/>
  <c r="A89" i="40"/>
  <c r="A88" i="40"/>
  <c r="A87" i="40"/>
  <c r="A86" i="40"/>
  <c r="A85" i="40"/>
  <c r="A84" i="40"/>
  <c r="A83" i="40"/>
  <c r="A82" i="40"/>
  <c r="A81" i="40"/>
  <c r="A80" i="40"/>
  <c r="A79" i="40"/>
  <c r="A78" i="40"/>
  <c r="A77" i="40"/>
  <c r="A76" i="40"/>
  <c r="A75" i="40"/>
  <c r="A74" i="40"/>
  <c r="A73" i="40"/>
  <c r="A72" i="40"/>
  <c r="A71" i="40"/>
  <c r="A70" i="40"/>
  <c r="A69" i="40"/>
  <c r="A68" i="40"/>
  <c r="A67" i="40"/>
  <c r="A66" i="40"/>
  <c r="A65" i="40"/>
  <c r="A64" i="40"/>
  <c r="A63" i="40"/>
  <c r="A62" i="40"/>
  <c r="A61" i="40"/>
  <c r="A60" i="40"/>
  <c r="A59" i="40"/>
  <c r="A58" i="40"/>
  <c r="A57" i="40"/>
  <c r="A56" i="40"/>
  <c r="A55" i="40"/>
  <c r="A54" i="40"/>
  <c r="A53" i="40"/>
  <c r="A52" i="40"/>
  <c r="A51" i="40"/>
  <c r="A50" i="40"/>
  <c r="A49" i="40"/>
  <c r="A48" i="40"/>
  <c r="A47" i="40"/>
  <c r="A46" i="40"/>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6" i="40"/>
  <c r="A5" i="40"/>
  <c r="A4" i="40"/>
  <c r="A3" i="40"/>
  <c r="A109" i="39"/>
  <c r="A108" i="39"/>
  <c r="A107" i="39"/>
  <c r="A106" i="39"/>
  <c r="A105" i="39"/>
  <c r="A104" i="39"/>
  <c r="A103" i="39"/>
  <c r="A102" i="39"/>
  <c r="A101" i="39"/>
  <c r="A100" i="39"/>
  <c r="A99" i="39"/>
  <c r="A98" i="39"/>
  <c r="A97" i="39"/>
  <c r="A96" i="39"/>
  <c r="A95" i="39"/>
  <c r="A94" i="39"/>
  <c r="A93" i="39"/>
  <c r="A92" i="39"/>
  <c r="A91" i="39"/>
  <c r="A90" i="39"/>
  <c r="A89" i="39"/>
  <c r="A88" i="39"/>
  <c r="A87" i="39"/>
  <c r="A86" i="39"/>
  <c r="A85" i="39"/>
  <c r="A84" i="39"/>
  <c r="A83" i="39"/>
  <c r="A82" i="39"/>
  <c r="A81" i="39"/>
  <c r="A80" i="39"/>
  <c r="A79" i="39"/>
  <c r="A78" i="39"/>
  <c r="A77" i="39"/>
  <c r="A76" i="39"/>
  <c r="A75" i="39"/>
  <c r="A74" i="39"/>
  <c r="A73" i="39"/>
  <c r="A72" i="39"/>
  <c r="A71" i="39"/>
  <c r="A70" i="39"/>
  <c r="A69" i="39"/>
  <c r="A68" i="39"/>
  <c r="A67" i="39"/>
  <c r="A66" i="39"/>
  <c r="A65" i="39"/>
  <c r="A64" i="39"/>
  <c r="A63" i="39"/>
  <c r="A62" i="39"/>
  <c r="A61" i="39"/>
  <c r="A60" i="39"/>
  <c r="A59" i="39"/>
  <c r="A58" i="39"/>
  <c r="A57" i="39"/>
  <c r="A56" i="39"/>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6" i="39"/>
  <c r="A5" i="39"/>
  <c r="A4" i="39"/>
  <c r="A3" i="3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A28" i="29"/>
  <c r="A27" i="29"/>
  <c r="A26" i="29"/>
  <c r="A25" i="29"/>
  <c r="A24" i="29"/>
  <c r="A23" i="29"/>
  <c r="A22" i="29"/>
  <c r="A21" i="29"/>
  <c r="A20" i="29"/>
  <c r="A19" i="29"/>
  <c r="A18" i="29"/>
  <c r="A17" i="29"/>
  <c r="A16" i="29"/>
  <c r="A15" i="29"/>
  <c r="A14" i="29"/>
  <c r="A13" i="29"/>
  <c r="A12" i="29"/>
  <c r="A11" i="29"/>
  <c r="A10" i="29"/>
  <c r="A9" i="29"/>
  <c r="A8" i="29"/>
  <c r="A7" i="29"/>
  <c r="A6" i="29"/>
  <c r="A5" i="29"/>
  <c r="A4" i="29"/>
  <c r="A3" i="29"/>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3" i="28"/>
  <c r="A12" i="28"/>
  <c r="A11" i="28"/>
  <c r="A10" i="28"/>
  <c r="A9" i="28"/>
  <c r="A8" i="28"/>
  <c r="A7" i="28"/>
  <c r="A6" i="28"/>
  <c r="A5" i="28"/>
  <c r="A4" i="28"/>
  <c r="A3" i="28"/>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 i="27"/>
  <c r="A4" i="27"/>
  <c r="A3" i="27"/>
  <c r="A109" i="25"/>
  <c r="A108" i="25"/>
  <c r="A107" i="25"/>
  <c r="A106" i="25"/>
  <c r="A105" i="25"/>
  <c r="A104" i="25"/>
  <c r="A103" i="25"/>
  <c r="A102" i="25"/>
  <c r="A101" i="25"/>
  <c r="A100" i="25"/>
  <c r="A99" i="25"/>
  <c r="A98" i="25"/>
  <c r="A97" i="25"/>
  <c r="A96" i="25"/>
  <c r="A95" i="25"/>
  <c r="A94" i="25"/>
  <c r="A93" i="25"/>
  <c r="A92" i="25"/>
  <c r="A91" i="25"/>
  <c r="A90" i="25"/>
  <c r="A89" i="25"/>
  <c r="A88" i="25"/>
  <c r="A87" i="25"/>
  <c r="A86" i="25"/>
  <c r="A85" i="25"/>
  <c r="A84" i="25"/>
  <c r="A83" i="25"/>
  <c r="A82" i="25"/>
  <c r="A81" i="25"/>
  <c r="A80" i="25"/>
  <c r="A79" i="25"/>
  <c r="A78" i="25"/>
  <c r="A77" i="25"/>
  <c r="A76" i="25"/>
  <c r="A75" i="25"/>
  <c r="A74" i="25"/>
  <c r="A73" i="25"/>
  <c r="A72" i="25"/>
  <c r="A71" i="25"/>
  <c r="A70" i="25"/>
  <c r="A69" i="25"/>
  <c r="A68" i="25"/>
  <c r="A67" i="25"/>
  <c r="A66" i="25"/>
  <c r="A65" i="25"/>
  <c r="A64" i="25"/>
  <c r="A63" i="25"/>
  <c r="A62" i="25"/>
  <c r="A61" i="25"/>
  <c r="A60" i="25"/>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4" i="25"/>
  <c r="A3" i="25"/>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5" i="26"/>
  <c r="A4" i="26"/>
  <c r="A3" i="26"/>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A3" i="24"/>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5" i="21"/>
  <c r="A4" i="21"/>
  <c r="A3" i="21"/>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5" i="20"/>
  <c r="A4" i="20"/>
  <c r="A3" i="20"/>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5" i="18"/>
  <c r="A4" i="18"/>
  <c r="A3" i="18"/>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5" i="17"/>
  <c r="A4" i="17"/>
  <c r="A3" i="17"/>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D7" i="4"/>
  <c r="D8" i="4"/>
  <c r="D10" i="4"/>
  <c r="E10" i="4"/>
  <c r="F10" i="4"/>
  <c r="G10" i="4"/>
  <c r="B15" i="4"/>
  <c r="D15" i="4" a="1"/>
  <c r="D15" i="4" s="1"/>
  <c r="E15" i="4" a="1"/>
  <c r="E15" i="4" s="1"/>
  <c r="F15" i="4" a="1"/>
  <c r="F15" i="4" s="1"/>
  <c r="G15" i="4" a="1"/>
  <c r="G15" i="4" s="1"/>
  <c r="H15" i="4" a="1"/>
  <c r="H15" i="4" s="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9" i="37"/>
  <c r="F8" i="37"/>
  <c r="F3" i="37"/>
  <c r="C7" i="37"/>
  <c r="BA113" i="37"/>
  <c r="BA112" i="37"/>
  <c r="BA111" i="37"/>
  <c r="BA110" i="37"/>
  <c r="BA109" i="37"/>
  <c r="BA108" i="37"/>
  <c r="BA107" i="37"/>
  <c r="BA106" i="37"/>
  <c r="BA105" i="37"/>
  <c r="BA104" i="37"/>
  <c r="BA103" i="37"/>
  <c r="BA102" i="37"/>
  <c r="BA101" i="37"/>
  <c r="BA100" i="37"/>
  <c r="BA99" i="37"/>
  <c r="BA98" i="37"/>
  <c r="BA97" i="37"/>
  <c r="BA96" i="37"/>
  <c r="BA95" i="37"/>
  <c r="BA94" i="37"/>
  <c r="BA93" i="37"/>
  <c r="BA92" i="37"/>
  <c r="BA91" i="37"/>
  <c r="BA90" i="37"/>
  <c r="BA89" i="37"/>
  <c r="BA88" i="37"/>
  <c r="BA87" i="37"/>
  <c r="BA86" i="37"/>
  <c r="BA85" i="37"/>
  <c r="BA84" i="37"/>
  <c r="BA83" i="37"/>
  <c r="BA82" i="37"/>
  <c r="BA81" i="37"/>
  <c r="BA80" i="37"/>
  <c r="BA79" i="37"/>
  <c r="BA78" i="37"/>
  <c r="BA77" i="37"/>
  <c r="BA76" i="37"/>
  <c r="BA75" i="37"/>
  <c r="BA74" i="37"/>
  <c r="BA73" i="37"/>
  <c r="BA72" i="37"/>
  <c r="BA71" i="37"/>
  <c r="BA70" i="37"/>
  <c r="BA69" i="37"/>
  <c r="BA68" i="37"/>
  <c r="BA67" i="37"/>
  <c r="BA66" i="37"/>
  <c r="BA65" i="37"/>
  <c r="BA64" i="37"/>
  <c r="BA63" i="37"/>
  <c r="BA62" i="37"/>
  <c r="BA61" i="37"/>
  <c r="BA60" i="37"/>
  <c r="BA59" i="37"/>
  <c r="BA58" i="37"/>
  <c r="BA57" i="37"/>
  <c r="BA56" i="37"/>
  <c r="BA55" i="37"/>
  <c r="BA54" i="37"/>
  <c r="BA53" i="37"/>
  <c r="BA52" i="37"/>
  <c r="BA51" i="37"/>
  <c r="BA50" i="37"/>
  <c r="BA49" i="37"/>
  <c r="BA48" i="37"/>
  <c r="BA47" i="37"/>
  <c r="BA46" i="37"/>
  <c r="BA45" i="37"/>
  <c r="BA44" i="37"/>
  <c r="BA43" i="37"/>
  <c r="BA42" i="37"/>
  <c r="BA41" i="37"/>
  <c r="BA40" i="37"/>
  <c r="BA39" i="37"/>
  <c r="BA38" i="37"/>
  <c r="BA37" i="37"/>
  <c r="BA36" i="37"/>
  <c r="BA35" i="37"/>
  <c r="BA34" i="37"/>
  <c r="BA33" i="37"/>
  <c r="BA32" i="37"/>
  <c r="BA31" i="37"/>
  <c r="BA30" i="37"/>
  <c r="BA29" i="37"/>
  <c r="BA28" i="37"/>
  <c r="BA27" i="37"/>
  <c r="BA26" i="37"/>
  <c r="BA25" i="37"/>
  <c r="BA24" i="37"/>
  <c r="BA23" i="37"/>
  <c r="BA22" i="37"/>
  <c r="BA21" i="37"/>
  <c r="BA20" i="37"/>
  <c r="BA19" i="37"/>
  <c r="BA18" i="37"/>
  <c r="BA17" i="37"/>
  <c r="BA16" i="37"/>
  <c r="BA15" i="37"/>
  <c r="BA14" i="37"/>
  <c r="BA13" i="37"/>
  <c r="BA12" i="37"/>
  <c r="BA11" i="37"/>
  <c r="BA10" i="37"/>
  <c r="BA9" i="37"/>
  <c r="BA8" i="37"/>
  <c r="A1" i="37"/>
  <c r="BB19" i="37"/>
  <c r="BC19" i="37"/>
  <c r="BD19" i="37"/>
  <c r="BE19" i="37"/>
  <c r="BF19" i="37"/>
  <c r="BG19" i="37"/>
  <c r="BH19" i="37"/>
  <c r="BI19" i="37"/>
  <c r="BJ19" i="37"/>
  <c r="BK19" i="37"/>
  <c r="BL19" i="37"/>
  <c r="BM19" i="37"/>
  <c r="BN19" i="37"/>
  <c r="BO19" i="37"/>
  <c r="BP19" i="37"/>
  <c r="BQ19" i="37"/>
  <c r="BR19" i="37"/>
  <c r="BS19" i="37"/>
  <c r="BT19" i="37"/>
  <c r="BU19" i="37"/>
  <c r="BV19" i="37"/>
  <c r="BW19" i="37"/>
  <c r="BX19" i="37"/>
  <c r="BY19" i="37"/>
  <c r="BZ19" i="37"/>
  <c r="CA19" i="37"/>
  <c r="CB19" i="37"/>
  <c r="CC19" i="37"/>
  <c r="CD19" i="37"/>
  <c r="CE19" i="37"/>
  <c r="CF19" i="37"/>
  <c r="CG19" i="37"/>
  <c r="CH19" i="37"/>
  <c r="CI19" i="37"/>
  <c r="CJ19" i="37"/>
  <c r="CK19" i="37"/>
  <c r="CL19" i="37"/>
  <c r="CM19" i="37"/>
  <c r="CN19" i="37"/>
  <c r="BB20" i="37"/>
  <c r="BC20" i="37"/>
  <c r="BD20" i="37"/>
  <c r="BE20" i="37"/>
  <c r="BF20" i="37"/>
  <c r="BG20" i="37"/>
  <c r="BH20" i="37"/>
  <c r="BI20" i="37"/>
  <c r="BJ20" i="37"/>
  <c r="BK20" i="37"/>
  <c r="BL20" i="37"/>
  <c r="BM20" i="37"/>
  <c r="BN20" i="37"/>
  <c r="BO20" i="37"/>
  <c r="BP20" i="37"/>
  <c r="BQ20" i="37"/>
  <c r="BR20" i="37"/>
  <c r="BS20" i="37"/>
  <c r="BT20" i="37"/>
  <c r="BU20" i="37"/>
  <c r="BV20" i="37"/>
  <c r="BW20" i="37"/>
  <c r="BX20" i="37"/>
  <c r="BY20" i="37"/>
  <c r="BZ20" i="37"/>
  <c r="CA20" i="37"/>
  <c r="CB20" i="37"/>
  <c r="CC20" i="37"/>
  <c r="CD20" i="37"/>
  <c r="CE20" i="37"/>
  <c r="CF20" i="37"/>
  <c r="CG20" i="37"/>
  <c r="CH20" i="37"/>
  <c r="CI20" i="37"/>
  <c r="CJ20" i="37"/>
  <c r="CK20" i="37"/>
  <c r="CL20" i="37"/>
  <c r="CM20" i="37"/>
  <c r="CN20" i="37"/>
  <c r="BB21" i="37"/>
  <c r="BC21" i="37"/>
  <c r="BD21" i="37"/>
  <c r="BE21" i="37"/>
  <c r="BF21" i="37"/>
  <c r="BG21" i="37"/>
  <c r="BH21" i="37"/>
  <c r="BI21" i="37"/>
  <c r="BJ21" i="37"/>
  <c r="BK21" i="37"/>
  <c r="BL21" i="37"/>
  <c r="BM21" i="37"/>
  <c r="BN21" i="37"/>
  <c r="BO21" i="37"/>
  <c r="BP21" i="37"/>
  <c r="BQ21" i="37"/>
  <c r="BR21" i="37"/>
  <c r="BS21" i="37"/>
  <c r="BT21" i="37"/>
  <c r="BU21" i="37"/>
  <c r="BV21" i="37"/>
  <c r="BW21" i="37"/>
  <c r="BX21" i="37"/>
  <c r="BY21" i="37"/>
  <c r="BZ21" i="37"/>
  <c r="CA21" i="37"/>
  <c r="CB21" i="37"/>
  <c r="CC21" i="37"/>
  <c r="CD21" i="37"/>
  <c r="CE21" i="37"/>
  <c r="CF21" i="37"/>
  <c r="CG21" i="37"/>
  <c r="CH21" i="37"/>
  <c r="CI21" i="37"/>
  <c r="CJ21" i="37"/>
  <c r="CK21" i="37"/>
  <c r="CL21" i="37"/>
  <c r="CM21" i="37"/>
  <c r="CN21" i="37"/>
  <c r="BB22" i="37"/>
  <c r="BC22" i="37"/>
  <c r="BD22" i="37"/>
  <c r="BE22" i="37"/>
  <c r="BF22" i="37"/>
  <c r="BG22" i="37"/>
  <c r="BH22" i="37"/>
  <c r="BI22" i="37"/>
  <c r="BJ22" i="37"/>
  <c r="BK22" i="37"/>
  <c r="BL22" i="37"/>
  <c r="BM22" i="37"/>
  <c r="BN22" i="37"/>
  <c r="BO22" i="37"/>
  <c r="BP22" i="37"/>
  <c r="BQ22" i="37"/>
  <c r="BR22" i="37"/>
  <c r="BS22" i="37"/>
  <c r="BT22" i="37"/>
  <c r="BU22" i="37"/>
  <c r="BV22" i="37"/>
  <c r="BW22" i="37"/>
  <c r="BX22" i="37"/>
  <c r="BY22" i="37"/>
  <c r="BZ22" i="37"/>
  <c r="CA22" i="37"/>
  <c r="CB22" i="37"/>
  <c r="CC22" i="37"/>
  <c r="CD22" i="37"/>
  <c r="CE22" i="37"/>
  <c r="CF22" i="37"/>
  <c r="CG22" i="37"/>
  <c r="CH22" i="37"/>
  <c r="CI22" i="37"/>
  <c r="CJ22" i="37"/>
  <c r="CK22" i="37"/>
  <c r="CL22" i="37"/>
  <c r="CM22" i="37"/>
  <c r="CN22" i="37"/>
  <c r="BB23" i="37"/>
  <c r="BC23" i="37"/>
  <c r="BD23" i="37"/>
  <c r="BE23" i="37"/>
  <c r="BF23" i="37"/>
  <c r="BG23" i="37"/>
  <c r="BH23" i="37"/>
  <c r="BI23" i="37"/>
  <c r="BJ23" i="37"/>
  <c r="BK23" i="37"/>
  <c r="BL23" i="37"/>
  <c r="BM23" i="37"/>
  <c r="BN23" i="37"/>
  <c r="BO23" i="37"/>
  <c r="BP23" i="37"/>
  <c r="BQ23" i="37"/>
  <c r="BR23" i="37"/>
  <c r="BS23" i="37"/>
  <c r="BT23" i="37"/>
  <c r="BU23" i="37"/>
  <c r="BV23" i="37"/>
  <c r="BW23" i="37"/>
  <c r="BX23" i="37"/>
  <c r="BY23" i="37"/>
  <c r="BZ23" i="37"/>
  <c r="CA23" i="37"/>
  <c r="CB23" i="37"/>
  <c r="CC23" i="37"/>
  <c r="CD23" i="37"/>
  <c r="CE23" i="37"/>
  <c r="CF23" i="37"/>
  <c r="CG23" i="37"/>
  <c r="CH23" i="37"/>
  <c r="CI23" i="37"/>
  <c r="CJ23" i="37"/>
  <c r="CK23" i="37"/>
  <c r="CL23" i="37"/>
  <c r="CM23" i="37"/>
  <c r="CN23" i="37"/>
  <c r="BB24" i="37"/>
  <c r="BC24" i="37"/>
  <c r="BD24" i="37"/>
  <c r="BE24" i="37"/>
  <c r="BF24" i="37"/>
  <c r="BG24" i="37"/>
  <c r="BH24" i="37"/>
  <c r="BI24" i="37"/>
  <c r="BJ24" i="37"/>
  <c r="BK24" i="37"/>
  <c r="BL24" i="37"/>
  <c r="BM24" i="37"/>
  <c r="BN24" i="37"/>
  <c r="BO24" i="37"/>
  <c r="BP24" i="37"/>
  <c r="BQ24" i="37"/>
  <c r="BR24" i="37"/>
  <c r="BS24" i="37"/>
  <c r="BT24" i="37"/>
  <c r="BU24" i="37"/>
  <c r="BV24" i="37"/>
  <c r="BW24" i="37"/>
  <c r="BX24" i="37"/>
  <c r="BY24" i="37"/>
  <c r="BZ24" i="37"/>
  <c r="CA24" i="37"/>
  <c r="CB24" i="37"/>
  <c r="CC24" i="37"/>
  <c r="CD24" i="37"/>
  <c r="CE24" i="37"/>
  <c r="CF24" i="37"/>
  <c r="CG24" i="37"/>
  <c r="CH24" i="37"/>
  <c r="CI24" i="37"/>
  <c r="CJ24" i="37"/>
  <c r="CK24" i="37"/>
  <c r="CL24" i="37"/>
  <c r="CM24" i="37"/>
  <c r="CN24" i="37"/>
  <c r="BB25" i="37"/>
  <c r="BC25" i="37"/>
  <c r="BD25" i="37"/>
  <c r="BE25" i="37"/>
  <c r="BF25" i="37"/>
  <c r="BG25" i="37"/>
  <c r="BH25" i="37"/>
  <c r="BI25" i="37"/>
  <c r="BJ25" i="37"/>
  <c r="BK25" i="37"/>
  <c r="BL25" i="37"/>
  <c r="BM25" i="37"/>
  <c r="BN25" i="37"/>
  <c r="BO25" i="37"/>
  <c r="BP25" i="37"/>
  <c r="BQ25" i="37"/>
  <c r="BR25" i="37"/>
  <c r="BS25" i="37"/>
  <c r="BT25" i="37"/>
  <c r="BU25" i="37"/>
  <c r="BV25" i="37"/>
  <c r="BW25" i="37"/>
  <c r="BX25" i="37"/>
  <c r="BY25" i="37"/>
  <c r="BZ25" i="37"/>
  <c r="CA25" i="37"/>
  <c r="CB25" i="37"/>
  <c r="CC25" i="37"/>
  <c r="CD25" i="37"/>
  <c r="CE25" i="37"/>
  <c r="CF25" i="37"/>
  <c r="CG25" i="37"/>
  <c r="CH25" i="37"/>
  <c r="CI25" i="37"/>
  <c r="CJ25" i="37"/>
  <c r="CK25" i="37"/>
  <c r="CL25" i="37"/>
  <c r="CM25" i="37"/>
  <c r="CN25" i="37"/>
  <c r="BB26" i="37"/>
  <c r="BC26" i="37"/>
  <c r="BD26" i="37"/>
  <c r="BE26" i="37"/>
  <c r="BF26" i="37"/>
  <c r="BG26" i="37"/>
  <c r="BH26" i="37"/>
  <c r="BI26" i="37"/>
  <c r="BJ26" i="37"/>
  <c r="BK26" i="37"/>
  <c r="BL26" i="37"/>
  <c r="BM26" i="37"/>
  <c r="BN26" i="37"/>
  <c r="BO26" i="37"/>
  <c r="BP26" i="37"/>
  <c r="BQ26" i="37"/>
  <c r="BR26" i="37"/>
  <c r="BS26" i="37"/>
  <c r="BT26" i="37"/>
  <c r="BU26" i="37"/>
  <c r="BV26" i="37"/>
  <c r="BW26" i="37"/>
  <c r="BX26" i="37"/>
  <c r="BY26" i="37"/>
  <c r="BZ26" i="37"/>
  <c r="CA26" i="37"/>
  <c r="CB26" i="37"/>
  <c r="CC26" i="37"/>
  <c r="CD26" i="37"/>
  <c r="CE26" i="37"/>
  <c r="CF26" i="37"/>
  <c r="CG26" i="37"/>
  <c r="CH26" i="37"/>
  <c r="CI26" i="37"/>
  <c r="CJ26" i="37"/>
  <c r="CK26" i="37"/>
  <c r="CL26" i="37"/>
  <c r="CM26" i="37"/>
  <c r="CN26" i="37"/>
  <c r="BB27" i="37"/>
  <c r="BC27" i="37"/>
  <c r="BD27" i="37"/>
  <c r="BE27" i="37"/>
  <c r="BF27" i="37"/>
  <c r="BG27" i="37"/>
  <c r="BH27" i="37"/>
  <c r="BI27" i="37"/>
  <c r="BJ27" i="37"/>
  <c r="BK27" i="37"/>
  <c r="BL27" i="37"/>
  <c r="BM27" i="37"/>
  <c r="BN27" i="37"/>
  <c r="BO27" i="37"/>
  <c r="BP27" i="37"/>
  <c r="BQ27" i="37"/>
  <c r="BR27" i="37"/>
  <c r="BS27" i="37"/>
  <c r="BT27" i="37"/>
  <c r="BU27" i="37"/>
  <c r="BV27" i="37"/>
  <c r="BW27" i="37"/>
  <c r="BX27" i="37"/>
  <c r="BY27" i="37"/>
  <c r="BZ27" i="37"/>
  <c r="CA27" i="37"/>
  <c r="CB27" i="37"/>
  <c r="CC27" i="37"/>
  <c r="CD27" i="37"/>
  <c r="CE27" i="37"/>
  <c r="CF27" i="37"/>
  <c r="CG27" i="37"/>
  <c r="CH27" i="37"/>
  <c r="CI27" i="37"/>
  <c r="CJ27" i="37"/>
  <c r="CK27" i="37"/>
  <c r="CL27" i="37"/>
  <c r="CM27" i="37"/>
  <c r="CN27" i="37"/>
  <c r="BB28" i="37"/>
  <c r="BC28" i="37"/>
  <c r="BD28" i="37"/>
  <c r="BE28" i="37"/>
  <c r="BF28" i="37"/>
  <c r="BG28" i="37"/>
  <c r="BH28" i="37"/>
  <c r="BI28" i="37"/>
  <c r="BJ28" i="37"/>
  <c r="BK28" i="37"/>
  <c r="BL28" i="37"/>
  <c r="BM28" i="37"/>
  <c r="BN28" i="37"/>
  <c r="BO28" i="37"/>
  <c r="BP28" i="37"/>
  <c r="BQ28" i="37"/>
  <c r="BR28" i="37"/>
  <c r="BS28" i="37"/>
  <c r="BT28" i="37"/>
  <c r="BU28" i="37"/>
  <c r="BV28" i="37"/>
  <c r="BW28" i="37"/>
  <c r="BX28" i="37"/>
  <c r="BY28" i="37"/>
  <c r="BZ28" i="37"/>
  <c r="CA28" i="37"/>
  <c r="CB28" i="37"/>
  <c r="CC28" i="37"/>
  <c r="CD28" i="37"/>
  <c r="CE28" i="37"/>
  <c r="CF28" i="37"/>
  <c r="CG28" i="37"/>
  <c r="CH28" i="37"/>
  <c r="CI28" i="37"/>
  <c r="CJ28" i="37"/>
  <c r="CK28" i="37"/>
  <c r="CL28" i="37"/>
  <c r="CM28" i="37"/>
  <c r="CN28" i="37"/>
  <c r="BB29" i="37"/>
  <c r="BC29" i="37"/>
  <c r="BD29" i="37"/>
  <c r="BE29" i="37"/>
  <c r="BF29" i="37"/>
  <c r="BG29" i="37"/>
  <c r="BH29" i="37"/>
  <c r="BI29" i="37"/>
  <c r="BJ29" i="37"/>
  <c r="BK29" i="37"/>
  <c r="BL29" i="37"/>
  <c r="BM29" i="37"/>
  <c r="BN29" i="37"/>
  <c r="BO29" i="37"/>
  <c r="BP29" i="37"/>
  <c r="BQ29" i="37"/>
  <c r="BR29" i="37"/>
  <c r="BS29" i="37"/>
  <c r="BT29" i="37"/>
  <c r="BU29" i="37"/>
  <c r="BV29" i="37"/>
  <c r="BW29" i="37"/>
  <c r="BX29" i="37"/>
  <c r="BY29" i="37"/>
  <c r="BZ29" i="37"/>
  <c r="CA29" i="37"/>
  <c r="CB29" i="37"/>
  <c r="CC29" i="37"/>
  <c r="CD29" i="37"/>
  <c r="CE29" i="37"/>
  <c r="CF29" i="37"/>
  <c r="CG29" i="37"/>
  <c r="CH29" i="37"/>
  <c r="CI29" i="37"/>
  <c r="CJ29" i="37"/>
  <c r="CK29" i="37"/>
  <c r="CL29" i="37"/>
  <c r="CM29" i="37"/>
  <c r="CN29" i="37"/>
  <c r="BB30" i="37"/>
  <c r="BC30" i="37"/>
  <c r="BD30" i="37"/>
  <c r="BE30" i="37"/>
  <c r="BF30" i="37"/>
  <c r="BG30" i="37"/>
  <c r="BH30" i="37"/>
  <c r="BI30" i="37"/>
  <c r="BJ30" i="37"/>
  <c r="BK30" i="37"/>
  <c r="BL30" i="37"/>
  <c r="BM30" i="37"/>
  <c r="BN30" i="37"/>
  <c r="BO30" i="37"/>
  <c r="BP30" i="37"/>
  <c r="BQ30" i="37"/>
  <c r="BR30" i="37"/>
  <c r="BS30" i="37"/>
  <c r="BT30" i="37"/>
  <c r="BU30" i="37"/>
  <c r="BV30" i="37"/>
  <c r="BW30" i="37"/>
  <c r="BX30" i="37"/>
  <c r="BY30" i="37"/>
  <c r="BZ30" i="37"/>
  <c r="CA30" i="37"/>
  <c r="CB30" i="37"/>
  <c r="CC30" i="37"/>
  <c r="CD30" i="37"/>
  <c r="CE30" i="37"/>
  <c r="CF30" i="37"/>
  <c r="CG30" i="37"/>
  <c r="CH30" i="37"/>
  <c r="CI30" i="37"/>
  <c r="CJ30" i="37"/>
  <c r="CK30" i="37"/>
  <c r="CL30" i="37"/>
  <c r="CM30" i="37"/>
  <c r="CN30" i="37"/>
  <c r="BB31" i="37"/>
  <c r="BC31" i="37"/>
  <c r="BD31" i="37"/>
  <c r="BE31" i="37"/>
  <c r="BF31" i="37"/>
  <c r="BG31" i="37"/>
  <c r="BH31" i="37"/>
  <c r="BI31" i="37"/>
  <c r="BJ31" i="37"/>
  <c r="BK31" i="37"/>
  <c r="BL31" i="37"/>
  <c r="BM31" i="37"/>
  <c r="BN31" i="37"/>
  <c r="BO31" i="37"/>
  <c r="BP31" i="37"/>
  <c r="BQ31" i="37"/>
  <c r="BR31" i="37"/>
  <c r="BS31" i="37"/>
  <c r="BT31" i="37"/>
  <c r="BU31" i="37"/>
  <c r="BV31" i="37"/>
  <c r="BW31" i="37"/>
  <c r="BX31" i="37"/>
  <c r="BY31" i="37"/>
  <c r="BZ31" i="37"/>
  <c r="CA31" i="37"/>
  <c r="CB31" i="37"/>
  <c r="CC31" i="37"/>
  <c r="CD31" i="37"/>
  <c r="CE31" i="37"/>
  <c r="CF31" i="37"/>
  <c r="CG31" i="37"/>
  <c r="CH31" i="37"/>
  <c r="CI31" i="37"/>
  <c r="CJ31" i="37"/>
  <c r="CK31" i="37"/>
  <c r="CL31" i="37"/>
  <c r="CM31" i="37"/>
  <c r="CN31" i="37"/>
  <c r="BB32" i="37"/>
  <c r="BC32" i="37"/>
  <c r="BD32" i="37"/>
  <c r="BE32" i="37"/>
  <c r="BF32" i="37"/>
  <c r="BG32" i="37"/>
  <c r="BH32" i="37"/>
  <c r="BI32" i="37"/>
  <c r="BJ32" i="37"/>
  <c r="BK32" i="37"/>
  <c r="BL32" i="37"/>
  <c r="BM32" i="37"/>
  <c r="BN32" i="37"/>
  <c r="BO32" i="37"/>
  <c r="BP32" i="37"/>
  <c r="BQ32" i="37"/>
  <c r="BR32" i="37"/>
  <c r="BS32" i="37"/>
  <c r="BT32" i="37"/>
  <c r="BU32" i="37"/>
  <c r="BV32" i="37"/>
  <c r="BW32" i="37"/>
  <c r="BX32" i="37"/>
  <c r="BY32" i="37"/>
  <c r="BZ32" i="37"/>
  <c r="CA32" i="37"/>
  <c r="CB32" i="37"/>
  <c r="CC32" i="37"/>
  <c r="CD32" i="37"/>
  <c r="CE32" i="37"/>
  <c r="CF32" i="37"/>
  <c r="CG32" i="37"/>
  <c r="CH32" i="37"/>
  <c r="CI32" i="37"/>
  <c r="CJ32" i="37"/>
  <c r="CK32" i="37"/>
  <c r="CL32" i="37"/>
  <c r="CM32" i="37"/>
  <c r="CN32" i="37"/>
  <c r="BB33" i="37"/>
  <c r="BC33" i="37"/>
  <c r="BD33" i="37"/>
  <c r="BE33" i="37"/>
  <c r="BF33" i="37"/>
  <c r="BG33" i="37"/>
  <c r="BH33" i="37"/>
  <c r="BI33" i="37"/>
  <c r="BJ33" i="37"/>
  <c r="BK33" i="37"/>
  <c r="BL33" i="37"/>
  <c r="BM33" i="37"/>
  <c r="BN33" i="37"/>
  <c r="BO33" i="37"/>
  <c r="BP33" i="37"/>
  <c r="BQ33" i="37"/>
  <c r="BR33" i="37"/>
  <c r="BS33" i="37"/>
  <c r="BT33" i="37"/>
  <c r="BU33" i="37"/>
  <c r="BV33" i="37"/>
  <c r="BW33" i="37"/>
  <c r="BX33" i="37"/>
  <c r="BY33" i="37"/>
  <c r="BZ33" i="37"/>
  <c r="CA33" i="37"/>
  <c r="CB33" i="37"/>
  <c r="CC33" i="37"/>
  <c r="CD33" i="37"/>
  <c r="CE33" i="37"/>
  <c r="CF33" i="37"/>
  <c r="CG33" i="37"/>
  <c r="CH33" i="37"/>
  <c r="CI33" i="37"/>
  <c r="CJ33" i="37"/>
  <c r="CK33" i="37"/>
  <c r="CL33" i="37"/>
  <c r="CM33" i="37"/>
  <c r="CN33" i="37"/>
  <c r="BB34" i="37"/>
  <c r="BC34" i="37"/>
  <c r="BD34" i="37"/>
  <c r="BE34" i="37"/>
  <c r="BF34" i="37"/>
  <c r="BG34" i="37"/>
  <c r="BH34" i="37"/>
  <c r="BI34" i="37"/>
  <c r="BJ34" i="37"/>
  <c r="BK34" i="37"/>
  <c r="BL34" i="37"/>
  <c r="BM34" i="37"/>
  <c r="BN34" i="37"/>
  <c r="BO34" i="37"/>
  <c r="BP34" i="37"/>
  <c r="BQ34" i="37"/>
  <c r="BR34" i="37"/>
  <c r="BS34" i="37"/>
  <c r="BT34" i="37"/>
  <c r="BU34" i="37"/>
  <c r="BV34" i="37"/>
  <c r="BW34" i="37"/>
  <c r="BX34" i="37"/>
  <c r="BY34" i="37"/>
  <c r="BZ34" i="37"/>
  <c r="CA34" i="37"/>
  <c r="CB34" i="37"/>
  <c r="CC34" i="37"/>
  <c r="CD34" i="37"/>
  <c r="CE34" i="37"/>
  <c r="CF34" i="37"/>
  <c r="CG34" i="37"/>
  <c r="CH34" i="37"/>
  <c r="CI34" i="37"/>
  <c r="CJ34" i="37"/>
  <c r="CK34" i="37"/>
  <c r="CL34" i="37"/>
  <c r="CM34" i="37"/>
  <c r="CN34" i="37"/>
  <c r="BB35" i="37"/>
  <c r="BC35" i="37"/>
  <c r="BD35" i="37"/>
  <c r="BE35" i="37"/>
  <c r="BF35" i="37"/>
  <c r="BG35" i="37"/>
  <c r="BH35" i="37"/>
  <c r="BI35" i="37"/>
  <c r="BJ35" i="37"/>
  <c r="BK35" i="37"/>
  <c r="BL35" i="37"/>
  <c r="BM35" i="37"/>
  <c r="BN35" i="37"/>
  <c r="BO35" i="37"/>
  <c r="BP35" i="37"/>
  <c r="BQ35" i="37"/>
  <c r="BR35" i="37"/>
  <c r="BS35" i="37"/>
  <c r="BT35" i="37"/>
  <c r="BU35" i="37"/>
  <c r="BV35" i="37"/>
  <c r="BW35" i="37"/>
  <c r="BX35" i="37"/>
  <c r="BY35" i="37"/>
  <c r="BZ35" i="37"/>
  <c r="CA35" i="37"/>
  <c r="CB35" i="37"/>
  <c r="CC35" i="37"/>
  <c r="CD35" i="37"/>
  <c r="CE35" i="37"/>
  <c r="CF35" i="37"/>
  <c r="CG35" i="37"/>
  <c r="CH35" i="37"/>
  <c r="CI35" i="37"/>
  <c r="CJ35" i="37"/>
  <c r="CK35" i="37"/>
  <c r="CL35" i="37"/>
  <c r="CM35" i="37"/>
  <c r="CN35" i="37"/>
  <c r="BB36" i="37"/>
  <c r="BC36" i="37"/>
  <c r="BD36" i="37"/>
  <c r="BE36" i="37"/>
  <c r="BF36" i="37"/>
  <c r="BG36" i="37"/>
  <c r="BH36" i="37"/>
  <c r="BI36" i="37"/>
  <c r="BJ36" i="37"/>
  <c r="BK36" i="37"/>
  <c r="BL36" i="37"/>
  <c r="BM36" i="37"/>
  <c r="BN36" i="37"/>
  <c r="BO36" i="37"/>
  <c r="BP36" i="37"/>
  <c r="BQ36" i="37"/>
  <c r="BR36" i="37"/>
  <c r="BS36" i="37"/>
  <c r="BT36" i="37"/>
  <c r="BU36" i="37"/>
  <c r="BV36" i="37"/>
  <c r="BW36" i="37"/>
  <c r="BX36" i="37"/>
  <c r="BY36" i="37"/>
  <c r="BZ36" i="37"/>
  <c r="CA36" i="37"/>
  <c r="CB36" i="37"/>
  <c r="CC36" i="37"/>
  <c r="CD36" i="37"/>
  <c r="CE36" i="37"/>
  <c r="CF36" i="37"/>
  <c r="CG36" i="37"/>
  <c r="CH36" i="37"/>
  <c r="CI36" i="37"/>
  <c r="CJ36" i="37"/>
  <c r="CK36" i="37"/>
  <c r="CL36" i="37"/>
  <c r="CM36" i="37"/>
  <c r="CN36" i="37"/>
  <c r="BB37" i="37"/>
  <c r="BC37" i="37"/>
  <c r="BD37" i="37"/>
  <c r="BE37" i="37"/>
  <c r="BF37" i="37"/>
  <c r="BG37" i="37"/>
  <c r="BH37" i="37"/>
  <c r="BI37" i="37"/>
  <c r="BJ37" i="37"/>
  <c r="BK37" i="37"/>
  <c r="BL37" i="37"/>
  <c r="BM37" i="37"/>
  <c r="BN37" i="37"/>
  <c r="BO37" i="37"/>
  <c r="BP37" i="37"/>
  <c r="BQ37" i="37"/>
  <c r="BR37" i="37"/>
  <c r="BS37" i="37"/>
  <c r="BT37" i="37"/>
  <c r="BU37" i="37"/>
  <c r="BV37" i="37"/>
  <c r="BW37" i="37"/>
  <c r="BX37" i="37"/>
  <c r="BY37" i="37"/>
  <c r="BZ37" i="37"/>
  <c r="CA37" i="37"/>
  <c r="CB37" i="37"/>
  <c r="CC37" i="37"/>
  <c r="CD37" i="37"/>
  <c r="CE37" i="37"/>
  <c r="CF37" i="37"/>
  <c r="CG37" i="37"/>
  <c r="CH37" i="37"/>
  <c r="CI37" i="37"/>
  <c r="CJ37" i="37"/>
  <c r="CK37" i="37"/>
  <c r="CL37" i="37"/>
  <c r="CM37" i="37"/>
  <c r="CN37" i="37"/>
  <c r="BB38" i="37"/>
  <c r="BC38" i="37"/>
  <c r="BD38" i="37"/>
  <c r="BE38" i="37"/>
  <c r="BF38" i="37"/>
  <c r="BG38" i="37"/>
  <c r="BH38" i="37"/>
  <c r="BI38" i="37"/>
  <c r="BJ38" i="37"/>
  <c r="BK38" i="37"/>
  <c r="BL38" i="37"/>
  <c r="BM38" i="37"/>
  <c r="BN38" i="37"/>
  <c r="BO38" i="37"/>
  <c r="BP38" i="37"/>
  <c r="BQ38" i="37"/>
  <c r="BR38" i="37"/>
  <c r="BS38" i="37"/>
  <c r="BT38" i="37"/>
  <c r="BU38" i="37"/>
  <c r="BV38" i="37"/>
  <c r="BW38" i="37"/>
  <c r="BX38" i="37"/>
  <c r="BY38" i="37"/>
  <c r="BZ38" i="37"/>
  <c r="CA38" i="37"/>
  <c r="CB38" i="37"/>
  <c r="CC38" i="37"/>
  <c r="CD38" i="37"/>
  <c r="CE38" i="37"/>
  <c r="CF38" i="37"/>
  <c r="CG38" i="37"/>
  <c r="CH38" i="37"/>
  <c r="CI38" i="37"/>
  <c r="CJ38" i="37"/>
  <c r="CK38" i="37"/>
  <c r="CL38" i="37"/>
  <c r="CM38" i="37"/>
  <c r="CN38" i="37"/>
  <c r="BB39" i="37"/>
  <c r="BC39" i="37"/>
  <c r="BD39" i="37"/>
  <c r="BE39" i="37"/>
  <c r="BF39" i="37"/>
  <c r="BG39" i="37"/>
  <c r="BH39" i="37"/>
  <c r="BI39" i="37"/>
  <c r="BJ39" i="37"/>
  <c r="BK39" i="37"/>
  <c r="BL39" i="37"/>
  <c r="BM39" i="37"/>
  <c r="BN39" i="37"/>
  <c r="BO39" i="37"/>
  <c r="BP39" i="37"/>
  <c r="BQ39" i="37"/>
  <c r="BR39" i="37"/>
  <c r="BS39" i="37"/>
  <c r="BT39" i="37"/>
  <c r="BU39" i="37"/>
  <c r="BV39" i="37"/>
  <c r="BW39" i="37"/>
  <c r="BX39" i="37"/>
  <c r="BY39" i="37"/>
  <c r="BZ39" i="37"/>
  <c r="CA39" i="37"/>
  <c r="CB39" i="37"/>
  <c r="CC39" i="37"/>
  <c r="CD39" i="37"/>
  <c r="CE39" i="37"/>
  <c r="CF39" i="37"/>
  <c r="CG39" i="37"/>
  <c r="CH39" i="37"/>
  <c r="CI39" i="37"/>
  <c r="CJ39" i="37"/>
  <c r="CK39" i="37"/>
  <c r="CL39" i="37"/>
  <c r="CM39" i="37"/>
  <c r="CN39" i="37"/>
  <c r="BB40" i="37"/>
  <c r="BC40" i="37"/>
  <c r="BD40" i="37"/>
  <c r="BE40" i="37"/>
  <c r="BF40" i="37"/>
  <c r="BG40" i="37"/>
  <c r="BH40" i="37"/>
  <c r="BI40" i="37"/>
  <c r="BJ40" i="37"/>
  <c r="BK40" i="37"/>
  <c r="BL40" i="37"/>
  <c r="BM40" i="37"/>
  <c r="BN40" i="37"/>
  <c r="BO40" i="37"/>
  <c r="BP40" i="37"/>
  <c r="BQ40" i="37"/>
  <c r="BR40" i="37"/>
  <c r="BS40" i="37"/>
  <c r="BT40" i="37"/>
  <c r="BU40" i="37"/>
  <c r="BV40" i="37"/>
  <c r="BW40" i="37"/>
  <c r="BX40" i="37"/>
  <c r="BY40" i="37"/>
  <c r="BZ40" i="37"/>
  <c r="CA40" i="37"/>
  <c r="CB40" i="37"/>
  <c r="CC40" i="37"/>
  <c r="CD40" i="37"/>
  <c r="CE40" i="37"/>
  <c r="CF40" i="37"/>
  <c r="CG40" i="37"/>
  <c r="CH40" i="37"/>
  <c r="CI40" i="37"/>
  <c r="CJ40" i="37"/>
  <c r="CK40" i="37"/>
  <c r="CL40" i="37"/>
  <c r="CM40" i="37"/>
  <c r="CN40" i="37"/>
  <c r="BB41" i="37"/>
  <c r="BC41" i="37"/>
  <c r="BD41" i="37"/>
  <c r="BE41" i="37"/>
  <c r="BF41" i="37"/>
  <c r="BG41" i="37"/>
  <c r="BH41" i="37"/>
  <c r="BI41" i="37"/>
  <c r="BJ41" i="37"/>
  <c r="BK41" i="37"/>
  <c r="BL41" i="37"/>
  <c r="BM41" i="37"/>
  <c r="BN41" i="37"/>
  <c r="BO41" i="37"/>
  <c r="BP41" i="37"/>
  <c r="BQ41" i="37"/>
  <c r="BR41" i="37"/>
  <c r="BS41" i="37"/>
  <c r="BT41" i="37"/>
  <c r="BU41" i="37"/>
  <c r="BV41" i="37"/>
  <c r="BW41" i="37"/>
  <c r="BX41" i="37"/>
  <c r="BY41" i="37"/>
  <c r="BZ41" i="37"/>
  <c r="CA41" i="37"/>
  <c r="CB41" i="37"/>
  <c r="CC41" i="37"/>
  <c r="CD41" i="37"/>
  <c r="CE41" i="37"/>
  <c r="CF41" i="37"/>
  <c r="CG41" i="37"/>
  <c r="CH41" i="37"/>
  <c r="CI41" i="37"/>
  <c r="CJ41" i="37"/>
  <c r="CK41" i="37"/>
  <c r="CL41" i="37"/>
  <c r="CM41" i="37"/>
  <c r="CN41" i="37"/>
  <c r="BB42" i="37"/>
  <c r="BC42" i="37"/>
  <c r="BD42" i="37"/>
  <c r="BE42" i="37"/>
  <c r="BF42" i="37"/>
  <c r="BG42" i="37"/>
  <c r="BH42" i="37"/>
  <c r="BI42" i="37"/>
  <c r="BJ42" i="37"/>
  <c r="BK42" i="37"/>
  <c r="BL42" i="37"/>
  <c r="BM42" i="37"/>
  <c r="BN42" i="37"/>
  <c r="BO42" i="37"/>
  <c r="BP42" i="37"/>
  <c r="BQ42" i="37"/>
  <c r="BR42" i="37"/>
  <c r="BS42" i="37"/>
  <c r="BT42" i="37"/>
  <c r="BU42" i="37"/>
  <c r="BV42" i="37"/>
  <c r="BW42" i="37"/>
  <c r="BX42" i="37"/>
  <c r="BY42" i="37"/>
  <c r="BZ42" i="37"/>
  <c r="CA42" i="37"/>
  <c r="CB42" i="37"/>
  <c r="CC42" i="37"/>
  <c r="CD42" i="37"/>
  <c r="CE42" i="37"/>
  <c r="CF42" i="37"/>
  <c r="CG42" i="37"/>
  <c r="CH42" i="37"/>
  <c r="CI42" i="37"/>
  <c r="CJ42" i="37"/>
  <c r="CK42" i="37"/>
  <c r="CL42" i="37"/>
  <c r="CM42" i="37"/>
  <c r="CN42" i="37"/>
  <c r="BB43" i="37"/>
  <c r="BC43" i="37"/>
  <c r="BD43" i="37"/>
  <c r="BE43" i="37"/>
  <c r="BF43" i="37"/>
  <c r="BG43" i="37"/>
  <c r="BH43" i="37"/>
  <c r="BI43" i="37"/>
  <c r="BJ43" i="37"/>
  <c r="BK43" i="37"/>
  <c r="BL43" i="37"/>
  <c r="BM43" i="37"/>
  <c r="BN43" i="37"/>
  <c r="BO43" i="37"/>
  <c r="BP43" i="37"/>
  <c r="BQ43" i="37"/>
  <c r="BR43" i="37"/>
  <c r="BS43" i="37"/>
  <c r="BT43" i="37"/>
  <c r="BU43" i="37"/>
  <c r="BV43" i="37"/>
  <c r="BW43" i="37"/>
  <c r="BX43" i="37"/>
  <c r="BY43" i="37"/>
  <c r="BZ43" i="37"/>
  <c r="CA43" i="37"/>
  <c r="CB43" i="37"/>
  <c r="CC43" i="37"/>
  <c r="CD43" i="37"/>
  <c r="CE43" i="37"/>
  <c r="CF43" i="37"/>
  <c r="CG43" i="37"/>
  <c r="CH43" i="37"/>
  <c r="CI43" i="37"/>
  <c r="CJ43" i="37"/>
  <c r="CK43" i="37"/>
  <c r="CL43" i="37"/>
  <c r="CM43" i="37"/>
  <c r="CN43" i="37"/>
  <c r="BB44" i="37"/>
  <c r="BC44" i="37"/>
  <c r="BD44" i="37"/>
  <c r="BE44" i="37"/>
  <c r="BF44" i="37"/>
  <c r="BG44" i="37"/>
  <c r="BH44" i="37"/>
  <c r="BI44" i="37"/>
  <c r="BJ44" i="37"/>
  <c r="BK44" i="37"/>
  <c r="BL44" i="37"/>
  <c r="BM44" i="37"/>
  <c r="BN44" i="37"/>
  <c r="BO44" i="37"/>
  <c r="BP44" i="37"/>
  <c r="BQ44" i="37"/>
  <c r="BR44" i="37"/>
  <c r="BS44" i="37"/>
  <c r="BT44" i="37"/>
  <c r="BU44" i="37"/>
  <c r="BV44" i="37"/>
  <c r="BW44" i="37"/>
  <c r="BX44" i="37"/>
  <c r="BY44" i="37"/>
  <c r="BZ44" i="37"/>
  <c r="CA44" i="37"/>
  <c r="CB44" i="37"/>
  <c r="CC44" i="37"/>
  <c r="CD44" i="37"/>
  <c r="CE44" i="37"/>
  <c r="CF44" i="37"/>
  <c r="CG44" i="37"/>
  <c r="CH44" i="37"/>
  <c r="CI44" i="37"/>
  <c r="CJ44" i="37"/>
  <c r="CK44" i="37"/>
  <c r="CL44" i="37"/>
  <c r="CM44" i="37"/>
  <c r="CN44" i="37"/>
  <c r="BB45" i="37"/>
  <c r="BC45" i="37"/>
  <c r="BD45" i="37"/>
  <c r="BE45" i="37"/>
  <c r="BF45" i="37"/>
  <c r="BG45" i="37"/>
  <c r="BH45" i="37"/>
  <c r="BI45" i="37"/>
  <c r="BJ45" i="37"/>
  <c r="BK45" i="37"/>
  <c r="BL45" i="37"/>
  <c r="BM45" i="37"/>
  <c r="BN45" i="37"/>
  <c r="BO45" i="37"/>
  <c r="BP45" i="37"/>
  <c r="BQ45" i="37"/>
  <c r="BR45" i="37"/>
  <c r="BS45" i="37"/>
  <c r="BT45" i="37"/>
  <c r="BU45" i="37"/>
  <c r="BV45" i="37"/>
  <c r="BW45" i="37"/>
  <c r="BX45" i="37"/>
  <c r="BY45" i="37"/>
  <c r="BZ45" i="37"/>
  <c r="CA45" i="37"/>
  <c r="CB45" i="37"/>
  <c r="CC45" i="37"/>
  <c r="CD45" i="37"/>
  <c r="CE45" i="37"/>
  <c r="CF45" i="37"/>
  <c r="CG45" i="37"/>
  <c r="CH45" i="37"/>
  <c r="CI45" i="37"/>
  <c r="CJ45" i="37"/>
  <c r="CK45" i="37"/>
  <c r="CL45" i="37"/>
  <c r="CM45" i="37"/>
  <c r="CN45" i="37"/>
  <c r="BB46" i="37"/>
  <c r="BC46" i="37"/>
  <c r="BD46" i="37"/>
  <c r="BE46" i="37"/>
  <c r="BF46" i="37"/>
  <c r="BG46" i="37"/>
  <c r="BH46" i="37"/>
  <c r="BI46" i="37"/>
  <c r="BJ46" i="37"/>
  <c r="BK46" i="37"/>
  <c r="BL46" i="37"/>
  <c r="BM46" i="37"/>
  <c r="BN46" i="37"/>
  <c r="BO46" i="37"/>
  <c r="BP46" i="37"/>
  <c r="BQ46" i="37"/>
  <c r="BR46" i="37"/>
  <c r="BS46" i="37"/>
  <c r="BT46" i="37"/>
  <c r="BU46" i="37"/>
  <c r="BV46" i="37"/>
  <c r="BW46" i="37"/>
  <c r="BX46" i="37"/>
  <c r="BY46" i="37"/>
  <c r="BZ46" i="37"/>
  <c r="CA46" i="37"/>
  <c r="CB46" i="37"/>
  <c r="CC46" i="37"/>
  <c r="CD46" i="37"/>
  <c r="CE46" i="37"/>
  <c r="CF46" i="37"/>
  <c r="CG46" i="37"/>
  <c r="CH46" i="37"/>
  <c r="CI46" i="37"/>
  <c r="CJ46" i="37"/>
  <c r="CK46" i="37"/>
  <c r="CL46" i="37"/>
  <c r="CM46" i="37"/>
  <c r="CN46" i="37"/>
  <c r="BB47" i="37"/>
  <c r="BC47" i="37"/>
  <c r="BD47" i="37"/>
  <c r="BE47" i="37"/>
  <c r="BF47" i="37"/>
  <c r="BG47" i="37"/>
  <c r="BH47" i="37"/>
  <c r="BI47" i="37"/>
  <c r="BJ47" i="37"/>
  <c r="BK47" i="37"/>
  <c r="BL47" i="37"/>
  <c r="BM47" i="37"/>
  <c r="BN47" i="37"/>
  <c r="BO47" i="37"/>
  <c r="BP47" i="37"/>
  <c r="BQ47" i="37"/>
  <c r="BR47" i="37"/>
  <c r="BS47" i="37"/>
  <c r="BT47" i="37"/>
  <c r="BU47" i="37"/>
  <c r="BV47" i="37"/>
  <c r="BW47" i="37"/>
  <c r="BX47" i="37"/>
  <c r="BY47" i="37"/>
  <c r="BZ47" i="37"/>
  <c r="CA47" i="37"/>
  <c r="CB47" i="37"/>
  <c r="CC47" i="37"/>
  <c r="CD47" i="37"/>
  <c r="CE47" i="37"/>
  <c r="CF47" i="37"/>
  <c r="CG47" i="37"/>
  <c r="CH47" i="37"/>
  <c r="CI47" i="37"/>
  <c r="CJ47" i="37"/>
  <c r="CK47" i="37"/>
  <c r="CL47" i="37"/>
  <c r="CM47" i="37"/>
  <c r="CN47" i="37"/>
  <c r="BB48" i="37"/>
  <c r="BC48" i="37"/>
  <c r="BD48" i="37"/>
  <c r="BE48" i="37"/>
  <c r="BF48" i="37"/>
  <c r="BG48" i="37"/>
  <c r="BH48" i="37"/>
  <c r="BI48" i="37"/>
  <c r="BJ48" i="37"/>
  <c r="BK48" i="37"/>
  <c r="BL48" i="37"/>
  <c r="BM48" i="37"/>
  <c r="BN48" i="37"/>
  <c r="BO48" i="37"/>
  <c r="BP48" i="37"/>
  <c r="BQ48" i="37"/>
  <c r="BR48" i="37"/>
  <c r="BS48" i="37"/>
  <c r="BT48" i="37"/>
  <c r="BU48" i="37"/>
  <c r="BV48" i="37"/>
  <c r="BW48" i="37"/>
  <c r="BX48" i="37"/>
  <c r="BY48" i="37"/>
  <c r="BZ48" i="37"/>
  <c r="CA48" i="37"/>
  <c r="CB48" i="37"/>
  <c r="CC48" i="37"/>
  <c r="CD48" i="37"/>
  <c r="CE48" i="37"/>
  <c r="CF48" i="37"/>
  <c r="CG48" i="37"/>
  <c r="CH48" i="37"/>
  <c r="CI48" i="37"/>
  <c r="CJ48" i="37"/>
  <c r="CK48" i="37"/>
  <c r="CL48" i="37"/>
  <c r="CM48" i="37"/>
  <c r="CN48" i="37"/>
  <c r="BB49" i="37"/>
  <c r="BC49" i="37"/>
  <c r="BD49" i="37"/>
  <c r="BE49" i="37"/>
  <c r="BF49" i="37"/>
  <c r="BG49" i="37"/>
  <c r="BH49" i="37"/>
  <c r="BI49" i="37"/>
  <c r="BJ49" i="37"/>
  <c r="BK49" i="37"/>
  <c r="BL49" i="37"/>
  <c r="BM49" i="37"/>
  <c r="BN49" i="37"/>
  <c r="BO49" i="37"/>
  <c r="BP49" i="37"/>
  <c r="BQ49" i="37"/>
  <c r="BR49" i="37"/>
  <c r="BS49" i="37"/>
  <c r="BT49" i="37"/>
  <c r="BU49" i="37"/>
  <c r="BV49" i="37"/>
  <c r="BW49" i="37"/>
  <c r="BX49" i="37"/>
  <c r="BY49" i="37"/>
  <c r="BZ49" i="37"/>
  <c r="CA49" i="37"/>
  <c r="CB49" i="37"/>
  <c r="CC49" i="37"/>
  <c r="CD49" i="37"/>
  <c r="CE49" i="37"/>
  <c r="CF49" i="37"/>
  <c r="CG49" i="37"/>
  <c r="CH49" i="37"/>
  <c r="CI49" i="37"/>
  <c r="CJ49" i="37"/>
  <c r="CK49" i="37"/>
  <c r="CL49" i="37"/>
  <c r="CM49" i="37"/>
  <c r="CN49" i="37"/>
  <c r="BB50" i="37"/>
  <c r="BC50" i="37"/>
  <c r="BD50" i="37"/>
  <c r="BE50" i="37"/>
  <c r="BF50" i="37"/>
  <c r="BG50" i="37"/>
  <c r="BH50" i="37"/>
  <c r="BI50" i="37"/>
  <c r="BJ50" i="37"/>
  <c r="BK50" i="37"/>
  <c r="BL50" i="37"/>
  <c r="BM50" i="37"/>
  <c r="BN50" i="37"/>
  <c r="BO50" i="37"/>
  <c r="BP50" i="37"/>
  <c r="BQ50" i="37"/>
  <c r="BR50" i="37"/>
  <c r="BS50" i="37"/>
  <c r="BT50" i="37"/>
  <c r="BU50" i="37"/>
  <c r="BV50" i="37"/>
  <c r="BW50" i="37"/>
  <c r="BX50" i="37"/>
  <c r="BY50" i="37"/>
  <c r="BZ50" i="37"/>
  <c r="CA50" i="37"/>
  <c r="CB50" i="37"/>
  <c r="CC50" i="37"/>
  <c r="CD50" i="37"/>
  <c r="CE50" i="37"/>
  <c r="CF50" i="37"/>
  <c r="CG50" i="37"/>
  <c r="CH50" i="37"/>
  <c r="CI50" i="37"/>
  <c r="CJ50" i="37"/>
  <c r="CK50" i="37"/>
  <c r="CL50" i="37"/>
  <c r="CM50" i="37"/>
  <c r="CN50" i="37"/>
  <c r="BB51" i="37"/>
  <c r="BC51" i="37"/>
  <c r="BD51" i="37"/>
  <c r="BE51" i="37"/>
  <c r="BF51" i="37"/>
  <c r="BG51" i="37"/>
  <c r="BH51" i="37"/>
  <c r="BI51" i="37"/>
  <c r="BJ51" i="37"/>
  <c r="BK51" i="37"/>
  <c r="BL51" i="37"/>
  <c r="BM51" i="37"/>
  <c r="BN51" i="37"/>
  <c r="BO51" i="37"/>
  <c r="BP51" i="37"/>
  <c r="BQ51" i="37"/>
  <c r="BR51" i="37"/>
  <c r="BS51" i="37"/>
  <c r="BT51" i="37"/>
  <c r="BU51" i="37"/>
  <c r="BV51" i="37"/>
  <c r="BW51" i="37"/>
  <c r="BX51" i="37"/>
  <c r="BY51" i="37"/>
  <c r="BZ51" i="37"/>
  <c r="CA51" i="37"/>
  <c r="CB51" i="37"/>
  <c r="CC51" i="37"/>
  <c r="CD51" i="37"/>
  <c r="CE51" i="37"/>
  <c r="CF51" i="37"/>
  <c r="CG51" i="37"/>
  <c r="CH51" i="37"/>
  <c r="CI51" i="37"/>
  <c r="CJ51" i="37"/>
  <c r="CK51" i="37"/>
  <c r="CL51" i="37"/>
  <c r="CM51" i="37"/>
  <c r="CN51" i="37"/>
  <c r="BB52" i="37"/>
  <c r="BC52" i="37"/>
  <c r="BD52" i="37"/>
  <c r="BE52" i="37"/>
  <c r="BF52" i="37"/>
  <c r="BG52" i="37"/>
  <c r="BH52" i="37"/>
  <c r="BI52" i="37"/>
  <c r="BJ52" i="37"/>
  <c r="BK52" i="37"/>
  <c r="BL52" i="37"/>
  <c r="BM52" i="37"/>
  <c r="BN52" i="37"/>
  <c r="BO52" i="37"/>
  <c r="BP52" i="37"/>
  <c r="BQ52" i="37"/>
  <c r="BR52" i="37"/>
  <c r="BS52" i="37"/>
  <c r="BT52" i="37"/>
  <c r="BU52" i="37"/>
  <c r="BV52" i="37"/>
  <c r="BW52" i="37"/>
  <c r="BX52" i="37"/>
  <c r="BY52" i="37"/>
  <c r="BZ52" i="37"/>
  <c r="CA52" i="37"/>
  <c r="CB52" i="37"/>
  <c r="CC52" i="37"/>
  <c r="CD52" i="37"/>
  <c r="CE52" i="37"/>
  <c r="CF52" i="37"/>
  <c r="CG52" i="37"/>
  <c r="CH52" i="37"/>
  <c r="CI52" i="37"/>
  <c r="CJ52" i="37"/>
  <c r="CK52" i="37"/>
  <c r="CL52" i="37"/>
  <c r="CM52" i="37"/>
  <c r="CN52" i="37"/>
  <c r="BB53" i="37"/>
  <c r="BC53" i="37"/>
  <c r="BD53" i="37"/>
  <c r="BE53" i="37"/>
  <c r="BF53" i="37"/>
  <c r="BG53" i="37"/>
  <c r="BH53" i="37"/>
  <c r="BI53" i="37"/>
  <c r="BJ53" i="37"/>
  <c r="BK53" i="37"/>
  <c r="BL53" i="37"/>
  <c r="BM53" i="37"/>
  <c r="BN53" i="37"/>
  <c r="BO53" i="37"/>
  <c r="BP53" i="37"/>
  <c r="BQ53" i="37"/>
  <c r="BR53" i="37"/>
  <c r="BS53" i="37"/>
  <c r="BT53" i="37"/>
  <c r="BU53" i="37"/>
  <c r="BV53" i="37"/>
  <c r="BW53" i="37"/>
  <c r="BX53" i="37"/>
  <c r="BY53" i="37"/>
  <c r="BZ53" i="37"/>
  <c r="CA53" i="37"/>
  <c r="CB53" i="37"/>
  <c r="CC53" i="37"/>
  <c r="CD53" i="37"/>
  <c r="CE53" i="37"/>
  <c r="CF53" i="37"/>
  <c r="CG53" i="37"/>
  <c r="CH53" i="37"/>
  <c r="CI53" i="37"/>
  <c r="CJ53" i="37"/>
  <c r="CK53" i="37"/>
  <c r="CL53" i="37"/>
  <c r="CM53" i="37"/>
  <c r="CN53" i="37"/>
  <c r="BB54" i="37"/>
  <c r="BC54" i="37"/>
  <c r="BD54" i="37"/>
  <c r="BE54" i="37"/>
  <c r="BF54" i="37"/>
  <c r="BG54" i="37"/>
  <c r="BH54" i="37"/>
  <c r="BI54" i="37"/>
  <c r="BJ54" i="37"/>
  <c r="BK54" i="37"/>
  <c r="BL54" i="37"/>
  <c r="BM54" i="37"/>
  <c r="BN54" i="37"/>
  <c r="BO54" i="37"/>
  <c r="BP54" i="37"/>
  <c r="BQ54" i="37"/>
  <c r="BR54" i="37"/>
  <c r="BS54" i="37"/>
  <c r="BT54" i="37"/>
  <c r="BU54" i="37"/>
  <c r="BV54" i="37"/>
  <c r="BW54" i="37"/>
  <c r="BX54" i="37"/>
  <c r="BY54" i="37"/>
  <c r="BZ54" i="37"/>
  <c r="CA54" i="37"/>
  <c r="CB54" i="37"/>
  <c r="CC54" i="37"/>
  <c r="CD54" i="37"/>
  <c r="CE54" i="37"/>
  <c r="CF54" i="37"/>
  <c r="CG54" i="37"/>
  <c r="CH54" i="37"/>
  <c r="CI54" i="37"/>
  <c r="CJ54" i="37"/>
  <c r="CK54" i="37"/>
  <c r="CL54" i="37"/>
  <c r="CM54" i="37"/>
  <c r="CN54" i="37"/>
  <c r="BB55" i="37"/>
  <c r="BC55" i="37"/>
  <c r="BD55" i="37"/>
  <c r="BE55" i="37"/>
  <c r="BF55" i="37"/>
  <c r="BG55" i="37"/>
  <c r="BH55" i="37"/>
  <c r="BI55" i="37"/>
  <c r="BJ55" i="37"/>
  <c r="BK55" i="37"/>
  <c r="BL55" i="37"/>
  <c r="BM55" i="37"/>
  <c r="BN55" i="37"/>
  <c r="BO55" i="37"/>
  <c r="BP55" i="37"/>
  <c r="BQ55" i="37"/>
  <c r="BR55" i="37"/>
  <c r="BS55" i="37"/>
  <c r="BT55" i="37"/>
  <c r="BU55" i="37"/>
  <c r="BV55" i="37"/>
  <c r="BW55" i="37"/>
  <c r="BX55" i="37"/>
  <c r="BY55" i="37"/>
  <c r="BZ55" i="37"/>
  <c r="CA55" i="37"/>
  <c r="CB55" i="37"/>
  <c r="CC55" i="37"/>
  <c r="CD55" i="37"/>
  <c r="CE55" i="37"/>
  <c r="CF55" i="37"/>
  <c r="CG55" i="37"/>
  <c r="CH55" i="37"/>
  <c r="CI55" i="37"/>
  <c r="CJ55" i="37"/>
  <c r="CK55" i="37"/>
  <c r="CL55" i="37"/>
  <c r="CM55" i="37"/>
  <c r="CN55" i="37"/>
  <c r="BB56" i="37"/>
  <c r="BC56" i="37"/>
  <c r="BD56" i="37"/>
  <c r="BE56" i="37"/>
  <c r="BF56" i="37"/>
  <c r="BG56" i="37"/>
  <c r="BH56" i="37"/>
  <c r="BI56" i="37"/>
  <c r="BJ56" i="37"/>
  <c r="BK56" i="37"/>
  <c r="BL56" i="37"/>
  <c r="BM56" i="37"/>
  <c r="BN56" i="37"/>
  <c r="BO56" i="37"/>
  <c r="BP56" i="37"/>
  <c r="BQ56" i="37"/>
  <c r="BR56" i="37"/>
  <c r="BS56" i="37"/>
  <c r="BT56" i="37"/>
  <c r="BU56" i="37"/>
  <c r="BV56" i="37"/>
  <c r="BW56" i="37"/>
  <c r="BX56" i="37"/>
  <c r="BY56" i="37"/>
  <c r="BZ56" i="37"/>
  <c r="CA56" i="37"/>
  <c r="CB56" i="37"/>
  <c r="CC56" i="37"/>
  <c r="CD56" i="37"/>
  <c r="CE56" i="37"/>
  <c r="CF56" i="37"/>
  <c r="CG56" i="37"/>
  <c r="CH56" i="37"/>
  <c r="CI56" i="37"/>
  <c r="CJ56" i="37"/>
  <c r="CK56" i="37"/>
  <c r="CL56" i="37"/>
  <c r="CM56" i="37"/>
  <c r="CN56" i="37"/>
  <c r="BB57" i="37"/>
  <c r="BC57" i="37"/>
  <c r="BD57" i="37"/>
  <c r="BE57" i="37"/>
  <c r="BF57" i="37"/>
  <c r="BG57" i="37"/>
  <c r="BH57" i="37"/>
  <c r="BI57" i="37"/>
  <c r="BJ57" i="37"/>
  <c r="BK57" i="37"/>
  <c r="BL57" i="37"/>
  <c r="BM57" i="37"/>
  <c r="BN57" i="37"/>
  <c r="BO57" i="37"/>
  <c r="BP57" i="37"/>
  <c r="BQ57" i="37"/>
  <c r="BR57" i="37"/>
  <c r="BS57" i="37"/>
  <c r="BT57" i="37"/>
  <c r="BU57" i="37"/>
  <c r="BV57" i="37"/>
  <c r="BW57" i="37"/>
  <c r="BX57" i="37"/>
  <c r="BY57" i="37"/>
  <c r="BZ57" i="37"/>
  <c r="CA57" i="37"/>
  <c r="CB57" i="37"/>
  <c r="CC57" i="37"/>
  <c r="CD57" i="37"/>
  <c r="CE57" i="37"/>
  <c r="CF57" i="37"/>
  <c r="CG57" i="37"/>
  <c r="CH57" i="37"/>
  <c r="CI57" i="37"/>
  <c r="CJ57" i="37"/>
  <c r="CK57" i="37"/>
  <c r="CL57" i="37"/>
  <c r="CM57" i="37"/>
  <c r="CN57" i="37"/>
  <c r="BB58" i="37"/>
  <c r="BC58" i="37"/>
  <c r="BD58" i="37"/>
  <c r="BE58" i="37"/>
  <c r="BF58" i="37"/>
  <c r="BG58" i="37"/>
  <c r="BH58" i="37"/>
  <c r="BI58" i="37"/>
  <c r="BJ58" i="37"/>
  <c r="BK58" i="37"/>
  <c r="BL58" i="37"/>
  <c r="BM58" i="37"/>
  <c r="BN58" i="37"/>
  <c r="BO58" i="37"/>
  <c r="BP58" i="37"/>
  <c r="BQ58" i="37"/>
  <c r="BR58" i="37"/>
  <c r="BS58" i="37"/>
  <c r="BT58" i="37"/>
  <c r="BU58" i="37"/>
  <c r="BV58" i="37"/>
  <c r="BW58" i="37"/>
  <c r="BX58" i="37"/>
  <c r="BY58" i="37"/>
  <c r="BZ58" i="37"/>
  <c r="CA58" i="37"/>
  <c r="CB58" i="37"/>
  <c r="CC58" i="37"/>
  <c r="CD58" i="37"/>
  <c r="CE58" i="37"/>
  <c r="CF58" i="37"/>
  <c r="CG58" i="37"/>
  <c r="CH58" i="37"/>
  <c r="CI58" i="37"/>
  <c r="CJ58" i="37"/>
  <c r="CK58" i="37"/>
  <c r="CL58" i="37"/>
  <c r="CM58" i="37"/>
  <c r="CN58" i="37"/>
  <c r="BB59" i="37"/>
  <c r="BC59" i="37"/>
  <c r="BD59" i="37"/>
  <c r="BE59" i="37"/>
  <c r="BF59" i="37"/>
  <c r="BG59" i="37"/>
  <c r="BH59" i="37"/>
  <c r="BI59" i="37"/>
  <c r="BJ59" i="37"/>
  <c r="BK59" i="37"/>
  <c r="BL59" i="37"/>
  <c r="BM59" i="37"/>
  <c r="BN59" i="37"/>
  <c r="BO59" i="37"/>
  <c r="BP59" i="37"/>
  <c r="BQ59" i="37"/>
  <c r="BR59" i="37"/>
  <c r="BS59" i="37"/>
  <c r="BT59" i="37"/>
  <c r="BU59" i="37"/>
  <c r="BV59" i="37"/>
  <c r="BW59" i="37"/>
  <c r="BX59" i="37"/>
  <c r="BY59" i="37"/>
  <c r="BZ59" i="37"/>
  <c r="CA59" i="37"/>
  <c r="CB59" i="37"/>
  <c r="CC59" i="37"/>
  <c r="CD59" i="37"/>
  <c r="CE59" i="37"/>
  <c r="CF59" i="37"/>
  <c r="CG59" i="37"/>
  <c r="CH59" i="37"/>
  <c r="CI59" i="37"/>
  <c r="CJ59" i="37"/>
  <c r="CK59" i="37"/>
  <c r="CL59" i="37"/>
  <c r="CM59" i="37"/>
  <c r="CN59" i="37"/>
  <c r="BB60" i="37"/>
  <c r="BC60" i="37"/>
  <c r="BD60" i="37"/>
  <c r="BE60" i="37"/>
  <c r="BF60" i="37"/>
  <c r="BG60" i="37"/>
  <c r="BH60" i="37"/>
  <c r="BI60" i="37"/>
  <c r="BJ60" i="37"/>
  <c r="BK60" i="37"/>
  <c r="BL60" i="37"/>
  <c r="BM60" i="37"/>
  <c r="BN60" i="37"/>
  <c r="BO60" i="37"/>
  <c r="BP60" i="37"/>
  <c r="BQ60" i="37"/>
  <c r="BR60" i="37"/>
  <c r="BS60" i="37"/>
  <c r="BT60" i="37"/>
  <c r="BU60" i="37"/>
  <c r="BV60" i="37"/>
  <c r="BW60" i="37"/>
  <c r="BX60" i="37"/>
  <c r="BY60" i="37"/>
  <c r="BZ60" i="37"/>
  <c r="CA60" i="37"/>
  <c r="CB60" i="37"/>
  <c r="CC60" i="37"/>
  <c r="CD60" i="37"/>
  <c r="CE60" i="37"/>
  <c r="CF60" i="37"/>
  <c r="CG60" i="37"/>
  <c r="CH60" i="37"/>
  <c r="CI60" i="37"/>
  <c r="CJ60" i="37"/>
  <c r="CK60" i="37"/>
  <c r="CL60" i="37"/>
  <c r="CM60" i="37"/>
  <c r="CN60" i="37"/>
  <c r="BB61" i="37"/>
  <c r="BC61" i="37"/>
  <c r="BD61" i="37"/>
  <c r="BE61" i="37"/>
  <c r="BF61" i="37"/>
  <c r="BG61" i="37"/>
  <c r="BH61" i="37"/>
  <c r="BI61" i="37"/>
  <c r="BJ61" i="37"/>
  <c r="BK61" i="37"/>
  <c r="BL61" i="37"/>
  <c r="BM61" i="37"/>
  <c r="BN61" i="37"/>
  <c r="BO61" i="37"/>
  <c r="BP61" i="37"/>
  <c r="BQ61" i="37"/>
  <c r="BR61" i="37"/>
  <c r="BS61" i="37"/>
  <c r="BT61" i="37"/>
  <c r="BU61" i="37"/>
  <c r="BV61" i="37"/>
  <c r="BW61" i="37"/>
  <c r="BX61" i="37"/>
  <c r="BY61" i="37"/>
  <c r="BZ61" i="37"/>
  <c r="CA61" i="37"/>
  <c r="CB61" i="37"/>
  <c r="CC61" i="37"/>
  <c r="CD61" i="37"/>
  <c r="CE61" i="37"/>
  <c r="CF61" i="37"/>
  <c r="CG61" i="37"/>
  <c r="CH61" i="37"/>
  <c r="CI61" i="37"/>
  <c r="CJ61" i="37"/>
  <c r="CK61" i="37"/>
  <c r="CL61" i="37"/>
  <c r="CM61" i="37"/>
  <c r="CN61" i="37"/>
  <c r="BB62" i="37"/>
  <c r="BC62" i="37"/>
  <c r="BD62" i="37"/>
  <c r="BE62" i="37"/>
  <c r="BF62" i="37"/>
  <c r="BG62" i="37"/>
  <c r="BH62" i="37"/>
  <c r="BI62" i="37"/>
  <c r="BJ62" i="37"/>
  <c r="BK62" i="37"/>
  <c r="BL62" i="37"/>
  <c r="BM62" i="37"/>
  <c r="BN62" i="37"/>
  <c r="BO62" i="37"/>
  <c r="BP62" i="37"/>
  <c r="BQ62" i="37"/>
  <c r="BR62" i="37"/>
  <c r="BS62" i="37"/>
  <c r="BT62" i="37"/>
  <c r="BU62" i="37"/>
  <c r="BV62" i="37"/>
  <c r="BW62" i="37"/>
  <c r="BX62" i="37"/>
  <c r="BY62" i="37"/>
  <c r="BZ62" i="37"/>
  <c r="CA62" i="37"/>
  <c r="CB62" i="37"/>
  <c r="CC62" i="37"/>
  <c r="CD62" i="37"/>
  <c r="CE62" i="37"/>
  <c r="CF62" i="37"/>
  <c r="CG62" i="37"/>
  <c r="CH62" i="37"/>
  <c r="CI62" i="37"/>
  <c r="CJ62" i="37"/>
  <c r="CK62" i="37"/>
  <c r="CL62" i="37"/>
  <c r="CM62" i="37"/>
  <c r="CN62" i="37"/>
  <c r="BB63" i="37"/>
  <c r="BC63" i="37"/>
  <c r="BD63" i="37"/>
  <c r="BE63" i="37"/>
  <c r="BF63" i="37"/>
  <c r="BG63" i="37"/>
  <c r="BH63" i="37"/>
  <c r="BI63" i="37"/>
  <c r="BJ63" i="37"/>
  <c r="BK63" i="37"/>
  <c r="BL63" i="37"/>
  <c r="BM63" i="37"/>
  <c r="BN63" i="37"/>
  <c r="BO63" i="37"/>
  <c r="BP63" i="37"/>
  <c r="BQ63" i="37"/>
  <c r="BR63" i="37"/>
  <c r="BS63" i="37"/>
  <c r="BT63" i="37"/>
  <c r="BU63" i="37"/>
  <c r="BV63" i="37"/>
  <c r="BW63" i="37"/>
  <c r="BX63" i="37"/>
  <c r="BY63" i="37"/>
  <c r="BZ63" i="37"/>
  <c r="CA63" i="37"/>
  <c r="CB63" i="37"/>
  <c r="CC63" i="37"/>
  <c r="CD63" i="37"/>
  <c r="CE63" i="37"/>
  <c r="CF63" i="37"/>
  <c r="CG63" i="37"/>
  <c r="CH63" i="37"/>
  <c r="CI63" i="37"/>
  <c r="CJ63" i="37"/>
  <c r="CK63" i="37"/>
  <c r="CL63" i="37"/>
  <c r="CM63" i="37"/>
  <c r="CN63" i="37"/>
  <c r="BB64" i="37"/>
  <c r="BC64" i="37"/>
  <c r="BD64" i="37"/>
  <c r="BE64" i="37"/>
  <c r="BF64" i="37"/>
  <c r="BG64" i="37"/>
  <c r="BH64" i="37"/>
  <c r="BI64" i="37"/>
  <c r="BJ64" i="37"/>
  <c r="BK64" i="37"/>
  <c r="BL64" i="37"/>
  <c r="BM64" i="37"/>
  <c r="BN64" i="37"/>
  <c r="BO64" i="37"/>
  <c r="BP64" i="37"/>
  <c r="BQ64" i="37"/>
  <c r="BR64" i="37"/>
  <c r="BS64" i="37"/>
  <c r="BT64" i="37"/>
  <c r="BU64" i="37"/>
  <c r="BV64" i="37"/>
  <c r="BW64" i="37"/>
  <c r="BX64" i="37"/>
  <c r="BY64" i="37"/>
  <c r="BZ64" i="37"/>
  <c r="CA64" i="37"/>
  <c r="CB64" i="37"/>
  <c r="CC64" i="37"/>
  <c r="CD64" i="37"/>
  <c r="CE64" i="37"/>
  <c r="CF64" i="37"/>
  <c r="CG64" i="37"/>
  <c r="CH64" i="37"/>
  <c r="CI64" i="37"/>
  <c r="CJ64" i="37"/>
  <c r="CK64" i="37"/>
  <c r="CL64" i="37"/>
  <c r="CM64" i="37"/>
  <c r="CN64" i="37"/>
  <c r="BB65" i="37"/>
  <c r="BC65" i="37"/>
  <c r="BD65" i="37"/>
  <c r="BE65" i="37"/>
  <c r="BF65" i="37"/>
  <c r="BG65" i="37"/>
  <c r="BH65" i="37"/>
  <c r="BI65" i="37"/>
  <c r="BJ65" i="37"/>
  <c r="BK65" i="37"/>
  <c r="BL65" i="37"/>
  <c r="BM65" i="37"/>
  <c r="BN65" i="37"/>
  <c r="BO65" i="37"/>
  <c r="BP65" i="37"/>
  <c r="BQ65" i="37"/>
  <c r="BR65" i="37"/>
  <c r="BS65" i="37"/>
  <c r="BT65" i="37"/>
  <c r="BU65" i="37"/>
  <c r="BV65" i="37"/>
  <c r="BW65" i="37"/>
  <c r="BX65" i="37"/>
  <c r="BY65" i="37"/>
  <c r="BZ65" i="37"/>
  <c r="CA65" i="37"/>
  <c r="CB65" i="37"/>
  <c r="CC65" i="37"/>
  <c r="CD65" i="37"/>
  <c r="CE65" i="37"/>
  <c r="CF65" i="37"/>
  <c r="CG65" i="37"/>
  <c r="CH65" i="37"/>
  <c r="CI65" i="37"/>
  <c r="CJ65" i="37"/>
  <c r="CK65" i="37"/>
  <c r="CL65" i="37"/>
  <c r="CM65" i="37"/>
  <c r="CN65" i="37"/>
  <c r="BB66" i="37"/>
  <c r="BC66" i="37"/>
  <c r="BD66" i="37"/>
  <c r="BE66" i="37"/>
  <c r="BF66" i="37"/>
  <c r="BG66" i="37"/>
  <c r="BH66" i="37"/>
  <c r="BI66" i="37"/>
  <c r="BJ66" i="37"/>
  <c r="BK66" i="37"/>
  <c r="BL66" i="37"/>
  <c r="BM66" i="37"/>
  <c r="BN66" i="37"/>
  <c r="BO66" i="37"/>
  <c r="BP66" i="37"/>
  <c r="BQ66" i="37"/>
  <c r="BR66" i="37"/>
  <c r="BS66" i="37"/>
  <c r="BT66" i="37"/>
  <c r="BU66" i="37"/>
  <c r="BV66" i="37"/>
  <c r="BW66" i="37"/>
  <c r="BX66" i="37"/>
  <c r="BY66" i="37"/>
  <c r="BZ66" i="37"/>
  <c r="CA66" i="37"/>
  <c r="CB66" i="37"/>
  <c r="CC66" i="37"/>
  <c r="CD66" i="37"/>
  <c r="CE66" i="37"/>
  <c r="CF66" i="37"/>
  <c r="CG66" i="37"/>
  <c r="CH66" i="37"/>
  <c r="CI66" i="37"/>
  <c r="CJ66" i="37"/>
  <c r="CK66" i="37"/>
  <c r="CL66" i="37"/>
  <c r="CM66" i="37"/>
  <c r="CN66" i="37"/>
  <c r="BB67" i="37"/>
  <c r="BC67" i="37"/>
  <c r="BD67" i="37"/>
  <c r="BE67" i="37"/>
  <c r="BF67" i="37"/>
  <c r="BG67" i="37"/>
  <c r="BH67" i="37"/>
  <c r="BI67" i="37"/>
  <c r="BJ67" i="37"/>
  <c r="BK67" i="37"/>
  <c r="BL67" i="37"/>
  <c r="BM67" i="37"/>
  <c r="BN67" i="37"/>
  <c r="BO67" i="37"/>
  <c r="BP67" i="37"/>
  <c r="BQ67" i="37"/>
  <c r="BR67" i="37"/>
  <c r="BS67" i="37"/>
  <c r="BT67" i="37"/>
  <c r="BU67" i="37"/>
  <c r="BV67" i="37"/>
  <c r="BW67" i="37"/>
  <c r="BX67" i="37"/>
  <c r="BY67" i="37"/>
  <c r="BZ67" i="37"/>
  <c r="CA67" i="37"/>
  <c r="CB67" i="37"/>
  <c r="CC67" i="37"/>
  <c r="CD67" i="37"/>
  <c r="CE67" i="37"/>
  <c r="CF67" i="37"/>
  <c r="CG67" i="37"/>
  <c r="CH67" i="37"/>
  <c r="CI67" i="37"/>
  <c r="CJ67" i="37"/>
  <c r="CK67" i="37"/>
  <c r="CL67" i="37"/>
  <c r="CM67" i="37"/>
  <c r="CN67" i="37"/>
  <c r="BB68" i="37"/>
  <c r="BC68" i="37"/>
  <c r="BD68" i="37"/>
  <c r="BE68" i="37"/>
  <c r="BF68" i="37"/>
  <c r="BG68" i="37"/>
  <c r="BH68" i="37"/>
  <c r="BI68" i="37"/>
  <c r="BJ68" i="37"/>
  <c r="BK68" i="37"/>
  <c r="BL68" i="37"/>
  <c r="BM68" i="37"/>
  <c r="BN68" i="37"/>
  <c r="BO68" i="37"/>
  <c r="BP68" i="37"/>
  <c r="BQ68" i="37"/>
  <c r="BR68" i="37"/>
  <c r="BS68" i="37"/>
  <c r="BT68" i="37"/>
  <c r="BU68" i="37"/>
  <c r="BV68" i="37"/>
  <c r="BW68" i="37"/>
  <c r="BX68" i="37"/>
  <c r="BY68" i="37"/>
  <c r="BZ68" i="37"/>
  <c r="CA68" i="37"/>
  <c r="CB68" i="37"/>
  <c r="CC68" i="37"/>
  <c r="CD68" i="37"/>
  <c r="CE68" i="37"/>
  <c r="CF68" i="37"/>
  <c r="CG68" i="37"/>
  <c r="CH68" i="37"/>
  <c r="CI68" i="37"/>
  <c r="CJ68" i="37"/>
  <c r="CK68" i="37"/>
  <c r="CL68" i="37"/>
  <c r="CM68" i="37"/>
  <c r="CN68" i="37"/>
  <c r="BB69" i="37"/>
  <c r="BC69" i="37"/>
  <c r="BD69" i="37"/>
  <c r="BE69" i="37"/>
  <c r="BF69" i="37"/>
  <c r="BG69" i="37"/>
  <c r="BH69" i="37"/>
  <c r="BI69" i="37"/>
  <c r="BJ69" i="37"/>
  <c r="BK69" i="37"/>
  <c r="BL69" i="37"/>
  <c r="BM69" i="37"/>
  <c r="BN69" i="37"/>
  <c r="BO69" i="37"/>
  <c r="BP69" i="37"/>
  <c r="BQ69" i="37"/>
  <c r="BR69" i="37"/>
  <c r="BS69" i="37"/>
  <c r="BT69" i="37"/>
  <c r="BU69" i="37"/>
  <c r="BV69" i="37"/>
  <c r="BW69" i="37"/>
  <c r="BX69" i="37"/>
  <c r="BY69" i="37"/>
  <c r="BZ69" i="37"/>
  <c r="CA69" i="37"/>
  <c r="CB69" i="37"/>
  <c r="CC69" i="37"/>
  <c r="CD69" i="37"/>
  <c r="CE69" i="37"/>
  <c r="CF69" i="37"/>
  <c r="CG69" i="37"/>
  <c r="CH69" i="37"/>
  <c r="CI69" i="37"/>
  <c r="CJ69" i="37"/>
  <c r="CK69" i="37"/>
  <c r="CL69" i="37"/>
  <c r="CM69" i="37"/>
  <c r="CN69" i="37"/>
  <c r="BB70" i="37"/>
  <c r="BC70" i="37"/>
  <c r="BD70" i="37"/>
  <c r="BE70" i="37"/>
  <c r="BF70" i="37"/>
  <c r="BG70" i="37"/>
  <c r="BH70" i="37"/>
  <c r="BI70" i="37"/>
  <c r="BJ70" i="37"/>
  <c r="BK70" i="37"/>
  <c r="BL70" i="37"/>
  <c r="BM70" i="37"/>
  <c r="BN70" i="37"/>
  <c r="BO70" i="37"/>
  <c r="BP70" i="37"/>
  <c r="BQ70" i="37"/>
  <c r="BR70" i="37"/>
  <c r="BS70" i="37"/>
  <c r="BT70" i="37"/>
  <c r="BU70" i="37"/>
  <c r="BV70" i="37"/>
  <c r="BW70" i="37"/>
  <c r="BX70" i="37"/>
  <c r="BY70" i="37"/>
  <c r="BZ70" i="37"/>
  <c r="CA70" i="37"/>
  <c r="CB70" i="37"/>
  <c r="CC70" i="37"/>
  <c r="CD70" i="37"/>
  <c r="CE70" i="37"/>
  <c r="CF70" i="37"/>
  <c r="CG70" i="37"/>
  <c r="CH70" i="37"/>
  <c r="CI70" i="37"/>
  <c r="CJ70" i="37"/>
  <c r="CK70" i="37"/>
  <c r="CL70" i="37"/>
  <c r="CM70" i="37"/>
  <c r="CN70" i="37"/>
  <c r="BB71" i="37"/>
  <c r="BC71" i="37"/>
  <c r="BD71" i="37"/>
  <c r="BE71" i="37"/>
  <c r="BF71" i="37"/>
  <c r="BG71" i="37"/>
  <c r="BH71" i="37"/>
  <c r="BI71" i="37"/>
  <c r="BJ71" i="37"/>
  <c r="BK71" i="37"/>
  <c r="BL71" i="37"/>
  <c r="BM71" i="37"/>
  <c r="BN71" i="37"/>
  <c r="BO71" i="37"/>
  <c r="BP71" i="37"/>
  <c r="BQ71" i="37"/>
  <c r="BR71" i="37"/>
  <c r="BS71" i="37"/>
  <c r="BT71" i="37"/>
  <c r="BU71" i="37"/>
  <c r="BV71" i="37"/>
  <c r="BW71" i="37"/>
  <c r="BX71" i="37"/>
  <c r="BY71" i="37"/>
  <c r="BZ71" i="37"/>
  <c r="CA71" i="37"/>
  <c r="CB71" i="37"/>
  <c r="CC71" i="37"/>
  <c r="CD71" i="37"/>
  <c r="CE71" i="37"/>
  <c r="CF71" i="37"/>
  <c r="CG71" i="37"/>
  <c r="CH71" i="37"/>
  <c r="CI71" i="37"/>
  <c r="CJ71" i="37"/>
  <c r="CK71" i="37"/>
  <c r="CL71" i="37"/>
  <c r="CM71" i="37"/>
  <c r="CN71" i="37"/>
  <c r="BB72" i="37"/>
  <c r="BC72" i="37"/>
  <c r="BD72" i="37"/>
  <c r="BE72" i="37"/>
  <c r="BF72" i="37"/>
  <c r="BG72" i="37"/>
  <c r="BH72" i="37"/>
  <c r="BI72" i="37"/>
  <c r="BJ72" i="37"/>
  <c r="BK72" i="37"/>
  <c r="BL72" i="37"/>
  <c r="BM72" i="37"/>
  <c r="BN72" i="37"/>
  <c r="BO72" i="37"/>
  <c r="BP72" i="37"/>
  <c r="BQ72" i="37"/>
  <c r="BR72" i="37"/>
  <c r="BS72" i="37"/>
  <c r="BT72" i="37"/>
  <c r="BU72" i="37"/>
  <c r="BV72" i="37"/>
  <c r="BW72" i="37"/>
  <c r="BX72" i="37"/>
  <c r="BY72" i="37"/>
  <c r="BZ72" i="37"/>
  <c r="CA72" i="37"/>
  <c r="CB72" i="37"/>
  <c r="CC72" i="37"/>
  <c r="CD72" i="37"/>
  <c r="CE72" i="37"/>
  <c r="CF72" i="37"/>
  <c r="CG72" i="37"/>
  <c r="CH72" i="37"/>
  <c r="CI72" i="37"/>
  <c r="CJ72" i="37"/>
  <c r="CK72" i="37"/>
  <c r="CL72" i="37"/>
  <c r="CM72" i="37"/>
  <c r="CN72" i="37"/>
  <c r="BB73" i="37"/>
  <c r="BC73" i="37"/>
  <c r="BD73" i="37"/>
  <c r="BE73" i="37"/>
  <c r="BF73" i="37"/>
  <c r="BG73" i="37"/>
  <c r="BH73" i="37"/>
  <c r="BI73" i="37"/>
  <c r="BJ73" i="37"/>
  <c r="BK73" i="37"/>
  <c r="BL73" i="37"/>
  <c r="BM73" i="37"/>
  <c r="BN73" i="37"/>
  <c r="BO73" i="37"/>
  <c r="BP73" i="37"/>
  <c r="BQ73" i="37"/>
  <c r="BR73" i="37"/>
  <c r="BS73" i="37"/>
  <c r="BT73" i="37"/>
  <c r="BU73" i="37"/>
  <c r="BV73" i="37"/>
  <c r="BW73" i="37"/>
  <c r="BX73" i="37"/>
  <c r="BY73" i="37"/>
  <c r="BZ73" i="37"/>
  <c r="CA73" i="37"/>
  <c r="CB73" i="37"/>
  <c r="CC73" i="37"/>
  <c r="CD73" i="37"/>
  <c r="CE73" i="37"/>
  <c r="CF73" i="37"/>
  <c r="CG73" i="37"/>
  <c r="CH73" i="37"/>
  <c r="CI73" i="37"/>
  <c r="CJ73" i="37"/>
  <c r="CK73" i="37"/>
  <c r="CL73" i="37"/>
  <c r="CM73" i="37"/>
  <c r="CN73" i="37"/>
  <c r="BB74" i="37"/>
  <c r="BC74" i="37"/>
  <c r="BD74" i="37"/>
  <c r="BE74" i="37"/>
  <c r="BF74" i="37"/>
  <c r="BG74" i="37"/>
  <c r="BH74" i="37"/>
  <c r="BI74" i="37"/>
  <c r="BJ74" i="37"/>
  <c r="BK74" i="37"/>
  <c r="BL74" i="37"/>
  <c r="BM74" i="37"/>
  <c r="BN74" i="37"/>
  <c r="BO74" i="37"/>
  <c r="BP74" i="37"/>
  <c r="BQ74" i="37"/>
  <c r="BR74" i="37"/>
  <c r="BS74" i="37"/>
  <c r="BT74" i="37"/>
  <c r="BU74" i="37"/>
  <c r="BV74" i="37"/>
  <c r="BW74" i="37"/>
  <c r="BX74" i="37"/>
  <c r="BY74" i="37"/>
  <c r="BZ74" i="37"/>
  <c r="CA74" i="37"/>
  <c r="CB74" i="37"/>
  <c r="CC74" i="37"/>
  <c r="CD74" i="37"/>
  <c r="CE74" i="37"/>
  <c r="CF74" i="37"/>
  <c r="CG74" i="37"/>
  <c r="CH74" i="37"/>
  <c r="CI74" i="37"/>
  <c r="CJ74" i="37"/>
  <c r="CK74" i="37"/>
  <c r="CL74" i="37"/>
  <c r="CM74" i="37"/>
  <c r="CN74" i="37"/>
  <c r="BB75" i="37"/>
  <c r="BC75" i="37"/>
  <c r="BD75" i="37"/>
  <c r="BE75" i="37"/>
  <c r="BF75" i="37"/>
  <c r="BG75" i="37"/>
  <c r="BH75" i="37"/>
  <c r="BI75" i="37"/>
  <c r="BJ75" i="37"/>
  <c r="BK75" i="37"/>
  <c r="BL75" i="37"/>
  <c r="BM75" i="37"/>
  <c r="BN75" i="37"/>
  <c r="BO75" i="37"/>
  <c r="BP75" i="37"/>
  <c r="BQ75" i="37"/>
  <c r="BR75" i="37"/>
  <c r="BS75" i="37"/>
  <c r="BT75" i="37"/>
  <c r="BU75" i="37"/>
  <c r="BV75" i="37"/>
  <c r="BW75" i="37"/>
  <c r="BX75" i="37"/>
  <c r="BY75" i="37"/>
  <c r="BZ75" i="37"/>
  <c r="CA75" i="37"/>
  <c r="CB75" i="37"/>
  <c r="CC75" i="37"/>
  <c r="CD75" i="37"/>
  <c r="CE75" i="37"/>
  <c r="CF75" i="37"/>
  <c r="CG75" i="37"/>
  <c r="CH75" i="37"/>
  <c r="CI75" i="37"/>
  <c r="CJ75" i="37"/>
  <c r="CK75" i="37"/>
  <c r="CL75" i="37"/>
  <c r="CM75" i="37"/>
  <c r="CN75" i="37"/>
  <c r="BB76" i="37"/>
  <c r="BC76" i="37"/>
  <c r="BD76" i="37"/>
  <c r="BE76" i="37"/>
  <c r="BF76" i="37"/>
  <c r="BG76" i="37"/>
  <c r="BH76" i="37"/>
  <c r="BI76" i="37"/>
  <c r="BJ76" i="37"/>
  <c r="BK76" i="37"/>
  <c r="BL76" i="37"/>
  <c r="BM76" i="37"/>
  <c r="BN76" i="37"/>
  <c r="BO76" i="37"/>
  <c r="BP76" i="37"/>
  <c r="BQ76" i="37"/>
  <c r="BR76" i="37"/>
  <c r="BS76" i="37"/>
  <c r="BT76" i="37"/>
  <c r="BU76" i="37"/>
  <c r="BV76" i="37"/>
  <c r="BW76" i="37"/>
  <c r="BX76" i="37"/>
  <c r="BY76" i="37"/>
  <c r="BZ76" i="37"/>
  <c r="CA76" i="37"/>
  <c r="CB76" i="37"/>
  <c r="CC76" i="37"/>
  <c r="CD76" i="37"/>
  <c r="CE76" i="37"/>
  <c r="CF76" i="37"/>
  <c r="CG76" i="37"/>
  <c r="CH76" i="37"/>
  <c r="CI76" i="37"/>
  <c r="CJ76" i="37"/>
  <c r="CK76" i="37"/>
  <c r="CL76" i="37"/>
  <c r="CM76" i="37"/>
  <c r="CN76" i="37"/>
  <c r="BB77" i="37"/>
  <c r="BC77" i="37"/>
  <c r="BD77" i="37"/>
  <c r="BE77" i="37"/>
  <c r="BF77" i="37"/>
  <c r="BG77" i="37"/>
  <c r="BH77" i="37"/>
  <c r="BI77" i="37"/>
  <c r="BJ77" i="37"/>
  <c r="BK77" i="37"/>
  <c r="BL77" i="37"/>
  <c r="BM77" i="37"/>
  <c r="BN77" i="37"/>
  <c r="BO77" i="37"/>
  <c r="BP77" i="37"/>
  <c r="BQ77" i="37"/>
  <c r="BR77" i="37"/>
  <c r="BS77" i="37"/>
  <c r="BT77" i="37"/>
  <c r="BU77" i="37"/>
  <c r="BV77" i="37"/>
  <c r="BW77" i="37"/>
  <c r="BX77" i="37"/>
  <c r="BY77" i="37"/>
  <c r="BZ77" i="37"/>
  <c r="CA77" i="37"/>
  <c r="CB77" i="37"/>
  <c r="CC77" i="37"/>
  <c r="CD77" i="37"/>
  <c r="CE77" i="37"/>
  <c r="CF77" i="37"/>
  <c r="CG77" i="37"/>
  <c r="CH77" i="37"/>
  <c r="CI77" i="37"/>
  <c r="CJ77" i="37"/>
  <c r="CK77" i="37"/>
  <c r="CL77" i="37"/>
  <c r="CM77" i="37"/>
  <c r="CN77" i="37"/>
  <c r="BB78" i="37"/>
  <c r="BC78" i="37"/>
  <c r="BD78" i="37"/>
  <c r="BE78" i="37"/>
  <c r="BF78" i="37"/>
  <c r="BG78" i="37"/>
  <c r="BH78" i="37"/>
  <c r="BI78" i="37"/>
  <c r="BJ78" i="37"/>
  <c r="BK78" i="37"/>
  <c r="BL78" i="37"/>
  <c r="BM78" i="37"/>
  <c r="BN78" i="37"/>
  <c r="BO78" i="37"/>
  <c r="BP78" i="37"/>
  <c r="BQ78" i="37"/>
  <c r="BR78" i="37"/>
  <c r="BS78" i="37"/>
  <c r="BT78" i="37"/>
  <c r="BU78" i="37"/>
  <c r="BV78" i="37"/>
  <c r="BW78" i="37"/>
  <c r="BX78" i="37"/>
  <c r="BY78" i="37"/>
  <c r="BZ78" i="37"/>
  <c r="CA78" i="37"/>
  <c r="CB78" i="37"/>
  <c r="CC78" i="37"/>
  <c r="CD78" i="37"/>
  <c r="CE78" i="37"/>
  <c r="CF78" i="37"/>
  <c r="CG78" i="37"/>
  <c r="CH78" i="37"/>
  <c r="CI78" i="37"/>
  <c r="CJ78" i="37"/>
  <c r="CK78" i="37"/>
  <c r="CL78" i="37"/>
  <c r="CM78" i="37"/>
  <c r="CN78" i="37"/>
  <c r="BB79" i="37"/>
  <c r="BC79" i="37"/>
  <c r="BD79" i="37"/>
  <c r="BE79" i="37"/>
  <c r="BF79" i="37"/>
  <c r="BG79" i="37"/>
  <c r="BH79" i="37"/>
  <c r="BI79" i="37"/>
  <c r="BJ79" i="37"/>
  <c r="BK79" i="37"/>
  <c r="BL79" i="37"/>
  <c r="BM79" i="37"/>
  <c r="BN79" i="37"/>
  <c r="BO79" i="37"/>
  <c r="BP79" i="37"/>
  <c r="BQ79" i="37"/>
  <c r="BR79" i="37"/>
  <c r="BS79" i="37"/>
  <c r="BT79" i="37"/>
  <c r="BU79" i="37"/>
  <c r="BV79" i="37"/>
  <c r="BW79" i="37"/>
  <c r="BX79" i="37"/>
  <c r="BY79" i="37"/>
  <c r="BZ79" i="37"/>
  <c r="CA79" i="37"/>
  <c r="CB79" i="37"/>
  <c r="CC79" i="37"/>
  <c r="CD79" i="37"/>
  <c r="CE79" i="37"/>
  <c r="CF79" i="37"/>
  <c r="CG79" i="37"/>
  <c r="CH79" i="37"/>
  <c r="CI79" i="37"/>
  <c r="CJ79" i="37"/>
  <c r="CK79" i="37"/>
  <c r="CL79" i="37"/>
  <c r="CM79" i="37"/>
  <c r="CN79" i="37"/>
  <c r="BB80" i="37"/>
  <c r="BC80" i="37"/>
  <c r="BD80" i="37"/>
  <c r="BE80" i="37"/>
  <c r="BF80" i="37"/>
  <c r="BG80" i="37"/>
  <c r="BH80" i="37"/>
  <c r="BI80" i="37"/>
  <c r="BJ80" i="37"/>
  <c r="BK80" i="37"/>
  <c r="BL80" i="37"/>
  <c r="BM80" i="37"/>
  <c r="BN80" i="37"/>
  <c r="BO80" i="37"/>
  <c r="BP80" i="37"/>
  <c r="BQ80" i="37"/>
  <c r="BR80" i="37"/>
  <c r="BS80" i="37"/>
  <c r="BT80" i="37"/>
  <c r="BU80" i="37"/>
  <c r="BV80" i="37"/>
  <c r="BW80" i="37"/>
  <c r="BX80" i="37"/>
  <c r="BY80" i="37"/>
  <c r="BZ80" i="37"/>
  <c r="CA80" i="37"/>
  <c r="CB80" i="37"/>
  <c r="CC80" i="37"/>
  <c r="CD80" i="37"/>
  <c r="CE80" i="37"/>
  <c r="CF80" i="37"/>
  <c r="CG80" i="37"/>
  <c r="CH80" i="37"/>
  <c r="CI80" i="37"/>
  <c r="CJ80" i="37"/>
  <c r="CK80" i="37"/>
  <c r="CL80" i="37"/>
  <c r="CM80" i="37"/>
  <c r="CN80" i="37"/>
  <c r="BB81" i="37"/>
  <c r="BC81" i="37"/>
  <c r="BD81" i="37"/>
  <c r="BE81" i="37"/>
  <c r="BF81" i="37"/>
  <c r="BG81" i="37"/>
  <c r="BH81" i="37"/>
  <c r="BI81" i="37"/>
  <c r="BJ81" i="37"/>
  <c r="BK81" i="37"/>
  <c r="BL81" i="37"/>
  <c r="BM81" i="37"/>
  <c r="BN81" i="37"/>
  <c r="BO81" i="37"/>
  <c r="BP81" i="37"/>
  <c r="BQ81" i="37"/>
  <c r="BR81" i="37"/>
  <c r="BS81" i="37"/>
  <c r="BT81" i="37"/>
  <c r="BU81" i="37"/>
  <c r="BV81" i="37"/>
  <c r="BW81" i="37"/>
  <c r="BX81" i="37"/>
  <c r="BY81" i="37"/>
  <c r="BZ81" i="37"/>
  <c r="CA81" i="37"/>
  <c r="CB81" i="37"/>
  <c r="CC81" i="37"/>
  <c r="CD81" i="37"/>
  <c r="CE81" i="37"/>
  <c r="CF81" i="37"/>
  <c r="CG81" i="37"/>
  <c r="CH81" i="37"/>
  <c r="CI81" i="37"/>
  <c r="CJ81" i="37"/>
  <c r="CK81" i="37"/>
  <c r="CL81" i="37"/>
  <c r="CM81" i="37"/>
  <c r="CN81" i="37"/>
  <c r="BB82" i="37"/>
  <c r="BC82" i="37"/>
  <c r="BD82" i="37"/>
  <c r="BE82" i="37"/>
  <c r="BF82" i="37"/>
  <c r="BG82" i="37"/>
  <c r="BH82" i="37"/>
  <c r="BI82" i="37"/>
  <c r="BJ82" i="37"/>
  <c r="BK82" i="37"/>
  <c r="BL82" i="37"/>
  <c r="BM82" i="37"/>
  <c r="BN82" i="37"/>
  <c r="BO82" i="37"/>
  <c r="BP82" i="37"/>
  <c r="BQ82" i="37"/>
  <c r="BR82" i="37"/>
  <c r="BS82" i="37"/>
  <c r="BT82" i="37"/>
  <c r="BU82" i="37"/>
  <c r="BV82" i="37"/>
  <c r="BW82" i="37"/>
  <c r="BX82" i="37"/>
  <c r="BY82" i="37"/>
  <c r="BZ82" i="37"/>
  <c r="CA82" i="37"/>
  <c r="CB82" i="37"/>
  <c r="CC82" i="37"/>
  <c r="CD82" i="37"/>
  <c r="CE82" i="37"/>
  <c r="CF82" i="37"/>
  <c r="CG82" i="37"/>
  <c r="CH82" i="37"/>
  <c r="CI82" i="37"/>
  <c r="CJ82" i="37"/>
  <c r="CK82" i="37"/>
  <c r="CL82" i="37"/>
  <c r="CM82" i="37"/>
  <c r="CN82" i="37"/>
  <c r="BB83" i="37"/>
  <c r="BC83" i="37"/>
  <c r="BD83" i="37"/>
  <c r="BE83" i="37"/>
  <c r="BF83" i="37"/>
  <c r="BG83" i="37"/>
  <c r="BH83" i="37"/>
  <c r="BI83" i="37"/>
  <c r="BJ83" i="37"/>
  <c r="BK83" i="37"/>
  <c r="BL83" i="37"/>
  <c r="BM83" i="37"/>
  <c r="BN83" i="37"/>
  <c r="BO83" i="37"/>
  <c r="BP83" i="37"/>
  <c r="BQ83" i="37"/>
  <c r="BR83" i="37"/>
  <c r="BS83" i="37"/>
  <c r="BT83" i="37"/>
  <c r="BU83" i="37"/>
  <c r="BV83" i="37"/>
  <c r="BW83" i="37"/>
  <c r="BX83" i="37"/>
  <c r="BY83" i="37"/>
  <c r="BZ83" i="37"/>
  <c r="CA83" i="37"/>
  <c r="CB83" i="37"/>
  <c r="CC83" i="37"/>
  <c r="CD83" i="37"/>
  <c r="CE83" i="37"/>
  <c r="CF83" i="37"/>
  <c r="CG83" i="37"/>
  <c r="CH83" i="37"/>
  <c r="CI83" i="37"/>
  <c r="CJ83" i="37"/>
  <c r="CK83" i="37"/>
  <c r="CL83" i="37"/>
  <c r="CM83" i="37"/>
  <c r="CN83" i="37"/>
  <c r="BB84" i="37"/>
  <c r="BC84" i="37"/>
  <c r="BD84" i="37"/>
  <c r="BE84" i="37"/>
  <c r="BF84" i="37"/>
  <c r="BG84" i="37"/>
  <c r="BH84" i="37"/>
  <c r="BI84" i="37"/>
  <c r="BJ84" i="37"/>
  <c r="BK84" i="37"/>
  <c r="BL84" i="37"/>
  <c r="BM84" i="37"/>
  <c r="BN84" i="37"/>
  <c r="BO84" i="37"/>
  <c r="BP84" i="37"/>
  <c r="BQ84" i="37"/>
  <c r="BR84" i="37"/>
  <c r="BS84" i="37"/>
  <c r="BT84" i="37"/>
  <c r="BU84" i="37"/>
  <c r="BV84" i="37"/>
  <c r="BW84" i="37"/>
  <c r="BX84" i="37"/>
  <c r="BY84" i="37"/>
  <c r="BZ84" i="37"/>
  <c r="CA84" i="37"/>
  <c r="CB84" i="37"/>
  <c r="CC84" i="37"/>
  <c r="CD84" i="37"/>
  <c r="CE84" i="37"/>
  <c r="CF84" i="37"/>
  <c r="CG84" i="37"/>
  <c r="CH84" i="37"/>
  <c r="CI84" i="37"/>
  <c r="CJ84" i="37"/>
  <c r="CK84" i="37"/>
  <c r="CL84" i="37"/>
  <c r="CM84" i="37"/>
  <c r="CN84" i="37"/>
  <c r="BB85" i="37"/>
  <c r="BC85" i="37"/>
  <c r="BD85" i="37"/>
  <c r="BE85" i="37"/>
  <c r="BF85" i="37"/>
  <c r="BG85" i="37"/>
  <c r="BH85" i="37"/>
  <c r="BI85" i="37"/>
  <c r="BJ85" i="37"/>
  <c r="BK85" i="37"/>
  <c r="BL85" i="37"/>
  <c r="BM85" i="37"/>
  <c r="BN85" i="37"/>
  <c r="BO85" i="37"/>
  <c r="BP85" i="37"/>
  <c r="BQ85" i="37"/>
  <c r="BR85" i="37"/>
  <c r="BS85" i="37"/>
  <c r="BT85" i="37"/>
  <c r="BU85" i="37"/>
  <c r="BV85" i="37"/>
  <c r="BW85" i="37"/>
  <c r="BX85" i="37"/>
  <c r="BY85" i="37"/>
  <c r="BZ85" i="37"/>
  <c r="CA85" i="37"/>
  <c r="CB85" i="37"/>
  <c r="CC85" i="37"/>
  <c r="CD85" i="37"/>
  <c r="CE85" i="37"/>
  <c r="CF85" i="37"/>
  <c r="CG85" i="37"/>
  <c r="CH85" i="37"/>
  <c r="CI85" i="37"/>
  <c r="CJ85" i="37"/>
  <c r="CK85" i="37"/>
  <c r="CL85" i="37"/>
  <c r="CM85" i="37"/>
  <c r="CN85" i="37"/>
  <c r="BB86" i="37"/>
  <c r="BC86" i="37"/>
  <c r="BD86" i="37"/>
  <c r="BE86" i="37"/>
  <c r="BF86" i="37"/>
  <c r="BG86" i="37"/>
  <c r="BH86" i="37"/>
  <c r="BI86" i="37"/>
  <c r="BJ86" i="37"/>
  <c r="BK86" i="37"/>
  <c r="BL86" i="37"/>
  <c r="BM86" i="37"/>
  <c r="BN86" i="37"/>
  <c r="BO86" i="37"/>
  <c r="BP86" i="37"/>
  <c r="BQ86" i="37"/>
  <c r="BR86" i="37"/>
  <c r="BS86" i="37"/>
  <c r="BT86" i="37"/>
  <c r="BU86" i="37"/>
  <c r="BV86" i="37"/>
  <c r="BW86" i="37"/>
  <c r="BX86" i="37"/>
  <c r="BY86" i="37"/>
  <c r="BZ86" i="37"/>
  <c r="CA86" i="37"/>
  <c r="CB86" i="37"/>
  <c r="CC86" i="37"/>
  <c r="CD86" i="37"/>
  <c r="CE86" i="37"/>
  <c r="CF86" i="37"/>
  <c r="CG86" i="37"/>
  <c r="CH86" i="37"/>
  <c r="CI86" i="37"/>
  <c r="CJ86" i="37"/>
  <c r="CK86" i="37"/>
  <c r="CL86" i="37"/>
  <c r="CM86" i="37"/>
  <c r="CN86" i="37"/>
  <c r="BB87" i="37"/>
  <c r="BC87" i="37"/>
  <c r="BD87" i="37"/>
  <c r="BE87" i="37"/>
  <c r="BF87" i="37"/>
  <c r="BG87" i="37"/>
  <c r="BH87" i="37"/>
  <c r="BI87" i="37"/>
  <c r="BJ87" i="37"/>
  <c r="BK87" i="37"/>
  <c r="BL87" i="37"/>
  <c r="BM87" i="37"/>
  <c r="BN87" i="37"/>
  <c r="BO87" i="37"/>
  <c r="BP87" i="37"/>
  <c r="BQ87" i="37"/>
  <c r="BR87" i="37"/>
  <c r="BS87" i="37"/>
  <c r="BT87" i="37"/>
  <c r="BU87" i="37"/>
  <c r="BV87" i="37"/>
  <c r="BW87" i="37"/>
  <c r="BX87" i="37"/>
  <c r="BY87" i="37"/>
  <c r="BZ87" i="37"/>
  <c r="CA87" i="37"/>
  <c r="CB87" i="37"/>
  <c r="CC87" i="37"/>
  <c r="CD87" i="37"/>
  <c r="CE87" i="37"/>
  <c r="CF87" i="37"/>
  <c r="CG87" i="37"/>
  <c r="CH87" i="37"/>
  <c r="CI87" i="37"/>
  <c r="CJ87" i="37"/>
  <c r="CK87" i="37"/>
  <c r="CL87" i="37"/>
  <c r="CM87" i="37"/>
  <c r="CN87" i="37"/>
  <c r="BB88" i="37"/>
  <c r="BC88" i="37"/>
  <c r="BD88" i="37"/>
  <c r="BE88" i="37"/>
  <c r="BF88" i="37"/>
  <c r="BG88" i="37"/>
  <c r="BH88" i="37"/>
  <c r="BI88" i="37"/>
  <c r="BJ88" i="37"/>
  <c r="BK88" i="37"/>
  <c r="BL88" i="37"/>
  <c r="BM88" i="37"/>
  <c r="BN88" i="37"/>
  <c r="BO88" i="37"/>
  <c r="BP88" i="37"/>
  <c r="BQ88" i="37"/>
  <c r="BR88" i="37"/>
  <c r="BS88" i="37"/>
  <c r="BT88" i="37"/>
  <c r="BU88" i="37"/>
  <c r="BV88" i="37"/>
  <c r="BW88" i="37"/>
  <c r="BX88" i="37"/>
  <c r="BY88" i="37"/>
  <c r="BZ88" i="37"/>
  <c r="CA88" i="37"/>
  <c r="CB88" i="37"/>
  <c r="CC88" i="37"/>
  <c r="CD88" i="37"/>
  <c r="CE88" i="37"/>
  <c r="CF88" i="37"/>
  <c r="CG88" i="37"/>
  <c r="CH88" i="37"/>
  <c r="CI88" i="37"/>
  <c r="CJ88" i="37"/>
  <c r="CK88" i="37"/>
  <c r="CL88" i="37"/>
  <c r="CM88" i="37"/>
  <c r="CN88" i="37"/>
  <c r="BB89" i="37"/>
  <c r="BC89" i="37"/>
  <c r="BD89" i="37"/>
  <c r="BE89" i="37"/>
  <c r="BF89" i="37"/>
  <c r="BG89" i="37"/>
  <c r="BH89" i="37"/>
  <c r="BI89" i="37"/>
  <c r="BJ89" i="37"/>
  <c r="BK89" i="37"/>
  <c r="BL89" i="37"/>
  <c r="BM89" i="37"/>
  <c r="BN89" i="37"/>
  <c r="BO89" i="37"/>
  <c r="BP89" i="37"/>
  <c r="BQ89" i="37"/>
  <c r="BR89" i="37"/>
  <c r="BS89" i="37"/>
  <c r="BT89" i="37"/>
  <c r="BU89" i="37"/>
  <c r="BV89" i="37"/>
  <c r="BW89" i="37"/>
  <c r="BX89" i="37"/>
  <c r="BY89" i="37"/>
  <c r="BZ89" i="37"/>
  <c r="CA89" i="37"/>
  <c r="CB89" i="37"/>
  <c r="CC89" i="37"/>
  <c r="CD89" i="37"/>
  <c r="CE89" i="37"/>
  <c r="CF89" i="37"/>
  <c r="CG89" i="37"/>
  <c r="CH89" i="37"/>
  <c r="CI89" i="37"/>
  <c r="CJ89" i="37"/>
  <c r="CK89" i="37"/>
  <c r="CL89" i="37"/>
  <c r="CM89" i="37"/>
  <c r="CN89" i="37"/>
  <c r="BB90" i="37"/>
  <c r="BC90" i="37"/>
  <c r="BD90" i="37"/>
  <c r="BE90" i="37"/>
  <c r="BF90" i="37"/>
  <c r="BG90" i="37"/>
  <c r="BH90" i="37"/>
  <c r="BI90" i="37"/>
  <c r="BJ90" i="37"/>
  <c r="BK90" i="37"/>
  <c r="BL90" i="37"/>
  <c r="BM90" i="37"/>
  <c r="BN90" i="37"/>
  <c r="BO90" i="37"/>
  <c r="BP90" i="37"/>
  <c r="BQ90" i="37"/>
  <c r="BR90" i="37"/>
  <c r="BS90" i="37"/>
  <c r="BT90" i="37"/>
  <c r="BU90" i="37"/>
  <c r="BV90" i="37"/>
  <c r="BW90" i="37"/>
  <c r="BX90" i="37"/>
  <c r="BY90" i="37"/>
  <c r="BZ90" i="37"/>
  <c r="CA90" i="37"/>
  <c r="CB90" i="37"/>
  <c r="CC90" i="37"/>
  <c r="CD90" i="37"/>
  <c r="CE90" i="37"/>
  <c r="CF90" i="37"/>
  <c r="CG90" i="37"/>
  <c r="CH90" i="37"/>
  <c r="CI90" i="37"/>
  <c r="CJ90" i="37"/>
  <c r="CK90" i="37"/>
  <c r="CL90" i="37"/>
  <c r="CM90" i="37"/>
  <c r="CN90" i="37"/>
  <c r="BB91" i="37"/>
  <c r="BC91" i="37"/>
  <c r="BD91" i="37"/>
  <c r="BE91" i="37"/>
  <c r="BF91" i="37"/>
  <c r="BG91" i="37"/>
  <c r="BH91" i="37"/>
  <c r="BI91" i="37"/>
  <c r="BJ91" i="37"/>
  <c r="BK91" i="37"/>
  <c r="BL91" i="37"/>
  <c r="BM91" i="37"/>
  <c r="BN91" i="37"/>
  <c r="BO91" i="37"/>
  <c r="BP91" i="37"/>
  <c r="BQ91" i="37"/>
  <c r="BR91" i="37"/>
  <c r="BS91" i="37"/>
  <c r="BT91" i="37"/>
  <c r="BU91" i="37"/>
  <c r="BV91" i="37"/>
  <c r="BW91" i="37"/>
  <c r="BX91" i="37"/>
  <c r="BY91" i="37"/>
  <c r="BZ91" i="37"/>
  <c r="CA91" i="37"/>
  <c r="CB91" i="37"/>
  <c r="CC91" i="37"/>
  <c r="CD91" i="37"/>
  <c r="CE91" i="37"/>
  <c r="CF91" i="37"/>
  <c r="CG91" i="37"/>
  <c r="CH91" i="37"/>
  <c r="CI91" i="37"/>
  <c r="CJ91" i="37"/>
  <c r="CK91" i="37"/>
  <c r="CL91" i="37"/>
  <c r="CM91" i="37"/>
  <c r="CN91" i="37"/>
  <c r="BB92" i="37"/>
  <c r="BC92" i="37"/>
  <c r="BD92" i="37"/>
  <c r="BE92" i="37"/>
  <c r="BF92" i="37"/>
  <c r="BG92" i="37"/>
  <c r="BH92" i="37"/>
  <c r="BI92" i="37"/>
  <c r="BJ92" i="37"/>
  <c r="BK92" i="37"/>
  <c r="BL92" i="37"/>
  <c r="BM92" i="37"/>
  <c r="BN92" i="37"/>
  <c r="BO92" i="37"/>
  <c r="BP92" i="37"/>
  <c r="BQ92" i="37"/>
  <c r="BR92" i="37"/>
  <c r="BS92" i="37"/>
  <c r="BT92" i="37"/>
  <c r="BU92" i="37"/>
  <c r="BV92" i="37"/>
  <c r="BW92" i="37"/>
  <c r="BX92" i="37"/>
  <c r="BY92" i="37"/>
  <c r="BZ92" i="37"/>
  <c r="CA92" i="37"/>
  <c r="CB92" i="37"/>
  <c r="CC92" i="37"/>
  <c r="CD92" i="37"/>
  <c r="CE92" i="37"/>
  <c r="CF92" i="37"/>
  <c r="CG92" i="37"/>
  <c r="CH92" i="37"/>
  <c r="CI92" i="37"/>
  <c r="CJ92" i="37"/>
  <c r="CK92" i="37"/>
  <c r="CL92" i="37"/>
  <c r="CM92" i="37"/>
  <c r="CN92" i="37"/>
  <c r="BB93" i="37"/>
  <c r="BC93" i="37"/>
  <c r="BD93" i="37"/>
  <c r="BE93" i="37"/>
  <c r="BF93" i="37"/>
  <c r="BG93" i="37"/>
  <c r="BH93" i="37"/>
  <c r="BI93" i="37"/>
  <c r="BJ93" i="37"/>
  <c r="BK93" i="37"/>
  <c r="BL93" i="37"/>
  <c r="BM93" i="37"/>
  <c r="BN93" i="37"/>
  <c r="BO93" i="37"/>
  <c r="BP93" i="37"/>
  <c r="BQ93" i="37"/>
  <c r="BR93" i="37"/>
  <c r="BS93" i="37"/>
  <c r="BT93" i="37"/>
  <c r="BU93" i="37"/>
  <c r="BV93" i="37"/>
  <c r="BW93" i="37"/>
  <c r="BX93" i="37"/>
  <c r="BY93" i="37"/>
  <c r="BZ93" i="37"/>
  <c r="CA93" i="37"/>
  <c r="CB93" i="37"/>
  <c r="CC93" i="37"/>
  <c r="CD93" i="37"/>
  <c r="CE93" i="37"/>
  <c r="CF93" i="37"/>
  <c r="CG93" i="37"/>
  <c r="CH93" i="37"/>
  <c r="CI93" i="37"/>
  <c r="CJ93" i="37"/>
  <c r="CK93" i="37"/>
  <c r="CL93" i="37"/>
  <c r="CM93" i="37"/>
  <c r="CN93" i="37"/>
  <c r="BB94" i="37"/>
  <c r="BC94" i="37"/>
  <c r="BD94" i="37"/>
  <c r="BE94" i="37"/>
  <c r="BF94" i="37"/>
  <c r="BG94" i="37"/>
  <c r="BH94" i="37"/>
  <c r="BI94" i="37"/>
  <c r="BJ94" i="37"/>
  <c r="BK94" i="37"/>
  <c r="BL94" i="37"/>
  <c r="BM94" i="37"/>
  <c r="BN94" i="37"/>
  <c r="BO94" i="37"/>
  <c r="BP94" i="37"/>
  <c r="BQ94" i="37"/>
  <c r="BR94" i="37"/>
  <c r="BS94" i="37"/>
  <c r="BT94" i="37"/>
  <c r="BU94" i="37"/>
  <c r="BV94" i="37"/>
  <c r="BW94" i="37"/>
  <c r="BX94" i="37"/>
  <c r="BY94" i="37"/>
  <c r="BZ94" i="37"/>
  <c r="CA94" i="37"/>
  <c r="CB94" i="37"/>
  <c r="CC94" i="37"/>
  <c r="CD94" i="37"/>
  <c r="CE94" i="37"/>
  <c r="CF94" i="37"/>
  <c r="CG94" i="37"/>
  <c r="CH94" i="37"/>
  <c r="CI94" i="37"/>
  <c r="CJ94" i="37"/>
  <c r="CK94" i="37"/>
  <c r="CL94" i="37"/>
  <c r="CM94" i="37"/>
  <c r="CN94" i="37"/>
  <c r="BB95" i="37"/>
  <c r="BC95" i="37"/>
  <c r="BD95" i="37"/>
  <c r="BE95" i="37"/>
  <c r="BF95" i="37"/>
  <c r="BG95" i="37"/>
  <c r="BH95" i="37"/>
  <c r="BI95" i="37"/>
  <c r="BJ95" i="37"/>
  <c r="BK95" i="37"/>
  <c r="BL95" i="37"/>
  <c r="BM95" i="37"/>
  <c r="BN95" i="37"/>
  <c r="BO95" i="37"/>
  <c r="BP95" i="37"/>
  <c r="BQ95" i="37"/>
  <c r="BR95" i="37"/>
  <c r="BS95" i="37"/>
  <c r="BT95" i="37"/>
  <c r="BU95" i="37"/>
  <c r="BV95" i="37"/>
  <c r="BW95" i="37"/>
  <c r="BX95" i="37"/>
  <c r="BY95" i="37"/>
  <c r="BZ95" i="37"/>
  <c r="CA95" i="37"/>
  <c r="CB95" i="37"/>
  <c r="CC95" i="37"/>
  <c r="CD95" i="37"/>
  <c r="CE95" i="37"/>
  <c r="CF95" i="37"/>
  <c r="CG95" i="37"/>
  <c r="CH95" i="37"/>
  <c r="CI95" i="37"/>
  <c r="CJ95" i="37"/>
  <c r="CK95" i="37"/>
  <c r="CL95" i="37"/>
  <c r="CM95" i="37"/>
  <c r="CN95" i="37"/>
  <c r="BB96" i="37"/>
  <c r="BC96" i="37"/>
  <c r="BD96" i="37"/>
  <c r="BE96" i="37"/>
  <c r="BF96" i="37"/>
  <c r="BG96" i="37"/>
  <c r="BH96" i="37"/>
  <c r="BI96" i="37"/>
  <c r="BJ96" i="37"/>
  <c r="BK96" i="37"/>
  <c r="BL96" i="37"/>
  <c r="BM96" i="37"/>
  <c r="BN96" i="37"/>
  <c r="BO96" i="37"/>
  <c r="BP96" i="37"/>
  <c r="BQ96" i="37"/>
  <c r="BR96" i="37"/>
  <c r="BS96" i="37"/>
  <c r="BT96" i="37"/>
  <c r="BU96" i="37"/>
  <c r="BV96" i="37"/>
  <c r="BW96" i="37"/>
  <c r="BX96" i="37"/>
  <c r="BY96" i="37"/>
  <c r="BZ96" i="37"/>
  <c r="CA96" i="37"/>
  <c r="CB96" i="37"/>
  <c r="CC96" i="37"/>
  <c r="CD96" i="37"/>
  <c r="CE96" i="37"/>
  <c r="CF96" i="37"/>
  <c r="CG96" i="37"/>
  <c r="CH96" i="37"/>
  <c r="CI96" i="37"/>
  <c r="CJ96" i="37"/>
  <c r="CK96" i="37"/>
  <c r="CL96" i="37"/>
  <c r="CM96" i="37"/>
  <c r="CN96" i="37"/>
  <c r="BB97" i="37"/>
  <c r="BC97" i="37"/>
  <c r="BD97" i="37"/>
  <c r="BE97" i="37"/>
  <c r="BF97" i="37"/>
  <c r="BG97" i="37"/>
  <c r="BH97" i="37"/>
  <c r="BI97" i="37"/>
  <c r="BJ97" i="37"/>
  <c r="BK97" i="37"/>
  <c r="BL97" i="37"/>
  <c r="BM97" i="37"/>
  <c r="BN97" i="37"/>
  <c r="BO97" i="37"/>
  <c r="BP97" i="37"/>
  <c r="BQ97" i="37"/>
  <c r="BR97" i="37"/>
  <c r="BS97" i="37"/>
  <c r="BT97" i="37"/>
  <c r="BU97" i="37"/>
  <c r="BV97" i="37"/>
  <c r="BW97" i="37"/>
  <c r="BX97" i="37"/>
  <c r="BY97" i="37"/>
  <c r="BZ97" i="37"/>
  <c r="CA97" i="37"/>
  <c r="CB97" i="37"/>
  <c r="CC97" i="37"/>
  <c r="CD97" i="37"/>
  <c r="CE97" i="37"/>
  <c r="CF97" i="37"/>
  <c r="CG97" i="37"/>
  <c r="CH97" i="37"/>
  <c r="CI97" i="37"/>
  <c r="CJ97" i="37"/>
  <c r="CK97" i="37"/>
  <c r="CL97" i="37"/>
  <c r="CM97" i="37"/>
  <c r="CN97" i="37"/>
  <c r="BB98" i="37"/>
  <c r="BC98" i="37"/>
  <c r="BD98" i="37"/>
  <c r="BE98" i="37"/>
  <c r="BF98" i="37"/>
  <c r="BG98" i="37"/>
  <c r="BH98" i="37"/>
  <c r="BI98" i="37"/>
  <c r="BJ98" i="37"/>
  <c r="BK98" i="37"/>
  <c r="BL98" i="37"/>
  <c r="BM98" i="37"/>
  <c r="BN98" i="37"/>
  <c r="BO98" i="37"/>
  <c r="BP98" i="37"/>
  <c r="BQ98" i="37"/>
  <c r="BR98" i="37"/>
  <c r="BS98" i="37"/>
  <c r="BT98" i="37"/>
  <c r="BU98" i="37"/>
  <c r="BV98" i="37"/>
  <c r="BW98" i="37"/>
  <c r="BX98" i="37"/>
  <c r="BY98" i="37"/>
  <c r="BZ98" i="37"/>
  <c r="CA98" i="37"/>
  <c r="CB98" i="37"/>
  <c r="CC98" i="37"/>
  <c r="CD98" i="37"/>
  <c r="CE98" i="37"/>
  <c r="CF98" i="37"/>
  <c r="CG98" i="37"/>
  <c r="CH98" i="37"/>
  <c r="CI98" i="37"/>
  <c r="CJ98" i="37"/>
  <c r="CK98" i="37"/>
  <c r="CL98" i="37"/>
  <c r="CM98" i="37"/>
  <c r="CN98" i="37"/>
  <c r="BB99" i="37"/>
  <c r="BC99" i="37"/>
  <c r="BD99" i="37"/>
  <c r="BE99" i="37"/>
  <c r="BF99" i="37"/>
  <c r="BG99" i="37"/>
  <c r="BH99" i="37"/>
  <c r="BI99" i="37"/>
  <c r="BJ99" i="37"/>
  <c r="BK99" i="37"/>
  <c r="BL99" i="37"/>
  <c r="BM99" i="37"/>
  <c r="BN99" i="37"/>
  <c r="BO99" i="37"/>
  <c r="BP99" i="37"/>
  <c r="BQ99" i="37"/>
  <c r="BR99" i="37"/>
  <c r="BS99" i="37"/>
  <c r="BT99" i="37"/>
  <c r="BU99" i="37"/>
  <c r="BV99" i="37"/>
  <c r="BW99" i="37"/>
  <c r="BX99" i="37"/>
  <c r="BY99" i="37"/>
  <c r="BZ99" i="37"/>
  <c r="CA99" i="37"/>
  <c r="CB99" i="37"/>
  <c r="CC99" i="37"/>
  <c r="CD99" i="37"/>
  <c r="CE99" i="37"/>
  <c r="CF99" i="37"/>
  <c r="CG99" i="37"/>
  <c r="CH99" i="37"/>
  <c r="CI99" i="37"/>
  <c r="CJ99" i="37"/>
  <c r="CK99" i="37"/>
  <c r="CL99" i="37"/>
  <c r="CM99" i="37"/>
  <c r="CN99" i="37"/>
  <c r="BB100" i="37"/>
  <c r="BC100" i="37"/>
  <c r="BD100" i="37"/>
  <c r="BE100" i="37"/>
  <c r="BF100" i="37"/>
  <c r="BG100" i="37"/>
  <c r="BH100" i="37"/>
  <c r="BI100" i="37"/>
  <c r="BJ100" i="37"/>
  <c r="BK100" i="37"/>
  <c r="BL100" i="37"/>
  <c r="BM100" i="37"/>
  <c r="BN100" i="37"/>
  <c r="BO100" i="37"/>
  <c r="BP100" i="37"/>
  <c r="BQ100" i="37"/>
  <c r="BR100" i="37"/>
  <c r="BS100" i="37"/>
  <c r="BT100" i="37"/>
  <c r="BU100" i="37"/>
  <c r="BV100" i="37"/>
  <c r="BW100" i="37"/>
  <c r="BX100" i="37"/>
  <c r="BY100" i="37"/>
  <c r="BZ100" i="37"/>
  <c r="CA100" i="37"/>
  <c r="CB100" i="37"/>
  <c r="CC100" i="37"/>
  <c r="CD100" i="37"/>
  <c r="CE100" i="37"/>
  <c r="CF100" i="37"/>
  <c r="CG100" i="37"/>
  <c r="CH100" i="37"/>
  <c r="CI100" i="37"/>
  <c r="CJ100" i="37"/>
  <c r="CK100" i="37"/>
  <c r="CL100" i="37"/>
  <c r="CM100" i="37"/>
  <c r="CN100" i="37"/>
  <c r="BB101" i="37"/>
  <c r="BC101" i="37"/>
  <c r="BD101" i="37"/>
  <c r="BE101" i="37"/>
  <c r="BF101" i="37"/>
  <c r="BG101" i="37"/>
  <c r="BH101" i="37"/>
  <c r="BI101" i="37"/>
  <c r="BJ101" i="37"/>
  <c r="BK101" i="37"/>
  <c r="BL101" i="37"/>
  <c r="BM101" i="37"/>
  <c r="BN101" i="37"/>
  <c r="BO101" i="37"/>
  <c r="BP101" i="37"/>
  <c r="BQ101" i="37"/>
  <c r="BR101" i="37"/>
  <c r="BS101" i="37"/>
  <c r="BT101" i="37"/>
  <c r="BU101" i="37"/>
  <c r="BV101" i="37"/>
  <c r="BW101" i="37"/>
  <c r="BX101" i="37"/>
  <c r="BY101" i="37"/>
  <c r="BZ101" i="37"/>
  <c r="CA101" i="37"/>
  <c r="CB101" i="37"/>
  <c r="CC101" i="37"/>
  <c r="CD101" i="37"/>
  <c r="CE101" i="37"/>
  <c r="CF101" i="37"/>
  <c r="CG101" i="37"/>
  <c r="CH101" i="37"/>
  <c r="CI101" i="37"/>
  <c r="CJ101" i="37"/>
  <c r="CK101" i="37"/>
  <c r="CL101" i="37"/>
  <c r="CM101" i="37"/>
  <c r="CN101" i="37"/>
  <c r="BB102" i="37"/>
  <c r="BC102" i="37"/>
  <c r="BD102" i="37"/>
  <c r="BE102" i="37"/>
  <c r="BF102" i="37"/>
  <c r="BG102" i="37"/>
  <c r="BH102" i="37"/>
  <c r="BI102" i="37"/>
  <c r="BJ102" i="37"/>
  <c r="BK102" i="37"/>
  <c r="BL102" i="37"/>
  <c r="BM102" i="37"/>
  <c r="BN102" i="37"/>
  <c r="BO102" i="37"/>
  <c r="BP102" i="37"/>
  <c r="BQ102" i="37"/>
  <c r="BR102" i="37"/>
  <c r="BS102" i="37"/>
  <c r="BT102" i="37"/>
  <c r="BU102" i="37"/>
  <c r="BV102" i="37"/>
  <c r="BW102" i="37"/>
  <c r="BX102" i="37"/>
  <c r="BY102" i="37"/>
  <c r="BZ102" i="37"/>
  <c r="CA102" i="37"/>
  <c r="CB102" i="37"/>
  <c r="CC102" i="37"/>
  <c r="CD102" i="37"/>
  <c r="CE102" i="37"/>
  <c r="CF102" i="37"/>
  <c r="CG102" i="37"/>
  <c r="CH102" i="37"/>
  <c r="CI102" i="37"/>
  <c r="CJ102" i="37"/>
  <c r="CK102" i="37"/>
  <c r="CL102" i="37"/>
  <c r="CM102" i="37"/>
  <c r="CN102" i="37"/>
  <c r="BB103" i="37"/>
  <c r="BC103" i="37"/>
  <c r="BD103" i="37"/>
  <c r="BE103" i="37"/>
  <c r="BF103" i="37"/>
  <c r="BG103" i="37"/>
  <c r="BH103" i="37"/>
  <c r="BI103" i="37"/>
  <c r="BJ103" i="37"/>
  <c r="BK103" i="37"/>
  <c r="BL103" i="37"/>
  <c r="BM103" i="37"/>
  <c r="BN103" i="37"/>
  <c r="BO103" i="37"/>
  <c r="BP103" i="37"/>
  <c r="BQ103" i="37"/>
  <c r="BR103" i="37"/>
  <c r="BS103" i="37"/>
  <c r="BT103" i="37"/>
  <c r="BU103" i="37"/>
  <c r="BV103" i="37"/>
  <c r="BW103" i="37"/>
  <c r="BX103" i="37"/>
  <c r="BY103" i="37"/>
  <c r="BZ103" i="37"/>
  <c r="CA103" i="37"/>
  <c r="CB103" i="37"/>
  <c r="CC103" i="37"/>
  <c r="CD103" i="37"/>
  <c r="CE103" i="37"/>
  <c r="CF103" i="37"/>
  <c r="CG103" i="37"/>
  <c r="CH103" i="37"/>
  <c r="CI103" i="37"/>
  <c r="CJ103" i="37"/>
  <c r="CK103" i="37"/>
  <c r="CL103" i="37"/>
  <c r="CM103" i="37"/>
  <c r="CN103" i="37"/>
  <c r="BB104" i="37"/>
  <c r="BC104" i="37"/>
  <c r="BD104" i="37"/>
  <c r="BE104" i="37"/>
  <c r="BF104" i="37"/>
  <c r="BG104" i="37"/>
  <c r="BH104" i="37"/>
  <c r="BI104" i="37"/>
  <c r="BJ104" i="37"/>
  <c r="BK104" i="37"/>
  <c r="BL104" i="37"/>
  <c r="BM104" i="37"/>
  <c r="BN104" i="37"/>
  <c r="BO104" i="37"/>
  <c r="BP104" i="37"/>
  <c r="BQ104" i="37"/>
  <c r="BR104" i="37"/>
  <c r="BS104" i="37"/>
  <c r="BT104" i="37"/>
  <c r="BU104" i="37"/>
  <c r="BV104" i="37"/>
  <c r="BW104" i="37"/>
  <c r="BX104" i="37"/>
  <c r="BY104" i="37"/>
  <c r="BZ104" i="37"/>
  <c r="CA104" i="37"/>
  <c r="CB104" i="37"/>
  <c r="CC104" i="37"/>
  <c r="CD104" i="37"/>
  <c r="CE104" i="37"/>
  <c r="CF104" i="37"/>
  <c r="CG104" i="37"/>
  <c r="CH104" i="37"/>
  <c r="CI104" i="37"/>
  <c r="CJ104" i="37"/>
  <c r="CK104" i="37"/>
  <c r="CL104" i="37"/>
  <c r="CM104" i="37"/>
  <c r="CN104" i="37"/>
  <c r="BB105" i="37"/>
  <c r="BC105" i="37"/>
  <c r="BD105" i="37"/>
  <c r="BE105" i="37"/>
  <c r="BF105" i="37"/>
  <c r="BG105" i="37"/>
  <c r="BH105" i="37"/>
  <c r="BI105" i="37"/>
  <c r="BJ105" i="37"/>
  <c r="BK105" i="37"/>
  <c r="BL105" i="37"/>
  <c r="BM105" i="37"/>
  <c r="BN105" i="37"/>
  <c r="BO105" i="37"/>
  <c r="BP105" i="37"/>
  <c r="BQ105" i="37"/>
  <c r="BR105" i="37"/>
  <c r="BS105" i="37"/>
  <c r="BT105" i="37"/>
  <c r="BU105" i="37"/>
  <c r="BV105" i="37"/>
  <c r="BW105" i="37"/>
  <c r="BX105" i="37"/>
  <c r="BY105" i="37"/>
  <c r="BZ105" i="37"/>
  <c r="CA105" i="37"/>
  <c r="CB105" i="37"/>
  <c r="CC105" i="37"/>
  <c r="CD105" i="37"/>
  <c r="CE105" i="37"/>
  <c r="CF105" i="37"/>
  <c r="CG105" i="37"/>
  <c r="CH105" i="37"/>
  <c r="CI105" i="37"/>
  <c r="CJ105" i="37"/>
  <c r="CK105" i="37"/>
  <c r="CL105" i="37"/>
  <c r="CM105" i="37"/>
  <c r="CN105" i="37"/>
  <c r="BB106" i="37"/>
  <c r="BC106" i="37"/>
  <c r="BD106" i="37"/>
  <c r="BE106" i="37"/>
  <c r="BF106" i="37"/>
  <c r="BG106" i="37"/>
  <c r="BH106" i="37"/>
  <c r="BI106" i="37"/>
  <c r="BJ106" i="37"/>
  <c r="BK106" i="37"/>
  <c r="BL106" i="37"/>
  <c r="BM106" i="37"/>
  <c r="BN106" i="37"/>
  <c r="BO106" i="37"/>
  <c r="BP106" i="37"/>
  <c r="BQ106" i="37"/>
  <c r="BR106" i="37"/>
  <c r="BS106" i="37"/>
  <c r="BT106" i="37"/>
  <c r="BU106" i="37"/>
  <c r="BV106" i="37"/>
  <c r="BW106" i="37"/>
  <c r="BX106" i="37"/>
  <c r="BY106" i="37"/>
  <c r="BZ106" i="37"/>
  <c r="CA106" i="37"/>
  <c r="CB106" i="37"/>
  <c r="CC106" i="37"/>
  <c r="CD106" i="37"/>
  <c r="CE106" i="37"/>
  <c r="CF106" i="37"/>
  <c r="CG106" i="37"/>
  <c r="CH106" i="37"/>
  <c r="CI106" i="37"/>
  <c r="CJ106" i="37"/>
  <c r="CK106" i="37"/>
  <c r="CL106" i="37"/>
  <c r="CM106" i="37"/>
  <c r="CN106" i="37"/>
  <c r="BB107" i="37"/>
  <c r="BC107" i="37"/>
  <c r="BD107" i="37"/>
  <c r="BE107" i="37"/>
  <c r="BF107" i="37"/>
  <c r="BG107" i="37"/>
  <c r="BH107" i="37"/>
  <c r="BI107" i="37"/>
  <c r="BJ107" i="37"/>
  <c r="BK107" i="37"/>
  <c r="BL107" i="37"/>
  <c r="BM107" i="37"/>
  <c r="BN107" i="37"/>
  <c r="BO107" i="37"/>
  <c r="BP107" i="37"/>
  <c r="BQ107" i="37"/>
  <c r="BR107" i="37"/>
  <c r="BS107" i="37"/>
  <c r="BT107" i="37"/>
  <c r="BU107" i="37"/>
  <c r="BV107" i="37"/>
  <c r="BW107" i="37"/>
  <c r="BX107" i="37"/>
  <c r="BY107" i="37"/>
  <c r="BZ107" i="37"/>
  <c r="CA107" i="37"/>
  <c r="CB107" i="37"/>
  <c r="CC107" i="37"/>
  <c r="CD107" i="37"/>
  <c r="CE107" i="37"/>
  <c r="CF107" i="37"/>
  <c r="CG107" i="37"/>
  <c r="CH107" i="37"/>
  <c r="CI107" i="37"/>
  <c r="CJ107" i="37"/>
  <c r="CK107" i="37"/>
  <c r="CL107" i="37"/>
  <c r="CM107" i="37"/>
  <c r="CN107" i="37"/>
  <c r="BB108" i="37"/>
  <c r="BC108" i="37"/>
  <c r="BD108" i="37"/>
  <c r="BE108" i="37"/>
  <c r="BF108" i="37"/>
  <c r="BG108" i="37"/>
  <c r="BH108" i="37"/>
  <c r="BI108" i="37"/>
  <c r="BJ108" i="37"/>
  <c r="BK108" i="37"/>
  <c r="BL108" i="37"/>
  <c r="BM108" i="37"/>
  <c r="BN108" i="37"/>
  <c r="BO108" i="37"/>
  <c r="BP108" i="37"/>
  <c r="BQ108" i="37"/>
  <c r="BR108" i="37"/>
  <c r="BS108" i="37"/>
  <c r="BT108" i="37"/>
  <c r="BU108" i="37"/>
  <c r="BV108" i="37"/>
  <c r="BW108" i="37"/>
  <c r="BX108" i="37"/>
  <c r="BY108" i="37"/>
  <c r="BZ108" i="37"/>
  <c r="CA108" i="37"/>
  <c r="CB108" i="37"/>
  <c r="CC108" i="37"/>
  <c r="CD108" i="37"/>
  <c r="CE108" i="37"/>
  <c r="CF108" i="37"/>
  <c r="CG108" i="37"/>
  <c r="CH108" i="37"/>
  <c r="CI108" i="37"/>
  <c r="CJ108" i="37"/>
  <c r="CK108" i="37"/>
  <c r="CL108" i="37"/>
  <c r="CM108" i="37"/>
  <c r="CN108" i="37"/>
  <c r="BB109" i="37"/>
  <c r="BC109" i="37"/>
  <c r="BD109" i="37"/>
  <c r="BE109" i="37"/>
  <c r="BF109" i="37"/>
  <c r="BG109" i="37"/>
  <c r="BH109" i="37"/>
  <c r="BI109" i="37"/>
  <c r="BJ109" i="37"/>
  <c r="BK109" i="37"/>
  <c r="BL109" i="37"/>
  <c r="BM109" i="37"/>
  <c r="BN109" i="37"/>
  <c r="BO109" i="37"/>
  <c r="BP109" i="37"/>
  <c r="BQ109" i="37"/>
  <c r="BR109" i="37"/>
  <c r="BS109" i="37"/>
  <c r="BT109" i="37"/>
  <c r="BU109" i="37"/>
  <c r="BV109" i="37"/>
  <c r="BW109" i="37"/>
  <c r="BX109" i="37"/>
  <c r="BY109" i="37"/>
  <c r="BZ109" i="37"/>
  <c r="CA109" i="37"/>
  <c r="CB109" i="37"/>
  <c r="CC109" i="37"/>
  <c r="CD109" i="37"/>
  <c r="CE109" i="37"/>
  <c r="CF109" i="37"/>
  <c r="CG109" i="37"/>
  <c r="CH109" i="37"/>
  <c r="CI109" i="37"/>
  <c r="CJ109" i="37"/>
  <c r="CK109" i="37"/>
  <c r="CL109" i="37"/>
  <c r="CM109" i="37"/>
  <c r="CN109" i="37"/>
  <c r="BB110" i="37"/>
  <c r="BC110" i="37"/>
  <c r="BD110" i="37"/>
  <c r="BE110" i="37"/>
  <c r="BF110" i="37"/>
  <c r="BG110" i="37"/>
  <c r="BH110" i="37"/>
  <c r="BI110" i="37"/>
  <c r="BJ110" i="37"/>
  <c r="BK110" i="37"/>
  <c r="BL110" i="37"/>
  <c r="BM110" i="37"/>
  <c r="BN110" i="37"/>
  <c r="BO110" i="37"/>
  <c r="BP110" i="37"/>
  <c r="BQ110" i="37"/>
  <c r="BR110" i="37"/>
  <c r="BS110" i="37"/>
  <c r="BT110" i="37"/>
  <c r="BU110" i="37"/>
  <c r="BV110" i="37"/>
  <c r="BW110" i="37"/>
  <c r="BX110" i="37"/>
  <c r="BY110" i="37"/>
  <c r="BZ110" i="37"/>
  <c r="CA110" i="37"/>
  <c r="CB110" i="37"/>
  <c r="CC110" i="37"/>
  <c r="CD110" i="37"/>
  <c r="CE110" i="37"/>
  <c r="CF110" i="37"/>
  <c r="CG110" i="37"/>
  <c r="CH110" i="37"/>
  <c r="CI110" i="37"/>
  <c r="CJ110" i="37"/>
  <c r="CK110" i="37"/>
  <c r="CL110" i="37"/>
  <c r="CM110" i="37"/>
  <c r="CN110" i="37"/>
  <c r="BB111" i="37"/>
  <c r="BC111" i="37"/>
  <c r="BD111" i="37"/>
  <c r="BE111" i="37"/>
  <c r="BF111" i="37"/>
  <c r="BG111" i="37"/>
  <c r="BH111" i="37"/>
  <c r="BI111" i="37"/>
  <c r="BJ111" i="37"/>
  <c r="BK111" i="37"/>
  <c r="BL111" i="37"/>
  <c r="BM111" i="37"/>
  <c r="BN111" i="37"/>
  <c r="BO111" i="37"/>
  <c r="BP111" i="37"/>
  <c r="BQ111" i="37"/>
  <c r="BR111" i="37"/>
  <c r="BS111" i="37"/>
  <c r="BT111" i="37"/>
  <c r="BU111" i="37"/>
  <c r="BV111" i="37"/>
  <c r="BW111" i="37"/>
  <c r="BX111" i="37"/>
  <c r="BY111" i="37"/>
  <c r="BZ111" i="37"/>
  <c r="CA111" i="37"/>
  <c r="CB111" i="37"/>
  <c r="CC111" i="37"/>
  <c r="CD111" i="37"/>
  <c r="CE111" i="37"/>
  <c r="CF111" i="37"/>
  <c r="CG111" i="37"/>
  <c r="CH111" i="37"/>
  <c r="CI111" i="37"/>
  <c r="CJ111" i="37"/>
  <c r="CK111" i="37"/>
  <c r="CL111" i="37"/>
  <c r="CM111" i="37"/>
  <c r="CN111" i="37"/>
  <c r="BB112" i="37"/>
  <c r="BC112" i="37"/>
  <c r="BD112" i="37"/>
  <c r="BE112" i="37"/>
  <c r="BF112" i="37"/>
  <c r="BG112" i="37"/>
  <c r="BH112" i="37"/>
  <c r="BI112" i="37"/>
  <c r="BJ112" i="37"/>
  <c r="BK112" i="37"/>
  <c r="BL112" i="37"/>
  <c r="BM112" i="37"/>
  <c r="BN112" i="37"/>
  <c r="BO112" i="37"/>
  <c r="BP112" i="37"/>
  <c r="BQ112" i="37"/>
  <c r="BR112" i="37"/>
  <c r="BS112" i="37"/>
  <c r="BT112" i="37"/>
  <c r="BU112" i="37"/>
  <c r="BV112" i="37"/>
  <c r="BW112" i="37"/>
  <c r="BX112" i="37"/>
  <c r="BY112" i="37"/>
  <c r="BZ112" i="37"/>
  <c r="CA112" i="37"/>
  <c r="CB112" i="37"/>
  <c r="CC112" i="37"/>
  <c r="CD112" i="37"/>
  <c r="CE112" i="37"/>
  <c r="CF112" i="37"/>
  <c r="CG112" i="37"/>
  <c r="CH112" i="37"/>
  <c r="CI112" i="37"/>
  <c r="CJ112" i="37"/>
  <c r="CK112" i="37"/>
  <c r="CL112" i="37"/>
  <c r="CM112" i="37"/>
  <c r="CN112" i="37"/>
  <c r="BB113" i="37"/>
  <c r="BC113" i="37"/>
  <c r="BD113" i="37"/>
  <c r="BE113" i="37"/>
  <c r="BF113" i="37"/>
  <c r="BG113" i="37"/>
  <c r="BH113" i="37"/>
  <c r="BI113" i="37"/>
  <c r="BJ113" i="37"/>
  <c r="BK113" i="37"/>
  <c r="BL113" i="37"/>
  <c r="BM113" i="37"/>
  <c r="BN113" i="37"/>
  <c r="BO113" i="37"/>
  <c r="BP113" i="37"/>
  <c r="BQ113" i="37"/>
  <c r="BR113" i="37"/>
  <c r="BS113" i="37"/>
  <c r="BT113" i="37"/>
  <c r="BU113" i="37"/>
  <c r="BV113" i="37"/>
  <c r="BW113" i="37"/>
  <c r="BX113" i="37"/>
  <c r="BY113" i="37"/>
  <c r="BZ113" i="37"/>
  <c r="CA113" i="37"/>
  <c r="CB113" i="37"/>
  <c r="CC113" i="37"/>
  <c r="CD113" i="37"/>
  <c r="CE113" i="37"/>
  <c r="CF113" i="37"/>
  <c r="CG113" i="37"/>
  <c r="CH113" i="37"/>
  <c r="CI113" i="37"/>
  <c r="CJ113" i="37"/>
  <c r="CK113" i="37"/>
  <c r="CL113" i="37"/>
  <c r="CM113" i="37"/>
  <c r="CN113" i="37"/>
  <c r="BB9" i="37"/>
  <c r="BC9" i="37"/>
  <c r="BD9" i="37"/>
  <c r="BE9" i="37"/>
  <c r="BF9" i="37"/>
  <c r="BG9" i="37"/>
  <c r="BH9" i="37"/>
  <c r="BI9" i="37"/>
  <c r="BJ9" i="37"/>
  <c r="BK9" i="37"/>
  <c r="BL9" i="37"/>
  <c r="BM9" i="37"/>
  <c r="BN9" i="37"/>
  <c r="BO9" i="37"/>
  <c r="BP9" i="37"/>
  <c r="BQ9" i="37"/>
  <c r="BR9" i="37"/>
  <c r="BS9" i="37"/>
  <c r="BT9" i="37"/>
  <c r="BU9" i="37"/>
  <c r="BV9" i="37"/>
  <c r="BW9" i="37"/>
  <c r="BX9" i="37"/>
  <c r="BY9" i="37"/>
  <c r="BZ9" i="37"/>
  <c r="CA9" i="37"/>
  <c r="CB9" i="37"/>
  <c r="CC9" i="37"/>
  <c r="CD9" i="37"/>
  <c r="CE9" i="37"/>
  <c r="CF9" i="37"/>
  <c r="CG9" i="37"/>
  <c r="CH9" i="37"/>
  <c r="CI9" i="37"/>
  <c r="CJ9" i="37"/>
  <c r="CK9" i="37"/>
  <c r="CL9" i="37"/>
  <c r="CM9" i="37"/>
  <c r="CN9" i="37"/>
  <c r="BB10" i="37"/>
  <c r="BC10" i="37"/>
  <c r="BD10" i="37"/>
  <c r="BE10" i="37"/>
  <c r="BF10" i="37"/>
  <c r="BG10" i="37"/>
  <c r="BH10" i="37"/>
  <c r="BI10" i="37"/>
  <c r="BJ10" i="37"/>
  <c r="BK10" i="37"/>
  <c r="BL10" i="37"/>
  <c r="BM10" i="37"/>
  <c r="BN10" i="37"/>
  <c r="BO10" i="37"/>
  <c r="BP10" i="37"/>
  <c r="BQ10" i="37"/>
  <c r="BR10" i="37"/>
  <c r="BS10" i="37"/>
  <c r="BT10" i="37"/>
  <c r="BU10" i="37"/>
  <c r="BV10" i="37"/>
  <c r="BW10" i="37"/>
  <c r="BX10" i="37"/>
  <c r="BY10" i="37"/>
  <c r="BZ10" i="37"/>
  <c r="CA10" i="37"/>
  <c r="CB10" i="37"/>
  <c r="CC10" i="37"/>
  <c r="CD10" i="37"/>
  <c r="CE10" i="37"/>
  <c r="CF10" i="37"/>
  <c r="CG10" i="37"/>
  <c r="CH10" i="37"/>
  <c r="CI10" i="37"/>
  <c r="CJ10" i="37"/>
  <c r="CK10" i="37"/>
  <c r="CL10" i="37"/>
  <c r="CM10" i="37"/>
  <c r="CN10" i="37"/>
  <c r="BB11" i="37"/>
  <c r="BC11" i="37"/>
  <c r="BD11" i="37"/>
  <c r="BE11" i="37"/>
  <c r="BF11" i="37"/>
  <c r="BG11" i="37"/>
  <c r="BH11" i="37"/>
  <c r="BI11" i="37"/>
  <c r="BJ11" i="37"/>
  <c r="BK11" i="37"/>
  <c r="BL11" i="37"/>
  <c r="BM11" i="37"/>
  <c r="BN11" i="37"/>
  <c r="BO11" i="37"/>
  <c r="BP11" i="37"/>
  <c r="BQ11" i="37"/>
  <c r="BR11" i="37"/>
  <c r="BS11" i="37"/>
  <c r="BT11" i="37"/>
  <c r="BU11" i="37"/>
  <c r="BV11" i="37"/>
  <c r="BW11" i="37"/>
  <c r="BX11" i="37"/>
  <c r="BY11" i="37"/>
  <c r="BZ11" i="37"/>
  <c r="CA11" i="37"/>
  <c r="CB11" i="37"/>
  <c r="CC11" i="37"/>
  <c r="CD11" i="37"/>
  <c r="CE11" i="37"/>
  <c r="CF11" i="37"/>
  <c r="CG11" i="37"/>
  <c r="CH11" i="37"/>
  <c r="CI11" i="37"/>
  <c r="CJ11" i="37"/>
  <c r="CK11" i="37"/>
  <c r="CL11" i="37"/>
  <c r="CM11" i="37"/>
  <c r="CN11" i="37"/>
  <c r="BB12" i="37"/>
  <c r="BC12" i="37"/>
  <c r="BD12" i="37"/>
  <c r="BE12" i="37"/>
  <c r="BF12" i="37"/>
  <c r="BG12" i="37"/>
  <c r="BH12" i="37"/>
  <c r="BI12" i="37"/>
  <c r="BJ12" i="37"/>
  <c r="BK12" i="37"/>
  <c r="BL12" i="37"/>
  <c r="BM12" i="37"/>
  <c r="BN12" i="37"/>
  <c r="BO12" i="37"/>
  <c r="BP12" i="37"/>
  <c r="BQ12" i="37"/>
  <c r="BR12" i="37"/>
  <c r="BS12" i="37"/>
  <c r="BT12" i="37"/>
  <c r="BU12" i="37"/>
  <c r="BV12" i="37"/>
  <c r="BW12" i="37"/>
  <c r="BX12" i="37"/>
  <c r="BY12" i="37"/>
  <c r="BZ12" i="37"/>
  <c r="CA12" i="37"/>
  <c r="CB12" i="37"/>
  <c r="CC12" i="37"/>
  <c r="CD12" i="37"/>
  <c r="CE12" i="37"/>
  <c r="CF12" i="37"/>
  <c r="CG12" i="37"/>
  <c r="CH12" i="37"/>
  <c r="CI12" i="37"/>
  <c r="CJ12" i="37"/>
  <c r="CK12" i="37"/>
  <c r="CL12" i="37"/>
  <c r="CM12" i="37"/>
  <c r="CN12" i="37"/>
  <c r="BB13" i="37"/>
  <c r="BC13" i="37"/>
  <c r="BD13" i="37"/>
  <c r="BE13" i="37"/>
  <c r="BF13" i="37"/>
  <c r="BG13" i="37"/>
  <c r="BH13" i="37"/>
  <c r="BI13" i="37"/>
  <c r="BJ13" i="37"/>
  <c r="BK13" i="37"/>
  <c r="BL13" i="37"/>
  <c r="BM13" i="37"/>
  <c r="BN13" i="37"/>
  <c r="BO13" i="37"/>
  <c r="BP13" i="37"/>
  <c r="BQ13" i="37"/>
  <c r="BR13" i="37"/>
  <c r="BS13" i="37"/>
  <c r="BT13" i="37"/>
  <c r="BU13" i="37"/>
  <c r="BV13" i="37"/>
  <c r="BW13" i="37"/>
  <c r="BX13" i="37"/>
  <c r="BY13" i="37"/>
  <c r="BZ13" i="37"/>
  <c r="CA13" i="37"/>
  <c r="CB13" i="37"/>
  <c r="CC13" i="37"/>
  <c r="CD13" i="37"/>
  <c r="CE13" i="37"/>
  <c r="CF13" i="37"/>
  <c r="CG13" i="37"/>
  <c r="CH13" i="37"/>
  <c r="CI13" i="37"/>
  <c r="CJ13" i="37"/>
  <c r="CK13" i="37"/>
  <c r="CL13" i="37"/>
  <c r="CM13" i="37"/>
  <c r="CN13" i="37"/>
  <c r="BB14" i="37"/>
  <c r="BC14" i="37"/>
  <c r="BD14" i="37"/>
  <c r="BE14" i="37"/>
  <c r="BF14" i="37"/>
  <c r="BG14" i="37"/>
  <c r="BH14" i="37"/>
  <c r="BI14" i="37"/>
  <c r="BJ14" i="37"/>
  <c r="BK14" i="37"/>
  <c r="BL14" i="37"/>
  <c r="BM14" i="37"/>
  <c r="BN14" i="37"/>
  <c r="BO14" i="37"/>
  <c r="BP14" i="37"/>
  <c r="BQ14" i="37"/>
  <c r="BR14" i="37"/>
  <c r="BS14" i="37"/>
  <c r="BT14" i="37"/>
  <c r="BU14" i="37"/>
  <c r="BV14" i="37"/>
  <c r="BW14" i="37"/>
  <c r="BX14" i="37"/>
  <c r="BY14" i="37"/>
  <c r="BZ14" i="37"/>
  <c r="CA14" i="37"/>
  <c r="CB14" i="37"/>
  <c r="CC14" i="37"/>
  <c r="CD14" i="37"/>
  <c r="CE14" i="37"/>
  <c r="CF14" i="37"/>
  <c r="CG14" i="37"/>
  <c r="CH14" i="37"/>
  <c r="CI14" i="37"/>
  <c r="CJ14" i="37"/>
  <c r="CK14" i="37"/>
  <c r="CL14" i="37"/>
  <c r="CM14" i="37"/>
  <c r="CN14" i="37"/>
  <c r="BB15" i="37"/>
  <c r="BC15" i="37"/>
  <c r="BD15" i="37"/>
  <c r="BE15" i="37"/>
  <c r="BF15" i="37"/>
  <c r="BG15" i="37"/>
  <c r="BH15" i="37"/>
  <c r="BI15" i="37"/>
  <c r="BJ15" i="37"/>
  <c r="BK15" i="37"/>
  <c r="BL15" i="37"/>
  <c r="BM15" i="37"/>
  <c r="BN15" i="37"/>
  <c r="BO15" i="37"/>
  <c r="BP15" i="37"/>
  <c r="BQ15" i="37"/>
  <c r="BR15" i="37"/>
  <c r="BS15" i="37"/>
  <c r="BT15" i="37"/>
  <c r="BU15" i="37"/>
  <c r="BV15" i="37"/>
  <c r="BW15" i="37"/>
  <c r="BX15" i="37"/>
  <c r="BY15" i="37"/>
  <c r="BZ15" i="37"/>
  <c r="CA15" i="37"/>
  <c r="CB15" i="37"/>
  <c r="CC15" i="37"/>
  <c r="CD15" i="37"/>
  <c r="CE15" i="37"/>
  <c r="CF15" i="37"/>
  <c r="CG15" i="37"/>
  <c r="CH15" i="37"/>
  <c r="CI15" i="37"/>
  <c r="CJ15" i="37"/>
  <c r="CK15" i="37"/>
  <c r="CL15" i="37"/>
  <c r="CM15" i="37"/>
  <c r="CN15" i="37"/>
  <c r="BB16" i="37"/>
  <c r="BC16" i="37"/>
  <c r="BD16" i="37"/>
  <c r="BE16" i="37"/>
  <c r="BF16" i="37"/>
  <c r="BG16" i="37"/>
  <c r="BH16" i="37"/>
  <c r="BI16" i="37"/>
  <c r="BJ16" i="37"/>
  <c r="BK16" i="37"/>
  <c r="BL16" i="37"/>
  <c r="BM16" i="37"/>
  <c r="BN16" i="37"/>
  <c r="BO16" i="37"/>
  <c r="BP16" i="37"/>
  <c r="BQ16" i="37"/>
  <c r="BR16" i="37"/>
  <c r="BS16" i="37"/>
  <c r="BT16" i="37"/>
  <c r="BU16" i="37"/>
  <c r="BV16" i="37"/>
  <c r="BW16" i="37"/>
  <c r="BX16" i="37"/>
  <c r="BY16" i="37"/>
  <c r="BZ16" i="37"/>
  <c r="CA16" i="37"/>
  <c r="CB16" i="37"/>
  <c r="CC16" i="37"/>
  <c r="CD16" i="37"/>
  <c r="CE16" i="37"/>
  <c r="CF16" i="37"/>
  <c r="CG16" i="37"/>
  <c r="CH16" i="37"/>
  <c r="CI16" i="37"/>
  <c r="CJ16" i="37"/>
  <c r="CK16" i="37"/>
  <c r="CL16" i="37"/>
  <c r="CM16" i="37"/>
  <c r="CN16" i="37"/>
  <c r="BB17" i="37"/>
  <c r="BC17" i="37"/>
  <c r="BD17" i="37"/>
  <c r="BE17" i="37"/>
  <c r="BF17" i="37"/>
  <c r="BG17" i="37"/>
  <c r="BH17" i="37"/>
  <c r="BI17" i="37"/>
  <c r="BJ17" i="37"/>
  <c r="BK17" i="37"/>
  <c r="BL17" i="37"/>
  <c r="BM17" i="37"/>
  <c r="BN17" i="37"/>
  <c r="BO17" i="37"/>
  <c r="BP17" i="37"/>
  <c r="BQ17" i="37"/>
  <c r="BR17" i="37"/>
  <c r="BS17" i="37"/>
  <c r="BT17" i="37"/>
  <c r="BU17" i="37"/>
  <c r="BV17" i="37"/>
  <c r="BW17" i="37"/>
  <c r="BX17" i="37"/>
  <c r="BY17" i="37"/>
  <c r="BZ17" i="37"/>
  <c r="CA17" i="37"/>
  <c r="CB17" i="37"/>
  <c r="CC17" i="37"/>
  <c r="CD17" i="37"/>
  <c r="CE17" i="37"/>
  <c r="CF17" i="37"/>
  <c r="CG17" i="37"/>
  <c r="CH17" i="37"/>
  <c r="CI17" i="37"/>
  <c r="CJ17" i="37"/>
  <c r="CK17" i="37"/>
  <c r="CL17" i="37"/>
  <c r="CM17" i="37"/>
  <c r="CN17" i="37"/>
  <c r="BB18" i="37"/>
  <c r="BC18" i="37"/>
  <c r="BD18" i="37"/>
  <c r="BE18" i="37"/>
  <c r="BF18" i="37"/>
  <c r="BG18" i="37"/>
  <c r="BH18" i="37"/>
  <c r="BI18" i="37"/>
  <c r="BJ18" i="37"/>
  <c r="BK18" i="37"/>
  <c r="BL18" i="37"/>
  <c r="BM18" i="37"/>
  <c r="BN18" i="37"/>
  <c r="BO18" i="37"/>
  <c r="BP18" i="37"/>
  <c r="BQ18" i="37"/>
  <c r="BR18" i="37"/>
  <c r="BS18" i="37"/>
  <c r="BT18" i="37"/>
  <c r="BU18" i="37"/>
  <c r="BV18" i="37"/>
  <c r="BW18" i="37"/>
  <c r="BX18" i="37"/>
  <c r="BY18" i="37"/>
  <c r="BZ18" i="37"/>
  <c r="CA18" i="37"/>
  <c r="CB18" i="37"/>
  <c r="CC18" i="37"/>
  <c r="CD18" i="37"/>
  <c r="CE18" i="37"/>
  <c r="CF18" i="37"/>
  <c r="CG18" i="37"/>
  <c r="CH18" i="37"/>
  <c r="CI18" i="37"/>
  <c r="CJ18" i="37"/>
  <c r="CK18" i="37"/>
  <c r="CL18" i="37"/>
  <c r="CM18" i="37"/>
  <c r="CN18" i="37"/>
  <c r="CN8" i="37"/>
  <c r="CM8" i="37"/>
  <c r="CL8" i="37"/>
  <c r="CK8" i="37"/>
  <c r="CJ8" i="37"/>
  <c r="CI8" i="37"/>
  <c r="CH8" i="37"/>
  <c r="CG8" i="37"/>
  <c r="CF8" i="37"/>
  <c r="CE8" i="37"/>
  <c r="CD8" i="37"/>
  <c r="CC8" i="37"/>
  <c r="CB8" i="37"/>
  <c r="CA8" i="37"/>
  <c r="BZ8" i="37"/>
  <c r="BY8" i="37"/>
  <c r="BX8" i="37"/>
  <c r="BX6" i="37" s="1"/>
  <c r="BW8" i="37"/>
  <c r="BV8" i="37"/>
  <c r="BU8" i="37"/>
  <c r="BT8" i="37"/>
  <c r="BS8" i="37"/>
  <c r="BR8" i="37"/>
  <c r="BQ8" i="37"/>
  <c r="BP8" i="37"/>
  <c r="BO8" i="37"/>
  <c r="BN8" i="37"/>
  <c r="BM8" i="37"/>
  <c r="BL8" i="37"/>
  <c r="BL6" i="37" s="1"/>
  <c r="BK8" i="37"/>
  <c r="BJ8" i="37"/>
  <c r="BI8" i="37"/>
  <c r="BI6" i="37" s="1"/>
  <c r="BH8" i="37"/>
  <c r="BG8" i="37"/>
  <c r="BF8" i="37"/>
  <c r="BE8" i="37"/>
  <c r="BD8" i="37"/>
  <c r="BC8" i="37"/>
  <c r="BB8" i="37"/>
  <c r="CK6" i="37" l="1"/>
  <c r="BM6" i="37"/>
  <c r="BY6" i="37"/>
  <c r="CB6" i="37"/>
  <c r="CN6" i="37"/>
  <c r="BF6" i="37"/>
  <c r="CD6" i="37"/>
  <c r="BD6" i="37"/>
  <c r="BR6" i="37"/>
  <c r="BS6" i="37"/>
  <c r="BP6" i="37"/>
  <c r="BG6" i="37"/>
  <c r="CE6" i="37"/>
  <c r="BU6" i="37"/>
  <c r="CG6" i="37"/>
  <c r="BJ6" i="37"/>
  <c r="BV6" i="37"/>
  <c r="CH6" i="37"/>
  <c r="BH6" i="37"/>
  <c r="BT6" i="37"/>
  <c r="BA6" i="37"/>
  <c r="CJ6" i="37"/>
  <c r="BB6" i="37"/>
  <c r="BZ6" i="37"/>
  <c r="BN6" i="37"/>
  <c r="CL6" i="37"/>
  <c r="BC6" i="37"/>
  <c r="BO6" i="37"/>
  <c r="CA6" i="37"/>
  <c r="CM6" i="37"/>
  <c r="CI6" i="37"/>
  <c r="BW6" i="37"/>
  <c r="BK6" i="37"/>
  <c r="BE6" i="37"/>
  <c r="BQ6" i="37"/>
  <c r="CC6" i="37"/>
  <c r="CF6" i="37"/>
  <c r="A8" i="37"/>
  <c r="A9" i="37"/>
  <c r="A10" i="37"/>
  <c r="A11" i="37"/>
  <c r="A12" i="37"/>
  <c r="A13" i="37"/>
  <c r="A14" i="37"/>
  <c r="A15" i="37"/>
  <c r="A16" i="37"/>
  <c r="A17" i="37"/>
  <c r="A18" i="37"/>
  <c r="A19" i="37"/>
  <c r="A20" i="37"/>
  <c r="A21" i="37"/>
  <c r="A22" i="37"/>
  <c r="A23" i="37"/>
  <c r="A24" i="37"/>
  <c r="A25" i="37"/>
  <c r="A26" i="37"/>
  <c r="A27" i="37"/>
  <c r="A28" i="37"/>
  <c r="A29" i="37"/>
  <c r="A30" i="37"/>
  <c r="A31" i="37"/>
  <c r="A32" i="37"/>
  <c r="A33" i="37"/>
  <c r="A34" i="37"/>
  <c r="A35" i="37"/>
  <c r="A36" i="37"/>
  <c r="A37" i="37"/>
  <c r="A38" i="37"/>
  <c r="A39" i="37"/>
  <c r="A40" i="37"/>
  <c r="A41" i="37"/>
  <c r="A42" i="37"/>
  <c r="A43" i="37"/>
  <c r="A44" i="37"/>
  <c r="A45" i="37"/>
  <c r="A46" i="37"/>
  <c r="A47" i="37"/>
  <c r="A48" i="37"/>
  <c r="A49" i="37"/>
  <c r="A50" i="37"/>
  <c r="A51" i="37"/>
  <c r="A52" i="37"/>
  <c r="A53" i="37"/>
  <c r="A54" i="37"/>
  <c r="A55" i="37"/>
  <c r="A56" i="37"/>
  <c r="A57" i="37"/>
  <c r="A58" i="37"/>
  <c r="A59" i="37"/>
  <c r="A60" i="37"/>
  <c r="A61" i="37"/>
  <c r="A62" i="37"/>
  <c r="A63" i="37"/>
  <c r="A64" i="37"/>
  <c r="A65" i="37"/>
  <c r="A66" i="37"/>
  <c r="A67" i="37"/>
  <c r="A68" i="37"/>
  <c r="A69" i="37"/>
  <c r="A70" i="37"/>
  <c r="A71" i="37"/>
  <c r="A72" i="37"/>
  <c r="A73" i="37"/>
  <c r="A74" i="37"/>
  <c r="A75" i="37"/>
  <c r="A76" i="37"/>
  <c r="A77" i="37"/>
  <c r="A78" i="37"/>
  <c r="A79" i="37"/>
  <c r="A80" i="37"/>
  <c r="A81" i="37"/>
  <c r="A82" i="37"/>
  <c r="A83" i="37"/>
  <c r="A84" i="37"/>
  <c r="A85" i="37"/>
  <c r="A86" i="37"/>
  <c r="A87" i="37"/>
  <c r="A88" i="37"/>
  <c r="A89" i="37"/>
  <c r="A90" i="37"/>
  <c r="A91" i="37"/>
  <c r="A92" i="37"/>
  <c r="A93" i="37"/>
  <c r="A94" i="37"/>
  <c r="A95" i="37"/>
  <c r="A96" i="37"/>
  <c r="A97" i="37"/>
  <c r="A98" i="37"/>
  <c r="A99" i="37"/>
  <c r="A100" i="37"/>
  <c r="A101" i="37"/>
  <c r="A102" i="37"/>
  <c r="A103" i="37"/>
  <c r="A104" i="37"/>
  <c r="A105" i="37"/>
  <c r="A106" i="37"/>
  <c r="A107" i="37"/>
  <c r="A108" i="37"/>
  <c r="A109" i="37"/>
  <c r="A110" i="37"/>
  <c r="A111" i="37"/>
  <c r="A112" i="37"/>
  <c r="A113" i="37"/>
  <c r="A7" i="37"/>
  <c r="B72" i="3"/>
  <c r="B71" i="3"/>
  <c r="B70" i="3"/>
  <c r="B69" i="3"/>
  <c r="B68" i="3"/>
  <c r="B67" i="3"/>
  <c r="B66" i="3"/>
  <c r="B65" i="3"/>
  <c r="B64" i="3"/>
  <c r="B63" i="3"/>
  <c r="B62" i="3"/>
  <c r="B61" i="3"/>
  <c r="B60" i="3"/>
  <c r="B59" i="3"/>
  <c r="B54" i="3"/>
  <c r="B53" i="3"/>
  <c r="B52" i="3"/>
  <c r="B51" i="3"/>
  <c r="B50" i="3"/>
  <c r="B49" i="3"/>
  <c r="B48" i="3"/>
  <c r="B47" i="3"/>
  <c r="B46" i="3"/>
  <c r="B45" i="3"/>
  <c r="B1" i="60"/>
  <c r="B1" i="59"/>
  <c r="B1" i="58"/>
  <c r="B1" i="57"/>
  <c r="B1" i="56"/>
  <c r="B1" i="55"/>
  <c r="B1" i="54"/>
  <c r="B1" i="51"/>
  <c r="B1" i="50"/>
  <c r="B1" i="49"/>
  <c r="B1" i="48"/>
  <c r="B1" i="47"/>
  <c r="B1" i="46"/>
  <c r="B1" i="45"/>
  <c r="B1" i="44"/>
  <c r="B1" i="43"/>
  <c r="B1" i="42"/>
  <c r="B1" i="41"/>
  <c r="B1" i="40"/>
  <c r="B1" i="39"/>
  <c r="B1" i="29"/>
  <c r="B1" i="28"/>
  <c r="B1" i="27"/>
  <c r="B1" i="25"/>
  <c r="B1" i="26"/>
  <c r="B1" i="24"/>
  <c r="B1" i="23"/>
  <c r="B1" i="22"/>
  <c r="B1" i="21"/>
  <c r="B1" i="20"/>
  <c r="B1" i="19"/>
  <c r="B1" i="18"/>
  <c r="B1" i="17"/>
  <c r="B1" i="13"/>
  <c r="B1" i="16"/>
  <c r="B1" i="15"/>
  <c r="B1" i="14"/>
  <c r="B1" i="12"/>
  <c r="B1" i="11"/>
  <c r="B1" i="35"/>
  <c r="A1" i="35"/>
  <c r="A1" i="63"/>
  <c r="A1" i="3"/>
  <c r="A54" i="4"/>
  <c r="B54" i="4" s="1"/>
  <c r="A53" i="4"/>
  <c r="B53" i="4" s="1"/>
  <c r="A52" i="4"/>
  <c r="B52" i="4" s="1"/>
  <c r="A51" i="4"/>
  <c r="B51" i="4" s="1"/>
  <c r="A50" i="4"/>
  <c r="B50" i="4" s="1"/>
  <c r="A49" i="4"/>
  <c r="B49" i="4" s="1"/>
  <c r="A48" i="4"/>
  <c r="B48" i="4" s="1"/>
  <c r="A47" i="4"/>
  <c r="B47" i="4" s="1"/>
  <c r="A46" i="4"/>
  <c r="B46" i="4" s="1"/>
  <c r="A45" i="4"/>
  <c r="B45" i="4" s="1"/>
  <c r="A44" i="4"/>
  <c r="B44" i="4" s="1"/>
  <c r="A43" i="4"/>
  <c r="B43" i="4" s="1"/>
  <c r="A42" i="4"/>
  <c r="B42" i="4" s="1"/>
  <c r="A41" i="4"/>
  <c r="B41" i="4" s="1"/>
  <c r="A40" i="4"/>
  <c r="B40" i="4" s="1"/>
  <c r="A39" i="4"/>
  <c r="B39" i="4" s="1"/>
  <c r="A38" i="4"/>
  <c r="B38" i="4" s="1"/>
  <c r="A37" i="4"/>
  <c r="B37" i="4" s="1"/>
  <c r="A36" i="4"/>
  <c r="B36" i="4" s="1"/>
  <c r="A35" i="4"/>
  <c r="B35" i="4" s="1"/>
  <c r="A34" i="4"/>
  <c r="B34" i="4" s="1"/>
  <c r="A33" i="4"/>
  <c r="B33" i="4" s="1"/>
  <c r="A32" i="4"/>
  <c r="B32" i="4" s="1"/>
  <c r="A31" i="4"/>
  <c r="B31" i="4" s="1"/>
  <c r="A30" i="4"/>
  <c r="B30" i="4" s="1"/>
  <c r="A29" i="4"/>
  <c r="B29" i="4" s="1"/>
  <c r="A28" i="4"/>
  <c r="B28" i="4" s="1"/>
  <c r="A27" i="4"/>
  <c r="B27" i="4" s="1"/>
  <c r="A26" i="4"/>
  <c r="B26" i="4" s="1"/>
  <c r="A25" i="4"/>
  <c r="B25" i="4" s="1"/>
  <c r="A24" i="4"/>
  <c r="B24" i="4" s="1"/>
  <c r="A23" i="4"/>
  <c r="B23" i="4" s="1"/>
  <c r="A22" i="4"/>
  <c r="B22" i="4" s="1"/>
  <c r="A21" i="4"/>
  <c r="B21" i="4" s="1"/>
  <c r="A20" i="4"/>
  <c r="B20" i="4" s="1"/>
  <c r="A19" i="4"/>
  <c r="B19" i="4" s="1"/>
  <c r="A18" i="4"/>
  <c r="B18" i="4" s="1"/>
  <c r="A17" i="4"/>
  <c r="B17" i="4" s="1"/>
  <c r="A16" i="4"/>
  <c r="B16" i="4" s="1"/>
  <c r="A15" i="4"/>
  <c r="B1" i="4"/>
  <c r="B2" i="63"/>
  <c r="B3" i="63"/>
  <c r="C3" i="63"/>
  <c r="D3" i="63"/>
  <c r="I3" i="63"/>
  <c r="B4" i="63"/>
  <c r="C4" i="63"/>
  <c r="D4" i="63"/>
  <c r="I4" i="63"/>
  <c r="B5" i="63"/>
  <c r="C5" i="63"/>
  <c r="D5" i="63"/>
  <c r="I5" i="63"/>
  <c r="B6" i="63"/>
  <c r="C6" i="63"/>
  <c r="D6" i="63"/>
  <c r="I6" i="63"/>
  <c r="B7" i="63"/>
  <c r="C7" i="63"/>
  <c r="D7" i="63"/>
  <c r="I7" i="63"/>
  <c r="B8" i="63"/>
  <c r="C8" i="63"/>
  <c r="D8" i="63"/>
  <c r="I8" i="63"/>
  <c r="B9" i="63"/>
  <c r="C9" i="63"/>
  <c r="D9" i="63"/>
  <c r="I9" i="63"/>
  <c r="B10" i="63"/>
  <c r="C10" i="63"/>
  <c r="D10" i="63"/>
  <c r="I10" i="63"/>
  <c r="B11" i="63"/>
  <c r="C11" i="63"/>
  <c r="D11" i="63"/>
  <c r="I11" i="63"/>
  <c r="B12" i="63"/>
  <c r="C12" i="63"/>
  <c r="D12" i="63"/>
  <c r="I12" i="63"/>
  <c r="B13" i="63"/>
  <c r="C13" i="63"/>
  <c r="D13" i="63"/>
  <c r="I13" i="63"/>
  <c r="B14" i="63"/>
  <c r="C14" i="63"/>
  <c r="D14" i="63"/>
  <c r="I14" i="63"/>
  <c r="B15" i="63"/>
  <c r="C15" i="63"/>
  <c r="D15" i="63"/>
  <c r="I15" i="63"/>
  <c r="B16" i="63"/>
  <c r="C16" i="63"/>
  <c r="D16" i="63"/>
  <c r="I16" i="63"/>
  <c r="B17" i="63"/>
  <c r="C17" i="63"/>
  <c r="D17" i="63"/>
  <c r="I17" i="63"/>
  <c r="B18" i="63"/>
  <c r="C18" i="63"/>
  <c r="D18" i="63"/>
  <c r="I18" i="63"/>
  <c r="B19" i="63"/>
  <c r="C19" i="63"/>
  <c r="D19" i="63"/>
  <c r="I19" i="63"/>
  <c r="B20" i="63"/>
  <c r="C20" i="63"/>
  <c r="D20" i="63"/>
  <c r="I20" i="63"/>
  <c r="B21" i="63"/>
  <c r="C21" i="63"/>
  <c r="D21" i="63"/>
  <c r="I21" i="63"/>
  <c r="B22" i="63"/>
  <c r="C22" i="63"/>
  <c r="D22" i="63"/>
  <c r="I22" i="63"/>
  <c r="B23" i="63"/>
  <c r="C23" i="63"/>
  <c r="D23" i="63"/>
  <c r="I23" i="63"/>
  <c r="B24" i="63"/>
  <c r="C24" i="63"/>
  <c r="D24" i="63"/>
  <c r="I24" i="63"/>
  <c r="B25" i="63"/>
  <c r="C25" i="63"/>
  <c r="D25" i="63"/>
  <c r="I25" i="63"/>
  <c r="B26" i="63"/>
  <c r="C26" i="63"/>
  <c r="D26" i="63"/>
  <c r="I26" i="63"/>
  <c r="B27" i="63"/>
  <c r="C27" i="63"/>
  <c r="D27" i="63"/>
  <c r="I27" i="63"/>
  <c r="B28" i="63"/>
  <c r="C28" i="63"/>
  <c r="D28" i="63"/>
  <c r="I28" i="63"/>
  <c r="B29" i="63"/>
  <c r="C29" i="63"/>
  <c r="D29" i="63"/>
  <c r="I29" i="63"/>
  <c r="B30" i="63"/>
  <c r="C30" i="63"/>
  <c r="D30" i="63"/>
  <c r="I30" i="63"/>
  <c r="B31" i="63"/>
  <c r="C31" i="63"/>
  <c r="D31" i="63"/>
  <c r="I31" i="63"/>
  <c r="B32" i="63"/>
  <c r="C32" i="63"/>
  <c r="D32" i="63"/>
  <c r="I32" i="63"/>
  <c r="B33" i="63"/>
  <c r="C33" i="63"/>
  <c r="D33" i="63"/>
  <c r="I33" i="63"/>
  <c r="B34" i="63"/>
  <c r="C34" i="63"/>
  <c r="D34" i="63"/>
  <c r="I34" i="63"/>
  <c r="B35" i="63"/>
  <c r="C35" i="63"/>
  <c r="D35" i="63"/>
  <c r="I35" i="63"/>
  <c r="B36" i="63"/>
  <c r="C36" i="63"/>
  <c r="D36" i="63"/>
  <c r="I36" i="63"/>
  <c r="B37" i="63"/>
  <c r="C37" i="63"/>
  <c r="D37" i="63"/>
  <c r="I37" i="63"/>
  <c r="B38" i="63"/>
  <c r="C38" i="63"/>
  <c r="D38" i="63"/>
  <c r="I38" i="63"/>
  <c r="B39" i="63"/>
  <c r="C39" i="63"/>
  <c r="D39" i="63"/>
  <c r="I39" i="63"/>
  <c r="B40" i="63"/>
  <c r="C40" i="63"/>
  <c r="D40" i="63"/>
  <c r="I40" i="63"/>
  <c r="B41" i="63"/>
  <c r="C41" i="63"/>
  <c r="D41" i="63"/>
  <c r="I41" i="63"/>
  <c r="B42" i="63"/>
  <c r="C42" i="63"/>
  <c r="D42" i="63"/>
  <c r="I42" i="63"/>
  <c r="B43" i="63"/>
  <c r="C43" i="63"/>
  <c r="D43" i="63"/>
  <c r="I43" i="63"/>
  <c r="B44" i="63"/>
  <c r="C44" i="63"/>
  <c r="D44" i="63"/>
  <c r="I44" i="63"/>
  <c r="B45" i="63"/>
  <c r="C45" i="63"/>
  <c r="D45" i="63"/>
  <c r="I45" i="63"/>
  <c r="B46" i="63"/>
  <c r="C46" i="63"/>
  <c r="D46" i="63"/>
  <c r="I46" i="63"/>
  <c r="B47" i="63"/>
  <c r="C47" i="63"/>
  <c r="D47" i="63"/>
  <c r="I47" i="63"/>
  <c r="B48" i="63"/>
  <c r="C48" i="63"/>
  <c r="D48" i="63"/>
  <c r="I48" i="63"/>
  <c r="B49" i="63"/>
  <c r="C49" i="63"/>
  <c r="D49" i="63"/>
  <c r="I49" i="63"/>
  <c r="B50" i="63"/>
  <c r="C50" i="63"/>
  <c r="D50" i="63"/>
  <c r="I50" i="63"/>
  <c r="B51" i="63"/>
  <c r="C51" i="63"/>
  <c r="D51" i="63"/>
  <c r="I51" i="63"/>
  <c r="B52" i="63"/>
  <c r="C52" i="63"/>
  <c r="D52" i="63"/>
  <c r="I52" i="63"/>
  <c r="B53" i="63"/>
  <c r="C53" i="63"/>
  <c r="D53" i="63"/>
  <c r="I53" i="63"/>
  <c r="B54" i="63"/>
  <c r="C54" i="63"/>
  <c r="D54" i="63"/>
  <c r="I54" i="63"/>
  <c r="B55" i="63"/>
  <c r="C55" i="63"/>
  <c r="D55" i="63"/>
  <c r="I55" i="63"/>
  <c r="B56" i="63"/>
  <c r="C56" i="63"/>
  <c r="D56" i="63"/>
  <c r="I56" i="63"/>
  <c r="B57" i="63"/>
  <c r="C57" i="63"/>
  <c r="D57" i="63"/>
  <c r="I57" i="63"/>
  <c r="B58" i="63"/>
  <c r="C58" i="63"/>
  <c r="D58" i="63"/>
  <c r="I58" i="63"/>
  <c r="B59" i="63"/>
  <c r="C59" i="63"/>
  <c r="D59" i="63"/>
  <c r="I59" i="63"/>
  <c r="B60" i="63"/>
  <c r="C60" i="63"/>
  <c r="D60" i="63"/>
  <c r="I60" i="63"/>
  <c r="B61" i="63"/>
  <c r="C61" i="63"/>
  <c r="D61" i="63"/>
  <c r="I61" i="63"/>
  <c r="B62" i="63"/>
  <c r="C62" i="63"/>
  <c r="D62" i="63"/>
  <c r="I62" i="63"/>
  <c r="B63" i="63"/>
  <c r="C63" i="63"/>
  <c r="D63" i="63"/>
  <c r="I63" i="63"/>
  <c r="B64" i="63"/>
  <c r="C64" i="63"/>
  <c r="D64" i="63"/>
  <c r="I64" i="63"/>
  <c r="B65" i="63"/>
  <c r="C65" i="63"/>
  <c r="D65" i="63"/>
  <c r="I65" i="63"/>
  <c r="B66" i="63"/>
  <c r="C66" i="63"/>
  <c r="D66" i="63"/>
  <c r="I66" i="63"/>
  <c r="B67" i="63"/>
  <c r="C67" i="63"/>
  <c r="D67" i="63"/>
  <c r="I67" i="63"/>
  <c r="B68" i="63"/>
  <c r="C68" i="63"/>
  <c r="D68" i="63"/>
  <c r="I68" i="63"/>
  <c r="B69" i="63"/>
  <c r="C69" i="63"/>
  <c r="D69" i="63"/>
  <c r="I69" i="63"/>
  <c r="B70" i="63"/>
  <c r="C70" i="63"/>
  <c r="D70" i="63"/>
  <c r="I70" i="63"/>
  <c r="B71" i="63"/>
  <c r="C71" i="63"/>
  <c r="D71" i="63"/>
  <c r="I71" i="63"/>
  <c r="B72" i="63"/>
  <c r="C72" i="63"/>
  <c r="D72" i="63"/>
  <c r="I72" i="63"/>
  <c r="B73" i="63"/>
  <c r="C73" i="63"/>
  <c r="D73" i="63"/>
  <c r="I73" i="63"/>
  <c r="B74" i="63"/>
  <c r="C74" i="63"/>
  <c r="D74" i="63"/>
  <c r="I74" i="63"/>
  <c r="B75" i="63"/>
  <c r="C75" i="63"/>
  <c r="D75" i="63"/>
  <c r="I75" i="63"/>
  <c r="B76" i="63"/>
  <c r="C76" i="63"/>
  <c r="D76" i="63"/>
  <c r="I76" i="63"/>
  <c r="B77" i="63"/>
  <c r="C77" i="63"/>
  <c r="D77" i="63"/>
  <c r="I77" i="63"/>
  <c r="B78" i="63"/>
  <c r="C78" i="63"/>
  <c r="D78" i="63"/>
  <c r="I78" i="63"/>
  <c r="B79" i="63"/>
  <c r="C79" i="63"/>
  <c r="D79" i="63"/>
  <c r="I79" i="63"/>
  <c r="B80" i="63"/>
  <c r="C80" i="63"/>
  <c r="D80" i="63"/>
  <c r="I80" i="63"/>
  <c r="B81" i="63"/>
  <c r="C81" i="63"/>
  <c r="D81" i="63"/>
  <c r="I81" i="63"/>
  <c r="B82" i="63"/>
  <c r="C82" i="63"/>
  <c r="D82" i="63"/>
  <c r="I82" i="63"/>
  <c r="B83" i="63"/>
  <c r="C83" i="63"/>
  <c r="D83" i="63"/>
  <c r="I83" i="63"/>
  <c r="B84" i="63"/>
  <c r="C84" i="63"/>
  <c r="D84" i="63"/>
  <c r="I84" i="63"/>
  <c r="B85" i="63"/>
  <c r="C85" i="63"/>
  <c r="D85" i="63"/>
  <c r="I85" i="63"/>
  <c r="B86" i="63"/>
  <c r="C86" i="63"/>
  <c r="D86" i="63"/>
  <c r="I86" i="63"/>
  <c r="B87" i="63"/>
  <c r="C87" i="63"/>
  <c r="D87" i="63"/>
  <c r="I87" i="63"/>
  <c r="B88" i="63"/>
  <c r="C88" i="63"/>
  <c r="D88" i="63"/>
  <c r="I88" i="63"/>
  <c r="B89" i="63"/>
  <c r="C89" i="63"/>
  <c r="D89" i="63"/>
  <c r="I89" i="63"/>
  <c r="B90" i="63"/>
  <c r="C90" i="63"/>
  <c r="D90" i="63"/>
  <c r="I90" i="63"/>
  <c r="B91" i="63"/>
  <c r="C91" i="63"/>
  <c r="D91" i="63"/>
  <c r="I91" i="63"/>
  <c r="B92" i="63"/>
  <c r="C92" i="63"/>
  <c r="D92" i="63"/>
  <c r="I92" i="63"/>
  <c r="B93" i="63"/>
  <c r="C93" i="63"/>
  <c r="D93" i="63"/>
  <c r="I93" i="63"/>
  <c r="B94" i="63"/>
  <c r="C94" i="63"/>
  <c r="D94" i="63"/>
  <c r="I94" i="63"/>
  <c r="B95" i="63"/>
  <c r="C95" i="63"/>
  <c r="D95" i="63"/>
  <c r="I95" i="63"/>
  <c r="B96" i="63"/>
  <c r="C96" i="63"/>
  <c r="D96" i="63"/>
  <c r="I96" i="63"/>
  <c r="B97" i="63"/>
  <c r="C97" i="63"/>
  <c r="D97" i="63"/>
  <c r="I97" i="63"/>
  <c r="B98" i="63"/>
  <c r="C98" i="63"/>
  <c r="D98" i="63"/>
  <c r="I98" i="63"/>
  <c r="B99" i="63"/>
  <c r="C99" i="63"/>
  <c r="D99" i="63"/>
  <c r="I99" i="63"/>
  <c r="B100" i="63"/>
  <c r="C100" i="63"/>
  <c r="D100" i="63"/>
  <c r="I100" i="63"/>
  <c r="B101" i="63"/>
  <c r="C101" i="63"/>
  <c r="D101" i="63"/>
  <c r="I101" i="63"/>
  <c r="B102" i="63"/>
  <c r="C102" i="63"/>
  <c r="D102" i="63"/>
  <c r="I102" i="63"/>
  <c r="B103" i="63"/>
  <c r="C103" i="63"/>
  <c r="D103" i="63"/>
  <c r="I103" i="63"/>
  <c r="B104" i="63"/>
  <c r="C104" i="63"/>
  <c r="D104" i="63"/>
  <c r="I104" i="63"/>
  <c r="B105" i="63"/>
  <c r="C105" i="63"/>
  <c r="D105" i="63"/>
  <c r="I105" i="63"/>
  <c r="B106" i="63"/>
  <c r="C106" i="63"/>
  <c r="D106" i="63"/>
  <c r="I106" i="63"/>
  <c r="B107" i="63"/>
  <c r="C107" i="63"/>
  <c r="D107" i="63"/>
  <c r="I107" i="63"/>
  <c r="B108" i="63"/>
  <c r="C108" i="63"/>
  <c r="D108" i="63"/>
  <c r="I108" i="63"/>
  <c r="B109" i="63"/>
  <c r="C109" i="63"/>
  <c r="D109" i="63"/>
  <c r="I109" i="63"/>
  <c r="D4" i="35"/>
  <c r="AZ6" i="37" l="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103" i="19"/>
  <c r="F104" i="19"/>
  <c r="F105" i="19"/>
  <c r="F106" i="19"/>
  <c r="F107" i="19"/>
  <c r="F108" i="19"/>
  <c r="F109" i="19"/>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78" i="21"/>
  <c r="F79" i="21"/>
  <c r="F80" i="21"/>
  <c r="F81" i="21"/>
  <c r="F82" i="21"/>
  <c r="F83" i="21"/>
  <c r="F84" i="21"/>
  <c r="F85" i="21"/>
  <c r="F86" i="21"/>
  <c r="F87" i="21"/>
  <c r="F88" i="21"/>
  <c r="F89" i="21"/>
  <c r="F90" i="21"/>
  <c r="F91" i="21"/>
  <c r="F92" i="21"/>
  <c r="F93" i="21"/>
  <c r="F94" i="21"/>
  <c r="F95" i="21"/>
  <c r="F96" i="21"/>
  <c r="F97" i="21"/>
  <c r="F98" i="21"/>
  <c r="F99" i="21"/>
  <c r="F100" i="21"/>
  <c r="F101" i="21"/>
  <c r="F102" i="21"/>
  <c r="F103" i="21"/>
  <c r="F104" i="21"/>
  <c r="F105" i="21"/>
  <c r="F106" i="21"/>
  <c r="F107" i="21"/>
  <c r="F108" i="21"/>
  <c r="F109" i="21"/>
  <c r="F9" i="22"/>
  <c r="F10" i="22"/>
  <c r="F11" i="22"/>
  <c r="F12" i="22"/>
  <c r="F13" i="22"/>
  <c r="F14" i="22"/>
  <c r="F15" i="22"/>
  <c r="F16" i="22"/>
  <c r="F17" i="22"/>
  <c r="F18" i="22"/>
  <c r="F19" i="22"/>
  <c r="F20" i="22"/>
  <c r="F21" i="22"/>
  <c r="F22" i="22"/>
  <c r="F23" i="22"/>
  <c r="F24" i="22"/>
  <c r="F25" i="22"/>
  <c r="F26" i="22"/>
  <c r="F27" i="22"/>
  <c r="F28" i="22"/>
  <c r="F29" i="22"/>
  <c r="F30" i="22"/>
  <c r="F31" i="22"/>
  <c r="F32" i="22"/>
  <c r="F33" i="22"/>
  <c r="F34" i="22"/>
  <c r="F35" i="22"/>
  <c r="F36" i="22"/>
  <c r="F37" i="22"/>
  <c r="F38" i="22"/>
  <c r="F39" i="22"/>
  <c r="F40" i="22"/>
  <c r="F41" i="22"/>
  <c r="F42" i="22"/>
  <c r="F43" i="22"/>
  <c r="F44" i="22"/>
  <c r="F45" i="22"/>
  <c r="F46" i="22"/>
  <c r="F47" i="22"/>
  <c r="F48" i="22"/>
  <c r="F49" i="22"/>
  <c r="F50" i="22"/>
  <c r="F51" i="22"/>
  <c r="F52" i="22"/>
  <c r="F53" i="22"/>
  <c r="F54" i="22"/>
  <c r="F55" i="22"/>
  <c r="F56" i="22"/>
  <c r="F57" i="22"/>
  <c r="F58" i="22"/>
  <c r="F59" i="22"/>
  <c r="F60" i="22"/>
  <c r="F61" i="22"/>
  <c r="F62" i="22"/>
  <c r="F63" i="22"/>
  <c r="F64" i="22"/>
  <c r="F65" i="22"/>
  <c r="F66" i="22"/>
  <c r="F67" i="22"/>
  <c r="F68" i="22"/>
  <c r="F69" i="22"/>
  <c r="F70" i="22"/>
  <c r="F71" i="22"/>
  <c r="F72" i="22"/>
  <c r="F73" i="22"/>
  <c r="F74" i="22"/>
  <c r="F75" i="22"/>
  <c r="F76" i="22"/>
  <c r="F77" i="22"/>
  <c r="F78" i="22"/>
  <c r="F79" i="22"/>
  <c r="F80" i="22"/>
  <c r="F81" i="22"/>
  <c r="F82" i="22"/>
  <c r="F83" i="22"/>
  <c r="F84" i="22"/>
  <c r="F85" i="22"/>
  <c r="F86" i="22"/>
  <c r="F87" i="22"/>
  <c r="F88" i="22"/>
  <c r="F89" i="22"/>
  <c r="F90" i="22"/>
  <c r="F91" i="22"/>
  <c r="F92" i="22"/>
  <c r="F93" i="22"/>
  <c r="F94" i="22"/>
  <c r="F95" i="22"/>
  <c r="F96" i="22"/>
  <c r="F97" i="22"/>
  <c r="F98" i="22"/>
  <c r="F99" i="22"/>
  <c r="F100" i="22"/>
  <c r="F101" i="22"/>
  <c r="F102" i="22"/>
  <c r="F103" i="22"/>
  <c r="F104" i="22"/>
  <c r="F105" i="22"/>
  <c r="F106" i="22"/>
  <c r="F107" i="22"/>
  <c r="F108" i="22"/>
  <c r="F109" i="22"/>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95" i="23"/>
  <c r="F96" i="23"/>
  <c r="F97" i="23"/>
  <c r="F98" i="23"/>
  <c r="F99" i="23"/>
  <c r="F100" i="23"/>
  <c r="F101" i="23"/>
  <c r="F102" i="23"/>
  <c r="F103" i="23"/>
  <c r="F104" i="23"/>
  <c r="F105" i="23"/>
  <c r="F106" i="23"/>
  <c r="F107" i="23"/>
  <c r="F108" i="23"/>
  <c r="F109" i="23"/>
  <c r="F9" i="24"/>
  <c r="F10"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87" i="24"/>
  <c r="F88" i="24"/>
  <c r="F89" i="24"/>
  <c r="F90" i="24"/>
  <c r="F91" i="24"/>
  <c r="F92" i="24"/>
  <c r="F93" i="24"/>
  <c r="F94" i="24"/>
  <c r="F95" i="24"/>
  <c r="F96" i="24"/>
  <c r="F97" i="24"/>
  <c r="F98" i="24"/>
  <c r="F99" i="24"/>
  <c r="F100" i="24"/>
  <c r="F101" i="24"/>
  <c r="F102" i="24"/>
  <c r="F103" i="24"/>
  <c r="F104" i="24"/>
  <c r="F105" i="24"/>
  <c r="F106" i="24"/>
  <c r="F107" i="24"/>
  <c r="F108" i="24"/>
  <c r="F109" i="24"/>
  <c r="F9" i="25"/>
  <c r="F10" i="25"/>
  <c r="F11" i="25"/>
  <c r="F12" i="25"/>
  <c r="F13" i="25"/>
  <c r="F14" i="25"/>
  <c r="F15" i="25"/>
  <c r="F16" i="25"/>
  <c r="F17" i="25"/>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F46" i="25"/>
  <c r="F47" i="25"/>
  <c r="F48" i="25"/>
  <c r="F49" i="25"/>
  <c r="F50" i="25"/>
  <c r="F51" i="25"/>
  <c r="F52" i="25"/>
  <c r="F53" i="25"/>
  <c r="F54" i="25"/>
  <c r="F55" i="25"/>
  <c r="F56" i="25"/>
  <c r="F57" i="25"/>
  <c r="F58" i="25"/>
  <c r="F59" i="25"/>
  <c r="F60" i="25"/>
  <c r="F61" i="25"/>
  <c r="F62" i="25"/>
  <c r="F63" i="25"/>
  <c r="F64" i="25"/>
  <c r="F65" i="25"/>
  <c r="F66" i="25"/>
  <c r="F67" i="25"/>
  <c r="F68" i="25"/>
  <c r="F69" i="25"/>
  <c r="F70" i="25"/>
  <c r="F71" i="25"/>
  <c r="F72" i="25"/>
  <c r="F73" i="25"/>
  <c r="F74" i="25"/>
  <c r="F75" i="25"/>
  <c r="F76" i="25"/>
  <c r="F77" i="25"/>
  <c r="F78" i="25"/>
  <c r="F79" i="25"/>
  <c r="F80" i="25"/>
  <c r="F81" i="25"/>
  <c r="F82" i="25"/>
  <c r="F83" i="25"/>
  <c r="F84" i="25"/>
  <c r="F85" i="25"/>
  <c r="F86" i="25"/>
  <c r="F87" i="25"/>
  <c r="F88" i="25"/>
  <c r="F89" i="25"/>
  <c r="F90" i="25"/>
  <c r="F91" i="25"/>
  <c r="F92" i="25"/>
  <c r="F93" i="25"/>
  <c r="F94" i="25"/>
  <c r="F95" i="25"/>
  <c r="F96" i="25"/>
  <c r="F97" i="25"/>
  <c r="F98" i="25"/>
  <c r="F99" i="25"/>
  <c r="F100" i="25"/>
  <c r="F101" i="25"/>
  <c r="F102" i="25"/>
  <c r="F103" i="25"/>
  <c r="F104" i="25"/>
  <c r="F105" i="25"/>
  <c r="F106" i="25"/>
  <c r="F107" i="25"/>
  <c r="F108" i="25"/>
  <c r="F109" i="25"/>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9" i="27"/>
  <c r="F10" i="27"/>
  <c r="F11" i="27"/>
  <c r="F12" i="27"/>
  <c r="F13" i="27"/>
  <c r="F14" i="27"/>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3" i="27"/>
  <c r="F54" i="27"/>
  <c r="F55" i="27"/>
  <c r="F56" i="27"/>
  <c r="F57" i="27"/>
  <c r="F58" i="27"/>
  <c r="F59" i="27"/>
  <c r="F60" i="27"/>
  <c r="F61" i="27"/>
  <c r="F62" i="27"/>
  <c r="F63" i="27"/>
  <c r="F64" i="27"/>
  <c r="F65" i="27"/>
  <c r="F66" i="27"/>
  <c r="F67" i="27"/>
  <c r="F68" i="27"/>
  <c r="F69" i="27"/>
  <c r="F70" i="27"/>
  <c r="F71" i="27"/>
  <c r="F72" i="27"/>
  <c r="F73" i="27"/>
  <c r="F74" i="27"/>
  <c r="F75" i="27"/>
  <c r="F76" i="27"/>
  <c r="F77" i="27"/>
  <c r="F78" i="27"/>
  <c r="F79" i="27"/>
  <c r="F80" i="27"/>
  <c r="F81" i="27"/>
  <c r="F82" i="27"/>
  <c r="F83" i="27"/>
  <c r="F84" i="27"/>
  <c r="F85" i="27"/>
  <c r="F86" i="27"/>
  <c r="F87" i="27"/>
  <c r="F88" i="27"/>
  <c r="F89" i="27"/>
  <c r="F90" i="27"/>
  <c r="F91" i="27"/>
  <c r="F92" i="27"/>
  <c r="F93" i="27"/>
  <c r="F94" i="27"/>
  <c r="F95" i="27"/>
  <c r="F96" i="27"/>
  <c r="F97" i="27"/>
  <c r="F98" i="27"/>
  <c r="F99" i="27"/>
  <c r="F100" i="27"/>
  <c r="F101" i="27"/>
  <c r="F102" i="27"/>
  <c r="F103" i="27"/>
  <c r="F104" i="27"/>
  <c r="F105" i="27"/>
  <c r="F106" i="27"/>
  <c r="F107" i="27"/>
  <c r="F108" i="27"/>
  <c r="F109" i="27"/>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9" i="29"/>
  <c r="F10" i="29"/>
  <c r="F11" i="29"/>
  <c r="F12" i="29"/>
  <c r="F13" i="29"/>
  <c r="F14" i="29"/>
  <c r="F15" i="29"/>
  <c r="F16" i="29"/>
  <c r="F17" i="29"/>
  <c r="F18" i="29"/>
  <c r="F19" i="29"/>
  <c r="F20" i="29"/>
  <c r="F21" i="29"/>
  <c r="F22" i="29"/>
  <c r="F23" i="29"/>
  <c r="F24" i="29"/>
  <c r="F25"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78" i="29"/>
  <c r="F79" i="29"/>
  <c r="F80" i="29"/>
  <c r="F81" i="29"/>
  <c r="F82" i="29"/>
  <c r="F83" i="29"/>
  <c r="F84" i="29"/>
  <c r="F85" i="29"/>
  <c r="F86" i="29"/>
  <c r="F87" i="29"/>
  <c r="F88" i="29"/>
  <c r="F89" i="29"/>
  <c r="F90" i="29"/>
  <c r="F91" i="29"/>
  <c r="F92" i="29"/>
  <c r="F93" i="29"/>
  <c r="F94" i="29"/>
  <c r="F95" i="29"/>
  <c r="F96" i="29"/>
  <c r="F97" i="29"/>
  <c r="F98" i="29"/>
  <c r="F99" i="29"/>
  <c r="F100" i="29"/>
  <c r="F101" i="29"/>
  <c r="F102" i="29"/>
  <c r="F103" i="29"/>
  <c r="F104" i="29"/>
  <c r="F105" i="29"/>
  <c r="F106" i="29"/>
  <c r="F107" i="29"/>
  <c r="F108" i="29"/>
  <c r="F109" i="2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53" i="39"/>
  <c r="F54" i="39"/>
  <c r="F55" i="39"/>
  <c r="F56" i="39"/>
  <c r="F57" i="39"/>
  <c r="F58" i="39"/>
  <c r="F59" i="39"/>
  <c r="F60" i="39"/>
  <c r="F61" i="39"/>
  <c r="F62" i="39"/>
  <c r="F63" i="39"/>
  <c r="F64" i="39"/>
  <c r="F65" i="39"/>
  <c r="F66" i="39"/>
  <c r="F67" i="39"/>
  <c r="F68" i="39"/>
  <c r="F69" i="39"/>
  <c r="F70" i="39"/>
  <c r="F71" i="39"/>
  <c r="F72" i="39"/>
  <c r="F73" i="39"/>
  <c r="F74" i="39"/>
  <c r="F75" i="39"/>
  <c r="F76" i="39"/>
  <c r="F77" i="39"/>
  <c r="F78" i="39"/>
  <c r="F79" i="39"/>
  <c r="F80" i="39"/>
  <c r="F81" i="39"/>
  <c r="F82" i="39"/>
  <c r="F83" i="39"/>
  <c r="F84" i="39"/>
  <c r="F85" i="39"/>
  <c r="F86" i="39"/>
  <c r="F87" i="39"/>
  <c r="F88" i="39"/>
  <c r="F89" i="39"/>
  <c r="F90" i="39"/>
  <c r="F91" i="39"/>
  <c r="F92" i="39"/>
  <c r="F93" i="39"/>
  <c r="F94" i="39"/>
  <c r="F95" i="39"/>
  <c r="F96" i="39"/>
  <c r="F97" i="39"/>
  <c r="F98" i="39"/>
  <c r="F99" i="39"/>
  <c r="F100" i="39"/>
  <c r="F101" i="39"/>
  <c r="F102" i="39"/>
  <c r="F103" i="39"/>
  <c r="F104" i="39"/>
  <c r="F105" i="39"/>
  <c r="F106" i="39"/>
  <c r="F107" i="39"/>
  <c r="F108" i="39"/>
  <c r="F109" i="39"/>
  <c r="F9" i="40"/>
  <c r="F10" i="40"/>
  <c r="F11" i="40"/>
  <c r="F12" i="40"/>
  <c r="F13" i="40"/>
  <c r="F14" i="40"/>
  <c r="F15" i="40"/>
  <c r="F16" i="40"/>
  <c r="F17" i="40"/>
  <c r="F18" i="40"/>
  <c r="F19" i="40"/>
  <c r="F20" i="40"/>
  <c r="F21" i="40"/>
  <c r="F22" i="40"/>
  <c r="F23" i="40"/>
  <c r="F24" i="40"/>
  <c r="F25" i="40"/>
  <c r="F26" i="40"/>
  <c r="F27" i="40"/>
  <c r="F28" i="40"/>
  <c r="F29" i="40"/>
  <c r="F30" i="40"/>
  <c r="F31" i="40"/>
  <c r="F32" i="40"/>
  <c r="F33" i="40"/>
  <c r="F34" i="40"/>
  <c r="F35" i="40"/>
  <c r="F36" i="40"/>
  <c r="F37" i="40"/>
  <c r="F38" i="40"/>
  <c r="F39" i="40"/>
  <c r="F40" i="40"/>
  <c r="F41" i="40"/>
  <c r="F42" i="40"/>
  <c r="F43" i="40"/>
  <c r="F44" i="40"/>
  <c r="F45" i="40"/>
  <c r="F46" i="40"/>
  <c r="F47" i="40"/>
  <c r="F48" i="40"/>
  <c r="F49" i="40"/>
  <c r="F50" i="40"/>
  <c r="F51" i="40"/>
  <c r="F52" i="40"/>
  <c r="F53" i="40"/>
  <c r="F54" i="40"/>
  <c r="F55" i="40"/>
  <c r="F56" i="40"/>
  <c r="F57" i="40"/>
  <c r="F58" i="40"/>
  <c r="F59" i="40"/>
  <c r="F60" i="40"/>
  <c r="F61" i="40"/>
  <c r="F62" i="40"/>
  <c r="F63" i="40"/>
  <c r="F64" i="40"/>
  <c r="F65" i="40"/>
  <c r="F66" i="40"/>
  <c r="F67" i="40"/>
  <c r="F68" i="40"/>
  <c r="F69" i="40"/>
  <c r="F70" i="40"/>
  <c r="F71" i="40"/>
  <c r="F72" i="40"/>
  <c r="F73" i="40"/>
  <c r="F74" i="40"/>
  <c r="F75" i="40"/>
  <c r="F76" i="40"/>
  <c r="F77" i="40"/>
  <c r="F78" i="40"/>
  <c r="F79" i="40"/>
  <c r="F80" i="40"/>
  <c r="F81" i="40"/>
  <c r="F82" i="40"/>
  <c r="F83" i="40"/>
  <c r="F84" i="40"/>
  <c r="F85" i="40"/>
  <c r="F86" i="40"/>
  <c r="F87" i="40"/>
  <c r="F88" i="40"/>
  <c r="F89" i="40"/>
  <c r="F90" i="40"/>
  <c r="F91" i="40"/>
  <c r="F92" i="40"/>
  <c r="F93" i="40"/>
  <c r="F94" i="40"/>
  <c r="F95" i="40"/>
  <c r="F96" i="40"/>
  <c r="F97" i="40"/>
  <c r="F98" i="40"/>
  <c r="F99" i="40"/>
  <c r="F100" i="40"/>
  <c r="F101" i="40"/>
  <c r="F102" i="40"/>
  <c r="F103" i="40"/>
  <c r="F104" i="40"/>
  <c r="F105" i="40"/>
  <c r="F106" i="40"/>
  <c r="F107" i="40"/>
  <c r="F108" i="40"/>
  <c r="F109" i="40"/>
  <c r="F9" i="41"/>
  <c r="F10" i="41"/>
  <c r="F11" i="41"/>
  <c r="F12" i="41"/>
  <c r="F13" i="41"/>
  <c r="F14" i="41"/>
  <c r="F15" i="41"/>
  <c r="F16" i="41"/>
  <c r="F17" i="41"/>
  <c r="F18" i="41"/>
  <c r="F19" i="41"/>
  <c r="F20" i="41"/>
  <c r="F21" i="41"/>
  <c r="F22" i="41"/>
  <c r="F23" i="41"/>
  <c r="F24" i="41"/>
  <c r="F25" i="41"/>
  <c r="F26" i="41"/>
  <c r="F27" i="41"/>
  <c r="F28" i="41"/>
  <c r="F29" i="41"/>
  <c r="F30" i="41"/>
  <c r="F31" i="41"/>
  <c r="F32" i="41"/>
  <c r="F33" i="41"/>
  <c r="F34" i="41"/>
  <c r="F35" i="41"/>
  <c r="F36" i="41"/>
  <c r="F37" i="41"/>
  <c r="F38" i="41"/>
  <c r="F39" i="41"/>
  <c r="F40" i="41"/>
  <c r="F41" i="41"/>
  <c r="F42" i="41"/>
  <c r="F43" i="41"/>
  <c r="F44" i="41"/>
  <c r="F45" i="41"/>
  <c r="F46" i="41"/>
  <c r="F47" i="41"/>
  <c r="F48" i="41"/>
  <c r="F49" i="41"/>
  <c r="F50" i="41"/>
  <c r="F51" i="41"/>
  <c r="F52" i="41"/>
  <c r="F53" i="41"/>
  <c r="F54" i="41"/>
  <c r="F55" i="41"/>
  <c r="F56" i="41"/>
  <c r="F57" i="41"/>
  <c r="F58" i="41"/>
  <c r="F59" i="41"/>
  <c r="F60" i="41"/>
  <c r="F61" i="41"/>
  <c r="F62" i="41"/>
  <c r="F63" i="41"/>
  <c r="F64" i="41"/>
  <c r="F65" i="41"/>
  <c r="F66" i="41"/>
  <c r="F67" i="41"/>
  <c r="F68" i="41"/>
  <c r="F69" i="41"/>
  <c r="F70" i="41"/>
  <c r="F71" i="41"/>
  <c r="F72" i="41"/>
  <c r="F73" i="41"/>
  <c r="F74" i="41"/>
  <c r="F75" i="41"/>
  <c r="F76" i="41"/>
  <c r="F77" i="41"/>
  <c r="F78" i="41"/>
  <c r="F79" i="41"/>
  <c r="F80" i="41"/>
  <c r="F81" i="41"/>
  <c r="F82" i="41"/>
  <c r="F83" i="41"/>
  <c r="F84" i="41"/>
  <c r="F85" i="41"/>
  <c r="F86" i="41"/>
  <c r="F87" i="41"/>
  <c r="F88" i="41"/>
  <c r="F89" i="41"/>
  <c r="F90" i="41"/>
  <c r="F91" i="41"/>
  <c r="F92" i="41"/>
  <c r="F93" i="41"/>
  <c r="F94" i="41"/>
  <c r="F95" i="41"/>
  <c r="F96" i="41"/>
  <c r="F97" i="41"/>
  <c r="F98" i="41"/>
  <c r="F99" i="41"/>
  <c r="F100" i="41"/>
  <c r="F101" i="41"/>
  <c r="F102" i="41"/>
  <c r="F103" i="41"/>
  <c r="F104" i="41"/>
  <c r="F105" i="41"/>
  <c r="F106" i="41"/>
  <c r="F107" i="41"/>
  <c r="F108" i="41"/>
  <c r="F109" i="41"/>
  <c r="F9" i="42"/>
  <c r="F10" i="42"/>
  <c r="F11"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85" i="42"/>
  <c r="F86" i="42"/>
  <c r="F87" i="42"/>
  <c r="F88" i="42"/>
  <c r="F89" i="42"/>
  <c r="F90" i="42"/>
  <c r="F91" i="42"/>
  <c r="F92" i="42"/>
  <c r="F93" i="42"/>
  <c r="F94" i="42"/>
  <c r="F95" i="42"/>
  <c r="F96" i="42"/>
  <c r="F97" i="42"/>
  <c r="F98" i="42"/>
  <c r="F99" i="42"/>
  <c r="F100" i="42"/>
  <c r="F101" i="42"/>
  <c r="F102" i="42"/>
  <c r="F103" i="42"/>
  <c r="F104" i="42"/>
  <c r="F105" i="42"/>
  <c r="F106" i="42"/>
  <c r="F107" i="42"/>
  <c r="F108" i="42"/>
  <c r="F109" i="42"/>
  <c r="F9" i="43"/>
  <c r="F10" i="43"/>
  <c r="F11" i="43"/>
  <c r="F12" i="43"/>
  <c r="F1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62" i="43"/>
  <c r="F63" i="43"/>
  <c r="F64" i="43"/>
  <c r="F65" i="43"/>
  <c r="F66" i="43"/>
  <c r="F67" i="43"/>
  <c r="F68" i="43"/>
  <c r="F69" i="43"/>
  <c r="F70" i="43"/>
  <c r="F71" i="43"/>
  <c r="F72" i="43"/>
  <c r="F73" i="43"/>
  <c r="F74" i="43"/>
  <c r="F75" i="43"/>
  <c r="F76" i="43"/>
  <c r="F77" i="43"/>
  <c r="F78" i="43"/>
  <c r="F79" i="43"/>
  <c r="F80" i="43"/>
  <c r="F81" i="43"/>
  <c r="F82" i="43"/>
  <c r="F83" i="43"/>
  <c r="F84" i="43"/>
  <c r="F85" i="43"/>
  <c r="F86" i="43"/>
  <c r="F87" i="43"/>
  <c r="F88" i="43"/>
  <c r="F89" i="43"/>
  <c r="F90" i="43"/>
  <c r="F91" i="43"/>
  <c r="F92" i="43"/>
  <c r="F93" i="43"/>
  <c r="F94" i="43"/>
  <c r="F95" i="43"/>
  <c r="F96" i="43"/>
  <c r="F97" i="43"/>
  <c r="F98" i="43"/>
  <c r="F99" i="43"/>
  <c r="F100" i="43"/>
  <c r="F101" i="43"/>
  <c r="F102" i="43"/>
  <c r="F103" i="43"/>
  <c r="F104" i="43"/>
  <c r="F105" i="43"/>
  <c r="F106" i="43"/>
  <c r="F107" i="43"/>
  <c r="F108" i="43"/>
  <c r="F109" i="43"/>
  <c r="F9" i="44"/>
  <c r="F10" i="44"/>
  <c r="F11" i="44"/>
  <c r="F12" i="44"/>
  <c r="F13" i="44"/>
  <c r="F14" i="44"/>
  <c r="F15" i="44"/>
  <c r="F16" i="44"/>
  <c r="F17" i="44"/>
  <c r="F18" i="44"/>
  <c r="F19" i="44"/>
  <c r="F20" i="44"/>
  <c r="F21" i="44"/>
  <c r="F22" i="44"/>
  <c r="F23" i="44"/>
  <c r="F24" i="44"/>
  <c r="F25" i="44"/>
  <c r="F26" i="44"/>
  <c r="F27" i="44"/>
  <c r="F28" i="44"/>
  <c r="F29" i="44"/>
  <c r="F30" i="44"/>
  <c r="F31" i="44"/>
  <c r="F32" i="44"/>
  <c r="F33" i="44"/>
  <c r="F34" i="44"/>
  <c r="F35" i="44"/>
  <c r="F36" i="44"/>
  <c r="F37" i="44"/>
  <c r="F38" i="44"/>
  <c r="F39" i="44"/>
  <c r="F40" i="44"/>
  <c r="F41" i="44"/>
  <c r="F42" i="44"/>
  <c r="F43" i="44"/>
  <c r="F44" i="44"/>
  <c r="F45" i="44"/>
  <c r="F46" i="44"/>
  <c r="F47" i="44"/>
  <c r="F48" i="44"/>
  <c r="F49" i="44"/>
  <c r="F50" i="44"/>
  <c r="F51" i="44"/>
  <c r="F52" i="44"/>
  <c r="F53" i="44"/>
  <c r="F54" i="44"/>
  <c r="F55" i="44"/>
  <c r="F56" i="44"/>
  <c r="F57" i="44"/>
  <c r="F58" i="44"/>
  <c r="F59" i="44"/>
  <c r="F60" i="44"/>
  <c r="F61" i="44"/>
  <c r="F62" i="44"/>
  <c r="F63" i="44"/>
  <c r="F64" i="44"/>
  <c r="F65" i="44"/>
  <c r="F66" i="44"/>
  <c r="F67" i="44"/>
  <c r="F68" i="44"/>
  <c r="F69" i="44"/>
  <c r="F70" i="44"/>
  <c r="F71" i="44"/>
  <c r="F72" i="44"/>
  <c r="F73" i="44"/>
  <c r="F74" i="44"/>
  <c r="F75" i="44"/>
  <c r="F76" i="44"/>
  <c r="F77" i="44"/>
  <c r="F78" i="44"/>
  <c r="F79" i="44"/>
  <c r="F80" i="44"/>
  <c r="F81" i="44"/>
  <c r="F82" i="44"/>
  <c r="F83" i="44"/>
  <c r="F84" i="44"/>
  <c r="F85" i="44"/>
  <c r="F86" i="44"/>
  <c r="F87" i="44"/>
  <c r="F88" i="44"/>
  <c r="F89" i="44"/>
  <c r="F90" i="44"/>
  <c r="F91" i="44"/>
  <c r="F92" i="44"/>
  <c r="F93" i="44"/>
  <c r="F94" i="44"/>
  <c r="F95" i="44"/>
  <c r="F96" i="44"/>
  <c r="F97" i="44"/>
  <c r="F98" i="44"/>
  <c r="F99" i="44"/>
  <c r="F100" i="44"/>
  <c r="F101" i="44"/>
  <c r="F102" i="44"/>
  <c r="F103" i="44"/>
  <c r="F104" i="44"/>
  <c r="F105" i="44"/>
  <c r="F106" i="44"/>
  <c r="F107" i="44"/>
  <c r="F108" i="44"/>
  <c r="F109" i="44"/>
  <c r="F9" i="45"/>
  <c r="F10" i="45"/>
  <c r="F11" i="45"/>
  <c r="F12" i="45"/>
  <c r="F13" i="45"/>
  <c r="F14" i="45"/>
  <c r="F15" i="45"/>
  <c r="F16" i="45"/>
  <c r="F17" i="45"/>
  <c r="F18" i="45"/>
  <c r="F19" i="45"/>
  <c r="F20" i="45"/>
  <c r="F21" i="45"/>
  <c r="F22" i="45"/>
  <c r="F23" i="45"/>
  <c r="F24" i="45"/>
  <c r="F25" i="45"/>
  <c r="F26" i="45"/>
  <c r="F27" i="45"/>
  <c r="F28" i="45"/>
  <c r="F29" i="45"/>
  <c r="F30" i="45"/>
  <c r="F31" i="45"/>
  <c r="F32" i="45"/>
  <c r="F33" i="45"/>
  <c r="F34" i="45"/>
  <c r="F35" i="45"/>
  <c r="F36" i="45"/>
  <c r="F37" i="45"/>
  <c r="F38" i="45"/>
  <c r="F39" i="45"/>
  <c r="F40" i="45"/>
  <c r="F41" i="45"/>
  <c r="F42" i="45"/>
  <c r="F43" i="45"/>
  <c r="F44" i="45"/>
  <c r="F45" i="45"/>
  <c r="F46" i="45"/>
  <c r="F47" i="45"/>
  <c r="F48" i="45"/>
  <c r="F49" i="45"/>
  <c r="F50" i="45"/>
  <c r="F51" i="45"/>
  <c r="F52" i="45"/>
  <c r="F53" i="45"/>
  <c r="F54" i="45"/>
  <c r="F55" i="45"/>
  <c r="F56" i="45"/>
  <c r="F57" i="45"/>
  <c r="F58" i="45"/>
  <c r="F59" i="45"/>
  <c r="F60" i="45"/>
  <c r="F61" i="45"/>
  <c r="F62" i="45"/>
  <c r="F63" i="45"/>
  <c r="F64" i="45"/>
  <c r="F65" i="45"/>
  <c r="F66" i="45"/>
  <c r="F67" i="45"/>
  <c r="F68" i="45"/>
  <c r="F69" i="45"/>
  <c r="F70" i="45"/>
  <c r="F71" i="45"/>
  <c r="F72" i="45"/>
  <c r="F73" i="45"/>
  <c r="F74" i="45"/>
  <c r="F75" i="45"/>
  <c r="F76" i="45"/>
  <c r="F77" i="45"/>
  <c r="F78" i="45"/>
  <c r="F79" i="45"/>
  <c r="F80" i="45"/>
  <c r="F81" i="45"/>
  <c r="F82" i="45"/>
  <c r="F83" i="45"/>
  <c r="F84" i="45"/>
  <c r="F85" i="45"/>
  <c r="F86" i="45"/>
  <c r="F87" i="45"/>
  <c r="F88" i="45"/>
  <c r="F89" i="45"/>
  <c r="F90" i="45"/>
  <c r="F91" i="45"/>
  <c r="F92" i="45"/>
  <c r="F93" i="45"/>
  <c r="F94" i="45"/>
  <c r="F95" i="45"/>
  <c r="F96" i="45"/>
  <c r="F97" i="45"/>
  <c r="F98" i="45"/>
  <c r="F99" i="45"/>
  <c r="F100" i="45"/>
  <c r="F101" i="45"/>
  <c r="F102" i="45"/>
  <c r="F103" i="45"/>
  <c r="F104" i="45"/>
  <c r="F105" i="45"/>
  <c r="F106" i="45"/>
  <c r="F107" i="45"/>
  <c r="F108" i="45"/>
  <c r="F109" i="45"/>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78" i="46"/>
  <c r="F79" i="46"/>
  <c r="F80" i="46"/>
  <c r="F81" i="46"/>
  <c r="F82" i="46"/>
  <c r="F83" i="46"/>
  <c r="F84" i="46"/>
  <c r="F85" i="46"/>
  <c r="F86" i="46"/>
  <c r="F87" i="46"/>
  <c r="F88" i="46"/>
  <c r="F89" i="46"/>
  <c r="F90" i="46"/>
  <c r="F91" i="46"/>
  <c r="F92" i="46"/>
  <c r="F93" i="46"/>
  <c r="F94" i="46"/>
  <c r="F95" i="46"/>
  <c r="F96" i="46"/>
  <c r="F97" i="46"/>
  <c r="F98" i="46"/>
  <c r="F99" i="46"/>
  <c r="F100" i="46"/>
  <c r="F101" i="46"/>
  <c r="F102" i="46"/>
  <c r="F103" i="46"/>
  <c r="F104" i="46"/>
  <c r="F105" i="46"/>
  <c r="F106" i="46"/>
  <c r="F107" i="46"/>
  <c r="F108" i="46"/>
  <c r="F109" i="46"/>
  <c r="F9" i="47"/>
  <c r="F10" i="47"/>
  <c r="F11" i="47"/>
  <c r="F12" i="47"/>
  <c r="F13" i="47"/>
  <c r="F14" i="47"/>
  <c r="F15" i="47"/>
  <c r="F16" i="47"/>
  <c r="F17" i="47"/>
  <c r="F18" i="47"/>
  <c r="F19" i="47"/>
  <c r="F20" i="47"/>
  <c r="F21" i="47"/>
  <c r="F22" i="47"/>
  <c r="F23" i="47"/>
  <c r="F24" i="47"/>
  <c r="F25" i="47"/>
  <c r="F26" i="47"/>
  <c r="F27" i="47"/>
  <c r="F28" i="47"/>
  <c r="F29" i="47"/>
  <c r="F30" i="47"/>
  <c r="F31" i="47"/>
  <c r="F32" i="47"/>
  <c r="F33" i="47"/>
  <c r="F34" i="47"/>
  <c r="F35" i="47"/>
  <c r="F36" i="47"/>
  <c r="F37" i="47"/>
  <c r="F38" i="47"/>
  <c r="F39" i="47"/>
  <c r="F40" i="47"/>
  <c r="F41" i="47"/>
  <c r="F42" i="47"/>
  <c r="F43" i="47"/>
  <c r="F44" i="47"/>
  <c r="F45" i="47"/>
  <c r="F46" i="47"/>
  <c r="F47" i="47"/>
  <c r="F48" i="47"/>
  <c r="F49" i="47"/>
  <c r="F50" i="47"/>
  <c r="F51" i="47"/>
  <c r="F52" i="47"/>
  <c r="F53" i="47"/>
  <c r="F54" i="47"/>
  <c r="F55" i="47"/>
  <c r="F56" i="47"/>
  <c r="F57" i="47"/>
  <c r="F58" i="47"/>
  <c r="F59" i="47"/>
  <c r="F60" i="47"/>
  <c r="F61" i="47"/>
  <c r="F62" i="47"/>
  <c r="F63" i="47"/>
  <c r="F64" i="47"/>
  <c r="F65" i="47"/>
  <c r="F66" i="47"/>
  <c r="F67" i="47"/>
  <c r="F68" i="47"/>
  <c r="F69" i="47"/>
  <c r="F70" i="47"/>
  <c r="F71" i="47"/>
  <c r="F72" i="47"/>
  <c r="F73" i="47"/>
  <c r="F74" i="47"/>
  <c r="F75" i="47"/>
  <c r="F76" i="47"/>
  <c r="F77" i="47"/>
  <c r="F78" i="47"/>
  <c r="F79" i="47"/>
  <c r="F80" i="47"/>
  <c r="F81" i="47"/>
  <c r="F82" i="47"/>
  <c r="F83" i="47"/>
  <c r="F84" i="47"/>
  <c r="F85" i="47"/>
  <c r="F86" i="47"/>
  <c r="F87" i="47"/>
  <c r="F88" i="47"/>
  <c r="F89" i="47"/>
  <c r="F90" i="47"/>
  <c r="F91" i="47"/>
  <c r="F92" i="47"/>
  <c r="F93" i="47"/>
  <c r="F94" i="47"/>
  <c r="F95" i="47"/>
  <c r="F96" i="47"/>
  <c r="F97" i="47"/>
  <c r="F98" i="47"/>
  <c r="F99" i="47"/>
  <c r="F100" i="47"/>
  <c r="F101" i="47"/>
  <c r="F102" i="47"/>
  <c r="F103" i="47"/>
  <c r="F104" i="47"/>
  <c r="F105" i="47"/>
  <c r="F106" i="47"/>
  <c r="F107" i="47"/>
  <c r="F108" i="47"/>
  <c r="F109" i="47"/>
  <c r="F9" i="48"/>
  <c r="F10" i="48"/>
  <c r="F11" i="48"/>
  <c r="F12" i="48"/>
  <c r="F13" i="48"/>
  <c r="F14" i="48"/>
  <c r="F15" i="48"/>
  <c r="F16" i="48"/>
  <c r="F17" i="48"/>
  <c r="F18" i="48"/>
  <c r="F19" i="48"/>
  <c r="F20" i="48"/>
  <c r="F21" i="48"/>
  <c r="F22" i="48"/>
  <c r="F23" i="48"/>
  <c r="F24" i="48"/>
  <c r="F25" i="48"/>
  <c r="F26" i="48"/>
  <c r="F27" i="48"/>
  <c r="F28" i="48"/>
  <c r="F29" i="48"/>
  <c r="F30" i="48"/>
  <c r="F31" i="48"/>
  <c r="F32" i="48"/>
  <c r="F33" i="48"/>
  <c r="F34" i="48"/>
  <c r="F35" i="48"/>
  <c r="F36" i="48"/>
  <c r="F37" i="48"/>
  <c r="F38" i="48"/>
  <c r="F39" i="48"/>
  <c r="F40" i="48"/>
  <c r="F41" i="48"/>
  <c r="F42" i="48"/>
  <c r="F43" i="48"/>
  <c r="F44" i="48"/>
  <c r="F45" i="48"/>
  <c r="F46" i="48"/>
  <c r="F47" i="48"/>
  <c r="F48" i="48"/>
  <c r="F49" i="48"/>
  <c r="F50" i="48"/>
  <c r="F51" i="48"/>
  <c r="F52" i="48"/>
  <c r="F53" i="48"/>
  <c r="F54" i="48"/>
  <c r="F55" i="48"/>
  <c r="F56" i="48"/>
  <c r="F57" i="48"/>
  <c r="F58" i="48"/>
  <c r="F59" i="48"/>
  <c r="F60" i="48"/>
  <c r="F61" i="48"/>
  <c r="F62" i="48"/>
  <c r="F63" i="48"/>
  <c r="F64" i="48"/>
  <c r="F65" i="48"/>
  <c r="F66" i="48"/>
  <c r="F67" i="48"/>
  <c r="F68" i="48"/>
  <c r="F69" i="48"/>
  <c r="F70" i="48"/>
  <c r="F71" i="48"/>
  <c r="F72" i="48"/>
  <c r="F73" i="48"/>
  <c r="F74" i="48"/>
  <c r="F75" i="48"/>
  <c r="F76" i="48"/>
  <c r="F77" i="48"/>
  <c r="F78" i="48"/>
  <c r="F79" i="48"/>
  <c r="F80" i="48"/>
  <c r="F81" i="48"/>
  <c r="F82" i="48"/>
  <c r="F83" i="48"/>
  <c r="F84" i="48"/>
  <c r="F85" i="48"/>
  <c r="F86" i="48"/>
  <c r="F87" i="48"/>
  <c r="F88" i="48"/>
  <c r="F89" i="48"/>
  <c r="F90" i="48"/>
  <c r="F91" i="48"/>
  <c r="F92" i="48"/>
  <c r="F93" i="48"/>
  <c r="F94" i="48"/>
  <c r="F95" i="48"/>
  <c r="F96" i="48"/>
  <c r="F97" i="48"/>
  <c r="F98" i="48"/>
  <c r="F99" i="48"/>
  <c r="F100" i="48"/>
  <c r="F101" i="48"/>
  <c r="F102" i="48"/>
  <c r="F103" i="48"/>
  <c r="F104" i="48"/>
  <c r="F105" i="48"/>
  <c r="F106" i="48"/>
  <c r="F107" i="48"/>
  <c r="F108" i="48"/>
  <c r="F109" i="48"/>
  <c r="F9" i="49"/>
  <c r="F10" i="49"/>
  <c r="F11" i="49"/>
  <c r="F12" i="49"/>
  <c r="F13" i="49"/>
  <c r="F14" i="49"/>
  <c r="F15" i="49"/>
  <c r="F16" i="49"/>
  <c r="F17" i="49"/>
  <c r="F18" i="49"/>
  <c r="F19" i="49"/>
  <c r="F20" i="49"/>
  <c r="F21" i="49"/>
  <c r="F22" i="49"/>
  <c r="F23" i="49"/>
  <c r="F24" i="49"/>
  <c r="F25" i="49"/>
  <c r="F26" i="49"/>
  <c r="F27" i="49"/>
  <c r="F28" i="49"/>
  <c r="F29" i="49"/>
  <c r="F30" i="49"/>
  <c r="F31" i="49"/>
  <c r="F32" i="49"/>
  <c r="F33" i="49"/>
  <c r="F34" i="49"/>
  <c r="F35" i="49"/>
  <c r="F36" i="49"/>
  <c r="F37" i="49"/>
  <c r="F38" i="49"/>
  <c r="F39" i="49"/>
  <c r="F40" i="49"/>
  <c r="F41" i="49"/>
  <c r="F42" i="49"/>
  <c r="F43" i="49"/>
  <c r="F44" i="49"/>
  <c r="F45" i="49"/>
  <c r="F46" i="49"/>
  <c r="F47" i="49"/>
  <c r="F48" i="49"/>
  <c r="F49" i="49"/>
  <c r="F50" i="49"/>
  <c r="F51" i="49"/>
  <c r="F52" i="49"/>
  <c r="F53" i="49"/>
  <c r="F54" i="49"/>
  <c r="F55" i="49"/>
  <c r="F56" i="49"/>
  <c r="F57" i="49"/>
  <c r="F58" i="49"/>
  <c r="F59" i="49"/>
  <c r="F60" i="49"/>
  <c r="F61" i="49"/>
  <c r="F62" i="49"/>
  <c r="F63" i="49"/>
  <c r="F64" i="49"/>
  <c r="F65" i="49"/>
  <c r="F66" i="49"/>
  <c r="F67" i="49"/>
  <c r="F68" i="49"/>
  <c r="F69" i="49"/>
  <c r="F70" i="49"/>
  <c r="F71" i="49"/>
  <c r="F72" i="49"/>
  <c r="F73" i="49"/>
  <c r="F74" i="49"/>
  <c r="F75" i="49"/>
  <c r="F76" i="49"/>
  <c r="F77" i="49"/>
  <c r="F78" i="49"/>
  <c r="F79" i="49"/>
  <c r="F80" i="49"/>
  <c r="F81" i="49"/>
  <c r="F82" i="49"/>
  <c r="F83" i="49"/>
  <c r="F84" i="49"/>
  <c r="F85" i="49"/>
  <c r="F86" i="49"/>
  <c r="F87" i="49"/>
  <c r="F88" i="49"/>
  <c r="F89" i="49"/>
  <c r="F90" i="49"/>
  <c r="F91" i="49"/>
  <c r="F92" i="49"/>
  <c r="F93" i="49"/>
  <c r="F94" i="49"/>
  <c r="F95" i="49"/>
  <c r="F96" i="49"/>
  <c r="F97" i="49"/>
  <c r="F98" i="49"/>
  <c r="F99" i="49"/>
  <c r="F100" i="49"/>
  <c r="F101" i="49"/>
  <c r="F102" i="49"/>
  <c r="F103" i="49"/>
  <c r="F104" i="49"/>
  <c r="F105" i="49"/>
  <c r="F106" i="49"/>
  <c r="F107" i="49"/>
  <c r="F108" i="49"/>
  <c r="F109" i="49"/>
  <c r="F9" i="50"/>
  <c r="F10" i="50"/>
  <c r="F11" i="50"/>
  <c r="F12" i="50"/>
  <c r="F13" i="50"/>
  <c r="F14" i="50"/>
  <c r="F15" i="50"/>
  <c r="F16" i="50"/>
  <c r="F17" i="50"/>
  <c r="F18" i="50"/>
  <c r="F19" i="50"/>
  <c r="F20" i="50"/>
  <c r="F21" i="50"/>
  <c r="F22" i="50"/>
  <c r="F23" i="50"/>
  <c r="F24" i="50"/>
  <c r="F25" i="50"/>
  <c r="F26" i="50"/>
  <c r="F27" i="50"/>
  <c r="F28" i="50"/>
  <c r="F29" i="50"/>
  <c r="F30" i="50"/>
  <c r="F31" i="50"/>
  <c r="F32" i="50"/>
  <c r="F33" i="50"/>
  <c r="F34" i="50"/>
  <c r="F35" i="50"/>
  <c r="F36" i="50"/>
  <c r="F37" i="50"/>
  <c r="F38" i="50"/>
  <c r="F39" i="50"/>
  <c r="F40" i="50"/>
  <c r="F41" i="50"/>
  <c r="F42" i="50"/>
  <c r="F43" i="50"/>
  <c r="F44" i="50"/>
  <c r="F45" i="50"/>
  <c r="F46" i="50"/>
  <c r="F47" i="50"/>
  <c r="F48" i="50"/>
  <c r="F49" i="50"/>
  <c r="F50" i="50"/>
  <c r="F51" i="50"/>
  <c r="F52" i="50"/>
  <c r="F53" i="50"/>
  <c r="F54" i="50"/>
  <c r="F55" i="50"/>
  <c r="F56" i="50"/>
  <c r="F57" i="50"/>
  <c r="F58" i="50"/>
  <c r="F59" i="50"/>
  <c r="F60" i="50"/>
  <c r="F61" i="50"/>
  <c r="F62" i="50"/>
  <c r="F63" i="50"/>
  <c r="F64" i="50"/>
  <c r="F65" i="50"/>
  <c r="F66" i="50"/>
  <c r="F67" i="50"/>
  <c r="F68" i="50"/>
  <c r="F69" i="50"/>
  <c r="F70" i="50"/>
  <c r="F71" i="50"/>
  <c r="F72" i="50"/>
  <c r="F73" i="50"/>
  <c r="F74" i="50"/>
  <c r="F75" i="50"/>
  <c r="F76" i="50"/>
  <c r="F77" i="50"/>
  <c r="F78" i="50"/>
  <c r="F79" i="50"/>
  <c r="F80" i="50"/>
  <c r="F81" i="50"/>
  <c r="F82" i="50"/>
  <c r="F83" i="50"/>
  <c r="F84" i="50"/>
  <c r="F85" i="50"/>
  <c r="F86" i="50"/>
  <c r="F87" i="50"/>
  <c r="F88" i="50"/>
  <c r="F89" i="50"/>
  <c r="F90" i="50"/>
  <c r="F91" i="50"/>
  <c r="F92" i="50"/>
  <c r="F93" i="50"/>
  <c r="F94" i="50"/>
  <c r="F95" i="50"/>
  <c r="F96" i="50"/>
  <c r="F97" i="50"/>
  <c r="F98" i="50"/>
  <c r="F99" i="50"/>
  <c r="F100" i="50"/>
  <c r="F101" i="50"/>
  <c r="F102" i="50"/>
  <c r="F103" i="50"/>
  <c r="F104" i="50"/>
  <c r="F105" i="50"/>
  <c r="F106" i="50"/>
  <c r="F107" i="50"/>
  <c r="F108" i="50"/>
  <c r="F109" i="50"/>
  <c r="F9" i="51"/>
  <c r="F10" i="51"/>
  <c r="F11" i="51"/>
  <c r="F12" i="51"/>
  <c r="F13" i="51"/>
  <c r="F14" i="51"/>
  <c r="F15" i="51"/>
  <c r="F16" i="51"/>
  <c r="F17" i="51"/>
  <c r="F18" i="51"/>
  <c r="F19" i="51"/>
  <c r="F20" i="51"/>
  <c r="F21" i="51"/>
  <c r="F22" i="51"/>
  <c r="F23" i="51"/>
  <c r="F24" i="51"/>
  <c r="F25" i="51"/>
  <c r="F26" i="51"/>
  <c r="F27" i="51"/>
  <c r="F28" i="51"/>
  <c r="F29" i="51"/>
  <c r="F30" i="51"/>
  <c r="F31" i="51"/>
  <c r="F32" i="51"/>
  <c r="F33" i="51"/>
  <c r="F34" i="51"/>
  <c r="F35" i="51"/>
  <c r="F36" i="51"/>
  <c r="F37" i="51"/>
  <c r="F38" i="51"/>
  <c r="F39" i="51"/>
  <c r="F40" i="51"/>
  <c r="F41" i="51"/>
  <c r="F42" i="51"/>
  <c r="F43" i="51"/>
  <c r="F44" i="51"/>
  <c r="F45" i="51"/>
  <c r="F46" i="51"/>
  <c r="F47" i="51"/>
  <c r="F48" i="51"/>
  <c r="F49" i="51"/>
  <c r="F50" i="51"/>
  <c r="F51" i="51"/>
  <c r="F52" i="51"/>
  <c r="F53" i="51"/>
  <c r="F54" i="51"/>
  <c r="F55" i="51"/>
  <c r="F56" i="51"/>
  <c r="F57" i="51"/>
  <c r="F58" i="51"/>
  <c r="F59" i="51"/>
  <c r="F60" i="51"/>
  <c r="F61" i="51"/>
  <c r="F62" i="51"/>
  <c r="F63" i="51"/>
  <c r="F64" i="51"/>
  <c r="F65" i="51"/>
  <c r="F66" i="51"/>
  <c r="F67" i="51"/>
  <c r="F68" i="51"/>
  <c r="F69" i="51"/>
  <c r="F70" i="51"/>
  <c r="F71" i="51"/>
  <c r="F72" i="51"/>
  <c r="F73" i="51"/>
  <c r="F74" i="51"/>
  <c r="F75" i="51"/>
  <c r="F76" i="51"/>
  <c r="F77" i="51"/>
  <c r="F78" i="51"/>
  <c r="F79" i="51"/>
  <c r="F80" i="51"/>
  <c r="F81" i="51"/>
  <c r="F82" i="51"/>
  <c r="F83" i="51"/>
  <c r="F84" i="51"/>
  <c r="F85" i="51"/>
  <c r="F86" i="51"/>
  <c r="F87" i="51"/>
  <c r="F88" i="51"/>
  <c r="F89" i="51"/>
  <c r="F90" i="51"/>
  <c r="F91" i="51"/>
  <c r="F92" i="51"/>
  <c r="F93" i="51"/>
  <c r="F94" i="51"/>
  <c r="F95" i="51"/>
  <c r="F96" i="51"/>
  <c r="F97" i="51"/>
  <c r="F98" i="51"/>
  <c r="F99" i="51"/>
  <c r="F100" i="51"/>
  <c r="F101" i="51"/>
  <c r="F102" i="51"/>
  <c r="F103" i="51"/>
  <c r="F104" i="51"/>
  <c r="F105" i="51"/>
  <c r="F106" i="51"/>
  <c r="F107" i="51"/>
  <c r="F108" i="51"/>
  <c r="F109" i="51"/>
  <c r="F9" i="54"/>
  <c r="F10" i="54"/>
  <c r="F11" i="54"/>
  <c r="F12" i="54"/>
  <c r="F13" i="54"/>
  <c r="F14" i="54"/>
  <c r="F15" i="54"/>
  <c r="F16" i="54"/>
  <c r="F17" i="54"/>
  <c r="F18" i="54"/>
  <c r="F19" i="54"/>
  <c r="F20" i="54"/>
  <c r="F21" i="54"/>
  <c r="F22" i="54"/>
  <c r="F23" i="54"/>
  <c r="F24" i="54"/>
  <c r="F25" i="54"/>
  <c r="F26" i="54"/>
  <c r="F27" i="54"/>
  <c r="F28" i="54"/>
  <c r="F29" i="54"/>
  <c r="F30" i="54"/>
  <c r="F31" i="54"/>
  <c r="F32" i="54"/>
  <c r="F33" i="54"/>
  <c r="F34" i="54"/>
  <c r="F35" i="54"/>
  <c r="F36" i="54"/>
  <c r="F37" i="54"/>
  <c r="F38" i="54"/>
  <c r="F39" i="54"/>
  <c r="F40" i="54"/>
  <c r="F41" i="54"/>
  <c r="F42" i="54"/>
  <c r="F43" i="54"/>
  <c r="F44" i="54"/>
  <c r="F45" i="54"/>
  <c r="F46" i="54"/>
  <c r="F47" i="54"/>
  <c r="F48" i="54"/>
  <c r="F49" i="54"/>
  <c r="F50" i="54"/>
  <c r="F51" i="54"/>
  <c r="F52" i="54"/>
  <c r="F53" i="54"/>
  <c r="F54" i="54"/>
  <c r="F55" i="54"/>
  <c r="F56" i="54"/>
  <c r="F57" i="54"/>
  <c r="F58" i="54"/>
  <c r="F59" i="54"/>
  <c r="F60" i="54"/>
  <c r="F61" i="54"/>
  <c r="F62" i="54"/>
  <c r="F63" i="54"/>
  <c r="F64" i="54"/>
  <c r="F65" i="54"/>
  <c r="F66" i="54"/>
  <c r="F67" i="54"/>
  <c r="F68" i="54"/>
  <c r="F69" i="54"/>
  <c r="F70" i="54"/>
  <c r="F71" i="54"/>
  <c r="F72" i="54"/>
  <c r="F73" i="54"/>
  <c r="F74" i="54"/>
  <c r="F75" i="54"/>
  <c r="F76" i="54"/>
  <c r="F77" i="54"/>
  <c r="F78" i="54"/>
  <c r="F79" i="54"/>
  <c r="F80" i="54"/>
  <c r="F81" i="54"/>
  <c r="F82" i="54"/>
  <c r="F83" i="54"/>
  <c r="F84" i="54"/>
  <c r="F85" i="54"/>
  <c r="F86" i="54"/>
  <c r="F87" i="54"/>
  <c r="F88" i="54"/>
  <c r="F89" i="54"/>
  <c r="F90" i="54"/>
  <c r="F91" i="54"/>
  <c r="F92" i="54"/>
  <c r="F93" i="54"/>
  <c r="F94" i="54"/>
  <c r="F95" i="54"/>
  <c r="F96" i="54"/>
  <c r="F97" i="54"/>
  <c r="F98" i="54"/>
  <c r="F99" i="54"/>
  <c r="F100" i="54"/>
  <c r="F101" i="54"/>
  <c r="F102" i="54"/>
  <c r="F103" i="54"/>
  <c r="F104" i="54"/>
  <c r="F105" i="54"/>
  <c r="F106" i="54"/>
  <c r="F107" i="54"/>
  <c r="F108" i="54"/>
  <c r="F109" i="54"/>
  <c r="F9" i="55"/>
  <c r="F10" i="55"/>
  <c r="F11" i="55"/>
  <c r="F12" i="55"/>
  <c r="F13" i="55"/>
  <c r="F14" i="55"/>
  <c r="F15" i="55"/>
  <c r="F16" i="55"/>
  <c r="F17" i="55"/>
  <c r="F18" i="55"/>
  <c r="F19" i="55"/>
  <c r="F20" i="55"/>
  <c r="F21" i="55"/>
  <c r="F22" i="55"/>
  <c r="F23" i="55"/>
  <c r="F24" i="55"/>
  <c r="F25" i="55"/>
  <c r="F26" i="55"/>
  <c r="F27" i="55"/>
  <c r="F28" i="55"/>
  <c r="F29" i="55"/>
  <c r="F30" i="55"/>
  <c r="F31" i="55"/>
  <c r="F32" i="55"/>
  <c r="F33" i="55"/>
  <c r="F34" i="55"/>
  <c r="F35" i="55"/>
  <c r="F36" i="55"/>
  <c r="F37" i="55"/>
  <c r="F38" i="55"/>
  <c r="F39" i="55"/>
  <c r="F40" i="55"/>
  <c r="F41" i="55"/>
  <c r="F42" i="55"/>
  <c r="F43" i="55"/>
  <c r="F44" i="55"/>
  <c r="F45" i="55"/>
  <c r="F46" i="55"/>
  <c r="F47" i="55"/>
  <c r="F48" i="55"/>
  <c r="F49" i="55"/>
  <c r="F50" i="55"/>
  <c r="F51" i="55"/>
  <c r="F52" i="55"/>
  <c r="F53" i="55"/>
  <c r="F54" i="55"/>
  <c r="F55" i="55"/>
  <c r="F56" i="55"/>
  <c r="F57" i="55"/>
  <c r="F58" i="55"/>
  <c r="F59" i="55"/>
  <c r="F60" i="55"/>
  <c r="F61" i="55"/>
  <c r="F62" i="55"/>
  <c r="F63" i="55"/>
  <c r="F64" i="55"/>
  <c r="F65" i="55"/>
  <c r="F66" i="55"/>
  <c r="F67" i="55"/>
  <c r="F68" i="55"/>
  <c r="F69" i="55"/>
  <c r="F70" i="55"/>
  <c r="F71" i="55"/>
  <c r="F72" i="55"/>
  <c r="F73" i="55"/>
  <c r="F74" i="55"/>
  <c r="F75" i="55"/>
  <c r="F76" i="55"/>
  <c r="F77" i="55"/>
  <c r="F78" i="55"/>
  <c r="F79" i="55"/>
  <c r="F80" i="55"/>
  <c r="F81" i="55"/>
  <c r="F82" i="55"/>
  <c r="F83" i="55"/>
  <c r="F84" i="55"/>
  <c r="F85" i="55"/>
  <c r="F86" i="55"/>
  <c r="F87" i="55"/>
  <c r="F88" i="55"/>
  <c r="F89" i="55"/>
  <c r="F90" i="55"/>
  <c r="F91" i="55"/>
  <c r="F92" i="55"/>
  <c r="F93" i="55"/>
  <c r="F94" i="55"/>
  <c r="F95" i="55"/>
  <c r="F96" i="55"/>
  <c r="F97" i="55"/>
  <c r="F98" i="55"/>
  <c r="F99" i="55"/>
  <c r="F100" i="55"/>
  <c r="F101" i="55"/>
  <c r="F102" i="55"/>
  <c r="F103" i="55"/>
  <c r="F104" i="55"/>
  <c r="F105" i="55"/>
  <c r="F106" i="55"/>
  <c r="F107" i="55"/>
  <c r="F108" i="55"/>
  <c r="F109" i="55"/>
  <c r="F9" i="56"/>
  <c r="F10" i="56"/>
  <c r="F11" i="56"/>
  <c r="F12" i="56"/>
  <c r="F13" i="56"/>
  <c r="F14" i="56"/>
  <c r="F15" i="56"/>
  <c r="F16" i="56"/>
  <c r="F17" i="56"/>
  <c r="F18" i="56"/>
  <c r="F19" i="56"/>
  <c r="F20" i="56"/>
  <c r="F21" i="56"/>
  <c r="F22" i="56"/>
  <c r="F23" i="56"/>
  <c r="F24" i="56"/>
  <c r="F25" i="56"/>
  <c r="F26" i="56"/>
  <c r="F27" i="56"/>
  <c r="F28" i="56"/>
  <c r="F29" i="56"/>
  <c r="F30" i="56"/>
  <c r="F31" i="56"/>
  <c r="F32" i="56"/>
  <c r="F33" i="56"/>
  <c r="F34" i="56"/>
  <c r="F35" i="56"/>
  <c r="F36" i="56"/>
  <c r="F37" i="56"/>
  <c r="F38" i="56"/>
  <c r="F39" i="56"/>
  <c r="F40" i="56"/>
  <c r="F41" i="56"/>
  <c r="F42" i="56"/>
  <c r="F43" i="56"/>
  <c r="F44" i="56"/>
  <c r="F45" i="56"/>
  <c r="F46" i="56"/>
  <c r="F47" i="56"/>
  <c r="F48" i="56"/>
  <c r="F49" i="56"/>
  <c r="F50" i="56"/>
  <c r="F51" i="56"/>
  <c r="F52" i="56"/>
  <c r="F53" i="56"/>
  <c r="F54" i="56"/>
  <c r="F55" i="56"/>
  <c r="F56" i="56"/>
  <c r="F57" i="56"/>
  <c r="F58" i="56"/>
  <c r="F59" i="56"/>
  <c r="F60" i="56"/>
  <c r="F61" i="56"/>
  <c r="F62" i="56"/>
  <c r="F63" i="56"/>
  <c r="F64" i="56"/>
  <c r="F65" i="56"/>
  <c r="F66" i="56"/>
  <c r="F67" i="56"/>
  <c r="F68" i="56"/>
  <c r="F69" i="56"/>
  <c r="F70" i="56"/>
  <c r="F71" i="56"/>
  <c r="F72" i="56"/>
  <c r="F73" i="56"/>
  <c r="F74" i="56"/>
  <c r="F75" i="56"/>
  <c r="F76" i="56"/>
  <c r="F77" i="56"/>
  <c r="F78" i="56"/>
  <c r="F79" i="56"/>
  <c r="F80" i="56"/>
  <c r="F81" i="56"/>
  <c r="F82" i="56"/>
  <c r="F83" i="56"/>
  <c r="F84" i="56"/>
  <c r="F85" i="56"/>
  <c r="F86" i="56"/>
  <c r="F87" i="56"/>
  <c r="F88" i="56"/>
  <c r="F89" i="56"/>
  <c r="F90" i="56"/>
  <c r="F91" i="56"/>
  <c r="F92" i="56"/>
  <c r="F93" i="56"/>
  <c r="F94" i="56"/>
  <c r="F95" i="56"/>
  <c r="F96" i="56"/>
  <c r="F97" i="56"/>
  <c r="F98" i="56"/>
  <c r="F99" i="56"/>
  <c r="F100" i="56"/>
  <c r="F101" i="56"/>
  <c r="F102" i="56"/>
  <c r="F103" i="56"/>
  <c r="F104" i="56"/>
  <c r="F105" i="56"/>
  <c r="F106" i="56"/>
  <c r="F107" i="56"/>
  <c r="F108" i="56"/>
  <c r="F109" i="56"/>
  <c r="F9" i="57"/>
  <c r="F10" i="57"/>
  <c r="F11" i="57"/>
  <c r="F12" i="57"/>
  <c r="F13" i="57"/>
  <c r="F14" i="57"/>
  <c r="F15" i="57"/>
  <c r="F16" i="57"/>
  <c r="F17" i="57"/>
  <c r="F18" i="57"/>
  <c r="F19" i="57"/>
  <c r="F20" i="57"/>
  <c r="F21" i="57"/>
  <c r="F22" i="57"/>
  <c r="F23" i="57"/>
  <c r="F24" i="57"/>
  <c r="F25" i="57"/>
  <c r="F26" i="57"/>
  <c r="F27" i="57"/>
  <c r="F28" i="57"/>
  <c r="F29" i="57"/>
  <c r="F30" i="57"/>
  <c r="F31" i="57"/>
  <c r="F32" i="57"/>
  <c r="F33" i="57"/>
  <c r="F34" i="57"/>
  <c r="F35" i="57"/>
  <c r="F36" i="57"/>
  <c r="F37" i="57"/>
  <c r="F38" i="57"/>
  <c r="F39" i="57"/>
  <c r="F40" i="57"/>
  <c r="F41" i="57"/>
  <c r="F42" i="57"/>
  <c r="F43" i="57"/>
  <c r="F44" i="57"/>
  <c r="F45" i="57"/>
  <c r="F46" i="57"/>
  <c r="F47" i="57"/>
  <c r="F48" i="57"/>
  <c r="F49" i="57"/>
  <c r="F50" i="57"/>
  <c r="F51" i="57"/>
  <c r="F52" i="57"/>
  <c r="F53" i="57"/>
  <c r="F54" i="57"/>
  <c r="F55" i="57"/>
  <c r="F56" i="57"/>
  <c r="F57" i="57"/>
  <c r="F58" i="57"/>
  <c r="F59" i="57"/>
  <c r="F60" i="57"/>
  <c r="F61" i="57"/>
  <c r="F62" i="57"/>
  <c r="F63" i="57"/>
  <c r="F64" i="57"/>
  <c r="F65" i="57"/>
  <c r="F66" i="57"/>
  <c r="F67" i="57"/>
  <c r="F68" i="57"/>
  <c r="F69" i="57"/>
  <c r="F70" i="57"/>
  <c r="F71" i="57"/>
  <c r="F72" i="57"/>
  <c r="F73" i="57"/>
  <c r="F74" i="57"/>
  <c r="F75" i="57"/>
  <c r="F76" i="57"/>
  <c r="F77" i="57"/>
  <c r="F78" i="57"/>
  <c r="F79" i="57"/>
  <c r="F80" i="57"/>
  <c r="F81" i="57"/>
  <c r="F82" i="57"/>
  <c r="F83" i="57"/>
  <c r="F84" i="57"/>
  <c r="F85" i="57"/>
  <c r="F86" i="57"/>
  <c r="F87" i="57"/>
  <c r="F88" i="57"/>
  <c r="F89" i="57"/>
  <c r="F90" i="57"/>
  <c r="F91" i="57"/>
  <c r="F92" i="57"/>
  <c r="F93" i="57"/>
  <c r="F94" i="57"/>
  <c r="F95" i="57"/>
  <c r="F96" i="57"/>
  <c r="F97" i="57"/>
  <c r="F98" i="57"/>
  <c r="F99" i="57"/>
  <c r="F100" i="57"/>
  <c r="F101" i="57"/>
  <c r="F102" i="57"/>
  <c r="F103" i="57"/>
  <c r="F104" i="57"/>
  <c r="F105" i="57"/>
  <c r="F106" i="57"/>
  <c r="F107" i="57"/>
  <c r="F108" i="57"/>
  <c r="F109" i="57"/>
  <c r="F9" i="58"/>
  <c r="F10" i="58"/>
  <c r="F11" i="58"/>
  <c r="F12" i="58"/>
  <c r="F13" i="58"/>
  <c r="F14" i="58"/>
  <c r="F15" i="58"/>
  <c r="F16" i="58"/>
  <c r="F17" i="58"/>
  <c r="F18" i="58"/>
  <c r="F19" i="58"/>
  <c r="F20" i="58"/>
  <c r="F21" i="58"/>
  <c r="F22" i="58"/>
  <c r="F23" i="58"/>
  <c r="F24" i="58"/>
  <c r="F25" i="58"/>
  <c r="F26" i="58"/>
  <c r="F27" i="58"/>
  <c r="F28" i="58"/>
  <c r="F29" i="58"/>
  <c r="F30" i="58"/>
  <c r="F31" i="58"/>
  <c r="F32" i="58"/>
  <c r="F33" i="58"/>
  <c r="F34" i="58"/>
  <c r="F35" i="58"/>
  <c r="F36" i="58"/>
  <c r="F37" i="58"/>
  <c r="F38" i="58"/>
  <c r="F39" i="58"/>
  <c r="F40" i="58"/>
  <c r="F41" i="58"/>
  <c r="F42" i="58"/>
  <c r="F43" i="58"/>
  <c r="F44" i="58"/>
  <c r="F45" i="58"/>
  <c r="F46" i="58"/>
  <c r="F47" i="58"/>
  <c r="F48" i="58"/>
  <c r="F49" i="58"/>
  <c r="F50" i="58"/>
  <c r="F51" i="58"/>
  <c r="F52" i="58"/>
  <c r="F53" i="58"/>
  <c r="F54" i="58"/>
  <c r="F55" i="58"/>
  <c r="F56" i="58"/>
  <c r="F57" i="58"/>
  <c r="F58" i="58"/>
  <c r="F59" i="58"/>
  <c r="F60" i="58"/>
  <c r="F61" i="58"/>
  <c r="F62" i="58"/>
  <c r="F63" i="58"/>
  <c r="F64" i="58"/>
  <c r="F65" i="58"/>
  <c r="F66" i="58"/>
  <c r="F67" i="58"/>
  <c r="F68" i="58"/>
  <c r="F69" i="58"/>
  <c r="F70" i="58"/>
  <c r="F71" i="58"/>
  <c r="F72" i="58"/>
  <c r="F73" i="58"/>
  <c r="F74" i="58"/>
  <c r="F75" i="58"/>
  <c r="F76" i="58"/>
  <c r="F77" i="58"/>
  <c r="F78" i="58"/>
  <c r="F79" i="58"/>
  <c r="F80" i="58"/>
  <c r="F81" i="58"/>
  <c r="F82" i="58"/>
  <c r="F83" i="58"/>
  <c r="F84" i="58"/>
  <c r="F85" i="58"/>
  <c r="F86" i="58"/>
  <c r="F87" i="58"/>
  <c r="F88" i="58"/>
  <c r="F89" i="58"/>
  <c r="F90" i="58"/>
  <c r="F91" i="58"/>
  <c r="F92" i="58"/>
  <c r="F93" i="58"/>
  <c r="F94" i="58"/>
  <c r="F95" i="58"/>
  <c r="F96" i="58"/>
  <c r="F97" i="58"/>
  <c r="F98" i="58"/>
  <c r="F99" i="58"/>
  <c r="F100" i="58"/>
  <c r="F101" i="58"/>
  <c r="F102" i="58"/>
  <c r="F103" i="58"/>
  <c r="F104" i="58"/>
  <c r="F105" i="58"/>
  <c r="F106" i="58"/>
  <c r="F107" i="58"/>
  <c r="F108" i="58"/>
  <c r="F109" i="58"/>
  <c r="F9" i="59"/>
  <c r="F10" i="59"/>
  <c r="F11" i="59"/>
  <c r="F12" i="59"/>
  <c r="F13" i="59"/>
  <c r="F14" i="59"/>
  <c r="F15" i="59"/>
  <c r="F16" i="59"/>
  <c r="F17" i="59"/>
  <c r="F18" i="59"/>
  <c r="F19" i="59"/>
  <c r="F20" i="59"/>
  <c r="F21" i="59"/>
  <c r="F22" i="59"/>
  <c r="F23" i="59"/>
  <c r="F24" i="59"/>
  <c r="F25" i="59"/>
  <c r="F26" i="59"/>
  <c r="F27" i="59"/>
  <c r="F28" i="59"/>
  <c r="F29" i="59"/>
  <c r="F30" i="59"/>
  <c r="F31" i="59"/>
  <c r="F32" i="59"/>
  <c r="F33" i="59"/>
  <c r="F34" i="59"/>
  <c r="F35" i="59"/>
  <c r="F36" i="59"/>
  <c r="F37" i="59"/>
  <c r="F38" i="59"/>
  <c r="F39" i="59"/>
  <c r="F40" i="59"/>
  <c r="F41" i="59"/>
  <c r="F42" i="59"/>
  <c r="F43" i="59"/>
  <c r="F44" i="59"/>
  <c r="F45" i="59"/>
  <c r="F46" i="59"/>
  <c r="F47" i="59"/>
  <c r="F48" i="59"/>
  <c r="F49" i="59"/>
  <c r="F50" i="59"/>
  <c r="F51" i="59"/>
  <c r="F52" i="59"/>
  <c r="F53" i="59"/>
  <c r="F54" i="59"/>
  <c r="F55" i="59"/>
  <c r="F56" i="59"/>
  <c r="F57" i="59"/>
  <c r="F58" i="59"/>
  <c r="F59" i="59"/>
  <c r="F60" i="59"/>
  <c r="F61" i="59"/>
  <c r="F62" i="59"/>
  <c r="F63" i="59"/>
  <c r="F64" i="59"/>
  <c r="F65" i="59"/>
  <c r="F66" i="59"/>
  <c r="F67" i="59"/>
  <c r="F68" i="59"/>
  <c r="F69" i="59"/>
  <c r="F70" i="59"/>
  <c r="F71" i="59"/>
  <c r="F72" i="59"/>
  <c r="F73" i="59"/>
  <c r="F74" i="59"/>
  <c r="F75" i="59"/>
  <c r="F76" i="59"/>
  <c r="F77" i="59"/>
  <c r="F78" i="59"/>
  <c r="F79" i="59"/>
  <c r="F80" i="59"/>
  <c r="F81" i="59"/>
  <c r="F82" i="59"/>
  <c r="F83" i="59"/>
  <c r="F84" i="59"/>
  <c r="F85" i="59"/>
  <c r="F86" i="59"/>
  <c r="F87" i="59"/>
  <c r="F88" i="59"/>
  <c r="F89" i="59"/>
  <c r="F90" i="59"/>
  <c r="F91" i="59"/>
  <c r="F92" i="59"/>
  <c r="F93" i="59"/>
  <c r="F94" i="59"/>
  <c r="F95" i="59"/>
  <c r="F96" i="59"/>
  <c r="F97" i="59"/>
  <c r="F98" i="59"/>
  <c r="F99" i="59"/>
  <c r="F100" i="59"/>
  <c r="F101" i="59"/>
  <c r="F102" i="59"/>
  <c r="F103" i="59"/>
  <c r="F104" i="59"/>
  <c r="F105" i="59"/>
  <c r="F106" i="59"/>
  <c r="F107" i="59"/>
  <c r="F108" i="59"/>
  <c r="F109" i="59"/>
  <c r="F9" i="60"/>
  <c r="F10" i="60"/>
  <c r="F11" i="60"/>
  <c r="F12" i="60"/>
  <c r="F13" i="60"/>
  <c r="F14" i="60"/>
  <c r="F15" i="60"/>
  <c r="F16" i="60"/>
  <c r="F17" i="60"/>
  <c r="F18" i="60"/>
  <c r="F19" i="60"/>
  <c r="F20" i="60"/>
  <c r="F21" i="60"/>
  <c r="F22" i="60"/>
  <c r="F23" i="60"/>
  <c r="F24" i="60"/>
  <c r="F25" i="60"/>
  <c r="F26" i="60"/>
  <c r="F27" i="60"/>
  <c r="F28" i="60"/>
  <c r="F29" i="60"/>
  <c r="F30" i="60"/>
  <c r="F31" i="60"/>
  <c r="F32" i="60"/>
  <c r="F33" i="60"/>
  <c r="F34" i="60"/>
  <c r="F35" i="60"/>
  <c r="F36" i="60"/>
  <c r="F37" i="60"/>
  <c r="F38" i="60"/>
  <c r="F39" i="60"/>
  <c r="F40" i="60"/>
  <c r="F41" i="60"/>
  <c r="F42" i="60"/>
  <c r="F43" i="60"/>
  <c r="F44" i="60"/>
  <c r="F45" i="60"/>
  <c r="F46" i="60"/>
  <c r="F47" i="60"/>
  <c r="F48" i="60"/>
  <c r="F49" i="60"/>
  <c r="F50" i="60"/>
  <c r="F51" i="60"/>
  <c r="F52" i="60"/>
  <c r="F53" i="60"/>
  <c r="F54" i="60"/>
  <c r="F55" i="60"/>
  <c r="F56" i="60"/>
  <c r="F57" i="60"/>
  <c r="F58" i="60"/>
  <c r="F59" i="60"/>
  <c r="F60" i="60"/>
  <c r="F61" i="60"/>
  <c r="F62" i="60"/>
  <c r="F63" i="60"/>
  <c r="F64" i="60"/>
  <c r="F65" i="60"/>
  <c r="F66" i="60"/>
  <c r="F67" i="60"/>
  <c r="F68" i="60"/>
  <c r="F69" i="60"/>
  <c r="F70" i="60"/>
  <c r="F71" i="60"/>
  <c r="F72" i="60"/>
  <c r="F73" i="60"/>
  <c r="F74" i="60"/>
  <c r="F75" i="60"/>
  <c r="F76" i="60"/>
  <c r="F77" i="60"/>
  <c r="F78" i="60"/>
  <c r="F79" i="60"/>
  <c r="F80" i="60"/>
  <c r="F81" i="60"/>
  <c r="F82" i="60"/>
  <c r="F83" i="60"/>
  <c r="F84" i="60"/>
  <c r="F85" i="60"/>
  <c r="F86" i="60"/>
  <c r="F87" i="60"/>
  <c r="F88" i="60"/>
  <c r="F89" i="60"/>
  <c r="F90" i="60"/>
  <c r="F91" i="60"/>
  <c r="F92" i="60"/>
  <c r="F93" i="60"/>
  <c r="F94" i="60"/>
  <c r="F95" i="60"/>
  <c r="F96" i="60"/>
  <c r="F97" i="60"/>
  <c r="F98" i="60"/>
  <c r="F99" i="60"/>
  <c r="F100" i="60"/>
  <c r="F101" i="60"/>
  <c r="F102" i="60"/>
  <c r="F103" i="60"/>
  <c r="F104" i="60"/>
  <c r="F105" i="60"/>
  <c r="F106" i="60"/>
  <c r="F107" i="60"/>
  <c r="F108" i="60"/>
  <c r="F109" i="60"/>
  <c r="F9" i="35"/>
  <c r="F10" i="35"/>
  <c r="F11"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39" i="35"/>
  <c r="F40" i="35"/>
  <c r="F41" i="35"/>
  <c r="F42" i="35"/>
  <c r="F43" i="35"/>
  <c r="F44" i="35"/>
  <c r="F45" i="35"/>
  <c r="F46" i="35"/>
  <c r="F47" i="35"/>
  <c r="F48" i="35"/>
  <c r="F49" i="35"/>
  <c r="F50" i="35"/>
  <c r="F51" i="35"/>
  <c r="F52" i="35"/>
  <c r="F53" i="35"/>
  <c r="F54" i="35"/>
  <c r="F55" i="35"/>
  <c r="F56" i="35"/>
  <c r="F57" i="35"/>
  <c r="F58" i="35"/>
  <c r="F59" i="35"/>
  <c r="F60" i="35"/>
  <c r="F61" i="35"/>
  <c r="F62" i="35"/>
  <c r="F63" i="35"/>
  <c r="F64" i="35"/>
  <c r="F65" i="35"/>
  <c r="F66" i="35"/>
  <c r="F67" i="35"/>
  <c r="F68" i="35"/>
  <c r="F69" i="35"/>
  <c r="F70" i="35"/>
  <c r="F71" i="35"/>
  <c r="F72" i="35"/>
  <c r="F73" i="35"/>
  <c r="F74" i="35"/>
  <c r="F75" i="35"/>
  <c r="F76" i="35"/>
  <c r="F77" i="35"/>
  <c r="F78" i="35"/>
  <c r="F79" i="35"/>
  <c r="F80" i="35"/>
  <c r="F81" i="35"/>
  <c r="F82" i="35"/>
  <c r="F83" i="35"/>
  <c r="F84" i="35"/>
  <c r="F85" i="35"/>
  <c r="F86" i="35"/>
  <c r="F87" i="35"/>
  <c r="F88" i="35"/>
  <c r="F89" i="35"/>
  <c r="F90" i="35"/>
  <c r="F91" i="35"/>
  <c r="F92" i="35"/>
  <c r="F93" i="35"/>
  <c r="F94" i="35"/>
  <c r="F95" i="35"/>
  <c r="F96" i="35"/>
  <c r="F97" i="35"/>
  <c r="F98" i="35"/>
  <c r="F99" i="35"/>
  <c r="F100" i="35"/>
  <c r="F101" i="35"/>
  <c r="F102" i="35"/>
  <c r="F103" i="35"/>
  <c r="F104" i="35"/>
  <c r="F105" i="35"/>
  <c r="F106" i="35"/>
  <c r="F107" i="35"/>
  <c r="F108" i="35"/>
  <c r="F109" i="35"/>
  <c r="F6" i="35"/>
  <c r="F7" i="35"/>
  <c r="F8" i="35"/>
  <c r="F6" i="12"/>
  <c r="F7" i="12"/>
  <c r="F8" i="12"/>
  <c r="F6" i="14"/>
  <c r="F7" i="14"/>
  <c r="F8" i="14"/>
  <c r="F6" i="15"/>
  <c r="F7" i="15"/>
  <c r="F8" i="15"/>
  <c r="F6" i="16"/>
  <c r="F7" i="16"/>
  <c r="F8" i="16"/>
  <c r="F6" i="13"/>
  <c r="F7" i="13"/>
  <c r="F8" i="13"/>
  <c r="F6" i="17"/>
  <c r="F7" i="17"/>
  <c r="F8" i="17"/>
  <c r="F6" i="18"/>
  <c r="F7" i="18"/>
  <c r="F8" i="18"/>
  <c r="F6" i="19"/>
  <c r="F7" i="19"/>
  <c r="F8" i="19"/>
  <c r="F6" i="20"/>
  <c r="F7" i="20"/>
  <c r="F8" i="20"/>
  <c r="F6" i="21"/>
  <c r="F7" i="21"/>
  <c r="F8" i="21"/>
  <c r="F6" i="22"/>
  <c r="F7" i="22"/>
  <c r="F8" i="22"/>
  <c r="F6" i="23"/>
  <c r="F7" i="23"/>
  <c r="F8" i="23"/>
  <c r="F6" i="24"/>
  <c r="F7" i="24"/>
  <c r="F8" i="24"/>
  <c r="F6" i="25"/>
  <c r="F7" i="25"/>
  <c r="F8" i="25"/>
  <c r="F6" i="26"/>
  <c r="F7" i="26"/>
  <c r="F8" i="26"/>
  <c r="F6" i="27"/>
  <c r="F7" i="27"/>
  <c r="F8" i="27"/>
  <c r="F6" i="28"/>
  <c r="F7" i="28"/>
  <c r="F8" i="28"/>
  <c r="F6" i="29"/>
  <c r="F7" i="29"/>
  <c r="F8" i="29"/>
  <c r="F6" i="39"/>
  <c r="F7" i="39"/>
  <c r="F8" i="39"/>
  <c r="F6" i="40"/>
  <c r="F7" i="40"/>
  <c r="F8" i="40"/>
  <c r="F6" i="41"/>
  <c r="F7" i="41"/>
  <c r="F8" i="41"/>
  <c r="F6" i="42"/>
  <c r="F7" i="42"/>
  <c r="F8" i="42"/>
  <c r="F6" i="43"/>
  <c r="F7" i="43"/>
  <c r="F8" i="43"/>
  <c r="F6" i="44"/>
  <c r="F7" i="44"/>
  <c r="F8" i="44"/>
  <c r="F6" i="45"/>
  <c r="F7" i="45"/>
  <c r="F8" i="45"/>
  <c r="F6" i="46"/>
  <c r="F7" i="46"/>
  <c r="F8" i="46"/>
  <c r="F6" i="47"/>
  <c r="F7" i="47"/>
  <c r="F8" i="47"/>
  <c r="F6" i="48"/>
  <c r="F7" i="48"/>
  <c r="F8" i="48"/>
  <c r="F6" i="49"/>
  <c r="F7" i="49"/>
  <c r="F8" i="49"/>
  <c r="F6" i="50"/>
  <c r="F7" i="50"/>
  <c r="F8" i="50"/>
  <c r="F6" i="51"/>
  <c r="F7" i="51"/>
  <c r="F8" i="51"/>
  <c r="F6" i="54"/>
  <c r="F7" i="54"/>
  <c r="F8" i="54"/>
  <c r="F6" i="55"/>
  <c r="F7" i="55"/>
  <c r="F8" i="55"/>
  <c r="F6" i="56"/>
  <c r="F7" i="56"/>
  <c r="F8" i="56"/>
  <c r="F6" i="57"/>
  <c r="F7" i="57"/>
  <c r="F8" i="57"/>
  <c r="F6" i="58"/>
  <c r="F7" i="58"/>
  <c r="F8" i="58"/>
  <c r="F6" i="59"/>
  <c r="F7" i="59"/>
  <c r="F8" i="59"/>
  <c r="F6" i="60"/>
  <c r="F7" i="60"/>
  <c r="F8" i="60"/>
  <c r="F6" i="11"/>
  <c r="F7" i="11"/>
  <c r="F8" i="11"/>
  <c r="F5" i="35"/>
  <c r="F5" i="11"/>
  <c r="F5" i="14"/>
  <c r="F5" i="15"/>
  <c r="F5" i="16"/>
  <c r="F5" i="13"/>
  <c r="F5" i="17"/>
  <c r="F5" i="18"/>
  <c r="F5" i="19"/>
  <c r="F5" i="20"/>
  <c r="F5" i="21"/>
  <c r="F5" i="22"/>
  <c r="F5" i="23"/>
  <c r="F5" i="24"/>
  <c r="F5" i="25"/>
  <c r="F5" i="26"/>
  <c r="F5" i="27"/>
  <c r="F5" i="28"/>
  <c r="F5" i="29"/>
  <c r="F5" i="39"/>
  <c r="F5" i="40"/>
  <c r="F5" i="41"/>
  <c r="F5" i="42"/>
  <c r="F5" i="43"/>
  <c r="F5" i="44"/>
  <c r="F5" i="45"/>
  <c r="F5" i="46"/>
  <c r="F5" i="47"/>
  <c r="F5" i="48"/>
  <c r="F5" i="49"/>
  <c r="F5" i="50"/>
  <c r="F5" i="51"/>
  <c r="F5" i="54"/>
  <c r="F5" i="55"/>
  <c r="F5" i="56"/>
  <c r="F5" i="57"/>
  <c r="F5" i="58"/>
  <c r="F5" i="59"/>
  <c r="F5" i="60"/>
  <c r="F5" i="12"/>
  <c r="F4" i="35"/>
  <c r="F4" i="11"/>
  <c r="F4" i="14"/>
  <c r="F4" i="15"/>
  <c r="F4" i="16"/>
  <c r="F4" i="13"/>
  <c r="F4" i="17"/>
  <c r="F4" i="18"/>
  <c r="F4" i="19"/>
  <c r="F4" i="20"/>
  <c r="F4" i="21"/>
  <c r="F4" i="22"/>
  <c r="F4" i="23"/>
  <c r="F4" i="24"/>
  <c r="F4" i="25"/>
  <c r="F4" i="26"/>
  <c r="F4" i="27"/>
  <c r="F4" i="28"/>
  <c r="F4" i="29"/>
  <c r="F4" i="39"/>
  <c r="F4" i="40"/>
  <c r="F4" i="41"/>
  <c r="F4" i="42"/>
  <c r="F4" i="43"/>
  <c r="F4" i="44"/>
  <c r="F4" i="45"/>
  <c r="F4" i="46"/>
  <c r="F4" i="47"/>
  <c r="F4" i="48"/>
  <c r="F4" i="49"/>
  <c r="F4" i="50"/>
  <c r="F4" i="51"/>
  <c r="F4" i="54"/>
  <c r="F4" i="55"/>
  <c r="F4" i="56"/>
  <c r="F4" i="57"/>
  <c r="F4" i="58"/>
  <c r="F4" i="59"/>
  <c r="F4" i="60"/>
  <c r="F4" i="12"/>
  <c r="F110" i="35"/>
  <c r="F111" i="35"/>
  <c r="F112" i="35"/>
  <c r="F110" i="11"/>
  <c r="F111" i="11"/>
  <c r="F112" i="11"/>
  <c r="E112" i="12"/>
  <c r="E111" i="12"/>
  <c r="E110" i="12"/>
  <c r="E112" i="14"/>
  <c r="E111" i="14"/>
  <c r="E110" i="14"/>
  <c r="E112" i="15"/>
  <c r="E111" i="15"/>
  <c r="E110" i="15"/>
  <c r="E112" i="16"/>
  <c r="E111" i="16"/>
  <c r="E110" i="16"/>
  <c r="E112" i="13"/>
  <c r="E111" i="13"/>
  <c r="E110" i="13"/>
  <c r="E112" i="17"/>
  <c r="E111" i="17"/>
  <c r="E110" i="17"/>
  <c r="E112" i="18"/>
  <c r="E111" i="18"/>
  <c r="E110" i="18"/>
  <c r="E112" i="19"/>
  <c r="E111" i="19"/>
  <c r="E110" i="19"/>
  <c r="E112" i="20"/>
  <c r="E111" i="20"/>
  <c r="E110" i="20"/>
  <c r="E112" i="21"/>
  <c r="E111" i="21"/>
  <c r="E110" i="21"/>
  <c r="E112" i="22"/>
  <c r="E111" i="22"/>
  <c r="E110" i="22"/>
  <c r="E112" i="23"/>
  <c r="E111" i="23"/>
  <c r="E110" i="23"/>
  <c r="E112" i="24"/>
  <c r="E111" i="24"/>
  <c r="E110" i="24"/>
  <c r="E112" i="25"/>
  <c r="E111" i="25"/>
  <c r="E110" i="25"/>
  <c r="E112" i="26"/>
  <c r="E111" i="26"/>
  <c r="E110" i="26"/>
  <c r="E112" i="27"/>
  <c r="E111" i="27"/>
  <c r="E110" i="27"/>
  <c r="E112" i="28"/>
  <c r="E111" i="28"/>
  <c r="E110" i="28"/>
  <c r="E112" i="29"/>
  <c r="E111" i="29"/>
  <c r="E110" i="29"/>
  <c r="E112" i="39"/>
  <c r="E111" i="39"/>
  <c r="E110" i="39"/>
  <c r="E112" i="40"/>
  <c r="E111" i="40"/>
  <c r="E110" i="40"/>
  <c r="E112" i="41"/>
  <c r="E111" i="41"/>
  <c r="E110" i="41"/>
  <c r="E112" i="42"/>
  <c r="E111" i="42"/>
  <c r="E110" i="42"/>
  <c r="E112" i="43"/>
  <c r="E111" i="43"/>
  <c r="E110" i="43"/>
  <c r="E112" i="44"/>
  <c r="E111" i="44"/>
  <c r="E110" i="44"/>
  <c r="E112" i="45"/>
  <c r="E111" i="45"/>
  <c r="E110" i="45"/>
  <c r="E112" i="46"/>
  <c r="E111" i="46"/>
  <c r="E110" i="46"/>
  <c r="E112" i="47"/>
  <c r="E111" i="47"/>
  <c r="E110" i="47"/>
  <c r="E112" i="48"/>
  <c r="E111" i="48"/>
  <c r="E110" i="48"/>
  <c r="E112" i="49"/>
  <c r="E111" i="49"/>
  <c r="E110" i="49"/>
  <c r="E112" i="50"/>
  <c r="E111" i="50"/>
  <c r="E110" i="50"/>
  <c r="E112" i="51"/>
  <c r="E111" i="51"/>
  <c r="E110" i="51"/>
  <c r="E112" i="54"/>
  <c r="E111" i="54"/>
  <c r="E110" i="54"/>
  <c r="E112" i="55"/>
  <c r="E111" i="55"/>
  <c r="E110" i="55"/>
  <c r="E112" i="56"/>
  <c r="E111" i="56"/>
  <c r="E110" i="56"/>
  <c r="E112" i="57"/>
  <c r="E111" i="57"/>
  <c r="E110" i="57"/>
  <c r="E112" i="58"/>
  <c r="E111" i="58"/>
  <c r="E110" i="58"/>
  <c r="E112" i="59"/>
  <c r="E111" i="59"/>
  <c r="E110" i="59"/>
  <c r="E112" i="60"/>
  <c r="E111" i="60"/>
  <c r="E110" i="60"/>
  <c r="E112" i="11"/>
  <c r="E111" i="11"/>
  <c r="E110" i="11"/>
  <c r="E112" i="35"/>
  <c r="E111" i="35"/>
  <c r="E110" i="35"/>
  <c r="K2" i="13" l="1"/>
  <c r="K2" i="17"/>
  <c r="K2" i="18"/>
  <c r="K2" i="19"/>
  <c r="K2" i="21"/>
  <c r="K2" i="26"/>
  <c r="K2" i="29"/>
  <c r="K2" i="43"/>
  <c r="K2" i="46"/>
  <c r="K2" i="51"/>
  <c r="K2" i="56"/>
  <c r="K2" i="35"/>
  <c r="K2" i="15"/>
  <c r="K2" i="16"/>
  <c r="K2" i="20"/>
  <c r="K2" i="24"/>
  <c r="K2" i="25"/>
  <c r="I9" i="37"/>
  <c r="I10" i="37"/>
  <c r="I11" i="37"/>
  <c r="I12" i="37"/>
  <c r="I13" i="37"/>
  <c r="I14" i="37"/>
  <c r="I15" i="37"/>
  <c r="I16" i="37"/>
  <c r="I17" i="37"/>
  <c r="I18" i="37"/>
  <c r="I19" i="37"/>
  <c r="I20" i="37"/>
  <c r="I21" i="37"/>
  <c r="I22" i="37"/>
  <c r="I23" i="37"/>
  <c r="I24" i="37"/>
  <c r="I25" i="37"/>
  <c r="I26" i="37"/>
  <c r="I27" i="37"/>
  <c r="I28" i="37"/>
  <c r="I29" i="37"/>
  <c r="I30" i="37"/>
  <c r="I31" i="37"/>
  <c r="I32" i="37"/>
  <c r="I33" i="37"/>
  <c r="I34" i="37"/>
  <c r="I35" i="37"/>
  <c r="I36" i="37"/>
  <c r="I37" i="37"/>
  <c r="I38" i="37"/>
  <c r="I39" i="37"/>
  <c r="I40" i="37"/>
  <c r="I41" i="37"/>
  <c r="I42" i="37"/>
  <c r="I43" i="37"/>
  <c r="I44" i="37"/>
  <c r="I45" i="37"/>
  <c r="I46" i="37"/>
  <c r="I47" i="37"/>
  <c r="I48" i="37"/>
  <c r="I49" i="37"/>
  <c r="I50" i="37"/>
  <c r="I51" i="37"/>
  <c r="I52" i="37"/>
  <c r="I53" i="37"/>
  <c r="I54" i="37"/>
  <c r="I55" i="37"/>
  <c r="I56" i="37"/>
  <c r="I57" i="37"/>
  <c r="I58" i="37"/>
  <c r="I59" i="37"/>
  <c r="I60" i="37"/>
  <c r="I61" i="37"/>
  <c r="I62" i="37"/>
  <c r="I63" i="37"/>
  <c r="I64" i="37"/>
  <c r="I65" i="37"/>
  <c r="I66" i="37"/>
  <c r="I67" i="37"/>
  <c r="I68" i="37"/>
  <c r="I69" i="37"/>
  <c r="I70" i="37"/>
  <c r="I71" i="37"/>
  <c r="I72" i="37"/>
  <c r="I73" i="37"/>
  <c r="I74" i="37"/>
  <c r="I75" i="37"/>
  <c r="I76" i="37"/>
  <c r="I77" i="37"/>
  <c r="I78" i="37"/>
  <c r="I79" i="37"/>
  <c r="I80" i="37"/>
  <c r="I81" i="37"/>
  <c r="I82" i="37"/>
  <c r="I83" i="37"/>
  <c r="I84" i="37"/>
  <c r="I85" i="37"/>
  <c r="I86" i="37"/>
  <c r="I87" i="37"/>
  <c r="I88" i="37"/>
  <c r="I89" i="37"/>
  <c r="I90" i="37"/>
  <c r="I91" i="37"/>
  <c r="I92" i="37"/>
  <c r="I94" i="37"/>
  <c r="I95" i="37"/>
  <c r="I96" i="37"/>
  <c r="I97" i="37"/>
  <c r="I98" i="37"/>
  <c r="I99" i="37"/>
  <c r="I100" i="37"/>
  <c r="I101" i="37"/>
  <c r="I102" i="37"/>
  <c r="I103" i="37"/>
  <c r="I104" i="37"/>
  <c r="I105" i="37"/>
  <c r="I106" i="37"/>
  <c r="I107" i="37"/>
  <c r="I108" i="37"/>
  <c r="I109" i="37"/>
  <c r="I110" i="37"/>
  <c r="I111" i="37"/>
  <c r="I112" i="37"/>
  <c r="I113"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H42" i="37"/>
  <c r="H43" i="37"/>
  <c r="H44" i="37"/>
  <c r="H45" i="37"/>
  <c r="H46" i="37"/>
  <c r="H47" i="37"/>
  <c r="H48" i="37"/>
  <c r="H49" i="37"/>
  <c r="H50" i="37"/>
  <c r="H51" i="37"/>
  <c r="H52" i="37"/>
  <c r="H53" i="37"/>
  <c r="H54" i="37"/>
  <c r="H55" i="37"/>
  <c r="H56" i="37"/>
  <c r="H57" i="37"/>
  <c r="H58" i="37"/>
  <c r="H59" i="37"/>
  <c r="H60" i="37"/>
  <c r="H61" i="37"/>
  <c r="H62" i="37"/>
  <c r="H63" i="37"/>
  <c r="H64" i="37"/>
  <c r="H65" i="37"/>
  <c r="H66" i="37"/>
  <c r="H67" i="37"/>
  <c r="H68" i="37"/>
  <c r="H69" i="37"/>
  <c r="H70" i="37"/>
  <c r="H71" i="37"/>
  <c r="H72" i="37"/>
  <c r="H73" i="37"/>
  <c r="H74" i="37"/>
  <c r="H75" i="37"/>
  <c r="H76" i="37"/>
  <c r="H77" i="37"/>
  <c r="H78" i="37"/>
  <c r="H79" i="37"/>
  <c r="H80" i="37"/>
  <c r="H81" i="37"/>
  <c r="H82" i="37"/>
  <c r="H83" i="37"/>
  <c r="H84" i="37"/>
  <c r="H85" i="37"/>
  <c r="H86" i="37"/>
  <c r="H87" i="37"/>
  <c r="H88" i="37"/>
  <c r="H89" i="37"/>
  <c r="H90" i="37"/>
  <c r="H91" i="37"/>
  <c r="H92" i="37"/>
  <c r="H93" i="37"/>
  <c r="H94" i="37"/>
  <c r="H95" i="37"/>
  <c r="H96" i="37"/>
  <c r="H97" i="37"/>
  <c r="H98" i="37"/>
  <c r="H99" i="37"/>
  <c r="H100" i="37"/>
  <c r="H101" i="37"/>
  <c r="H102" i="37"/>
  <c r="H103" i="37"/>
  <c r="H104" i="37"/>
  <c r="H105" i="37"/>
  <c r="H106" i="37"/>
  <c r="H107" i="37"/>
  <c r="H108" i="37"/>
  <c r="H109" i="37"/>
  <c r="H110" i="37"/>
  <c r="H111" i="37"/>
  <c r="H112" i="37"/>
  <c r="H113" i="37"/>
  <c r="G9" i="37"/>
  <c r="G10" i="37"/>
  <c r="G11" i="37"/>
  <c r="G12" i="37"/>
  <c r="G13" i="37"/>
  <c r="G14" i="37"/>
  <c r="G15" i="37"/>
  <c r="G16" i="37"/>
  <c r="G17" i="37"/>
  <c r="G18" i="37"/>
  <c r="G19" i="37"/>
  <c r="G20" i="37"/>
  <c r="G21" i="37"/>
  <c r="G22" i="37"/>
  <c r="G23" i="37"/>
  <c r="G24" i="37"/>
  <c r="G25" i="37"/>
  <c r="G26" i="37"/>
  <c r="G27" i="37"/>
  <c r="G28" i="37"/>
  <c r="G29" i="37"/>
  <c r="G30" i="37"/>
  <c r="G31" i="37"/>
  <c r="G32" i="37"/>
  <c r="G33" i="37"/>
  <c r="G34" i="37"/>
  <c r="G35" i="37"/>
  <c r="G36" i="37"/>
  <c r="G37" i="37"/>
  <c r="G38" i="37"/>
  <c r="G39" i="37"/>
  <c r="G40" i="37"/>
  <c r="G41" i="37"/>
  <c r="G42" i="37"/>
  <c r="G43" i="37"/>
  <c r="G44" i="37"/>
  <c r="G45" i="37"/>
  <c r="G46" i="37"/>
  <c r="G47" i="37"/>
  <c r="G48" i="37"/>
  <c r="G49" i="37"/>
  <c r="G50" i="37"/>
  <c r="G51" i="37"/>
  <c r="G52" i="37"/>
  <c r="G53" i="37"/>
  <c r="G54" i="37"/>
  <c r="G55" i="37"/>
  <c r="G56" i="37"/>
  <c r="G57" i="37"/>
  <c r="G58" i="37"/>
  <c r="G59" i="37"/>
  <c r="G60" i="37"/>
  <c r="G61" i="37"/>
  <c r="G62" i="37"/>
  <c r="G63" i="37"/>
  <c r="G64" i="37"/>
  <c r="G65" i="37"/>
  <c r="G66" i="37"/>
  <c r="G67" i="37"/>
  <c r="G68" i="37"/>
  <c r="G69" i="37"/>
  <c r="G70" i="37"/>
  <c r="G71" i="37"/>
  <c r="G72" i="37"/>
  <c r="G73" i="37"/>
  <c r="G74" i="37"/>
  <c r="G75" i="37"/>
  <c r="G76" i="37"/>
  <c r="G77" i="37"/>
  <c r="G78" i="37"/>
  <c r="G79" i="37"/>
  <c r="G80" i="37"/>
  <c r="G81" i="37"/>
  <c r="G82" i="37"/>
  <c r="G83" i="37"/>
  <c r="G84" i="37"/>
  <c r="G85" i="37"/>
  <c r="G86" i="37"/>
  <c r="G87" i="37"/>
  <c r="G88" i="37"/>
  <c r="G89" i="37"/>
  <c r="G90" i="37"/>
  <c r="G91" i="37"/>
  <c r="G92" i="37"/>
  <c r="G93" i="37"/>
  <c r="G94" i="37"/>
  <c r="G95" i="37"/>
  <c r="G96" i="37"/>
  <c r="G97" i="37"/>
  <c r="G98" i="37"/>
  <c r="G99" i="37"/>
  <c r="G100" i="37"/>
  <c r="G101" i="37"/>
  <c r="G102" i="37"/>
  <c r="G103" i="37"/>
  <c r="G104" i="37"/>
  <c r="G105" i="37"/>
  <c r="G106" i="37"/>
  <c r="G107" i="37"/>
  <c r="G108" i="37"/>
  <c r="G109" i="37"/>
  <c r="G110" i="37"/>
  <c r="G111" i="37"/>
  <c r="G112" i="37"/>
  <c r="G113" i="37"/>
  <c r="W9" i="37"/>
  <c r="W10" i="37"/>
  <c r="W11" i="37"/>
  <c r="W12" i="37"/>
  <c r="W13" i="37"/>
  <c r="W14" i="37"/>
  <c r="W15" i="37"/>
  <c r="W16" i="37"/>
  <c r="W17" i="37"/>
  <c r="W18" i="37"/>
  <c r="W19" i="37"/>
  <c r="W20" i="37"/>
  <c r="W21" i="37"/>
  <c r="W22" i="37"/>
  <c r="W23" i="37"/>
  <c r="W24" i="37"/>
  <c r="W25" i="37"/>
  <c r="W26" i="37"/>
  <c r="W27" i="37"/>
  <c r="W28" i="37"/>
  <c r="W29" i="37"/>
  <c r="W30" i="37"/>
  <c r="W31" i="37"/>
  <c r="W32" i="37"/>
  <c r="W33" i="37"/>
  <c r="W34" i="37"/>
  <c r="W35" i="37"/>
  <c r="W36" i="37"/>
  <c r="W37" i="37"/>
  <c r="W38" i="37"/>
  <c r="W39" i="37"/>
  <c r="W40" i="37"/>
  <c r="W41" i="37"/>
  <c r="W42" i="37"/>
  <c r="W43" i="37"/>
  <c r="W44" i="37"/>
  <c r="W45" i="37"/>
  <c r="W46" i="37"/>
  <c r="W47" i="37"/>
  <c r="W48" i="37"/>
  <c r="W49" i="37"/>
  <c r="W50" i="37"/>
  <c r="W51" i="37"/>
  <c r="W52" i="37"/>
  <c r="W53" i="37"/>
  <c r="W54" i="37"/>
  <c r="W5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W85" i="37"/>
  <c r="W86" i="37"/>
  <c r="W87" i="37"/>
  <c r="W88" i="37"/>
  <c r="W89" i="37"/>
  <c r="W90" i="37"/>
  <c r="W91" i="37"/>
  <c r="W92" i="37"/>
  <c r="W93" i="37"/>
  <c r="W94" i="37"/>
  <c r="W95" i="37"/>
  <c r="W96" i="37"/>
  <c r="W97" i="37"/>
  <c r="W98" i="37"/>
  <c r="W99" i="37"/>
  <c r="W100" i="37"/>
  <c r="W101" i="37"/>
  <c r="W102" i="37"/>
  <c r="W103" i="37"/>
  <c r="W104" i="37"/>
  <c r="W105" i="37"/>
  <c r="W106" i="37"/>
  <c r="W107" i="37"/>
  <c r="W108" i="37"/>
  <c r="W109" i="37"/>
  <c r="W110" i="37"/>
  <c r="W111" i="37"/>
  <c r="W112" i="37"/>
  <c r="W113" i="37"/>
  <c r="W8" i="37"/>
  <c r="G8" i="37"/>
  <c r="G5" i="37" l="1"/>
  <c r="K2" i="49"/>
  <c r="K2" i="41"/>
  <c r="K2" i="54"/>
  <c r="K2" i="44"/>
  <c r="K2" i="27"/>
  <c r="K2" i="55"/>
  <c r="K2" i="48"/>
  <c r="K2" i="45"/>
  <c r="K2" i="40"/>
  <c r="K2" i="28"/>
  <c r="K2" i="60"/>
  <c r="K2" i="50"/>
  <c r="K2" i="47"/>
  <c r="K2" i="42"/>
  <c r="K2" i="39"/>
  <c r="K2" i="22"/>
  <c r="K2" i="59"/>
  <c r="K2" i="23"/>
  <c r="K2" i="57"/>
  <c r="K2" i="58"/>
  <c r="K2" i="12"/>
  <c r="K2" i="11"/>
  <c r="K2" i="14"/>
  <c r="W5" i="37" l="1"/>
  <c r="W3" i="37"/>
  <c r="W4" i="37"/>
  <c r="I3" i="35"/>
  <c r="D3" i="35"/>
  <c r="C3" i="35"/>
  <c r="B3" i="35"/>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5" i="14"/>
  <c r="I6" i="14"/>
  <c r="I7" i="14"/>
  <c r="I8" i="14"/>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109" i="21"/>
  <c r="I5" i="22"/>
  <c r="I6" i="22"/>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04" i="22"/>
  <c r="I105" i="22"/>
  <c r="I106" i="22"/>
  <c r="I107" i="22"/>
  <c r="I108" i="22"/>
  <c r="I109" i="22"/>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I60" i="23"/>
  <c r="I61" i="23"/>
  <c r="I62" i="23"/>
  <c r="I63" i="23"/>
  <c r="I64" i="23"/>
  <c r="I65" i="23"/>
  <c r="I66" i="23"/>
  <c r="I67" i="23"/>
  <c r="I68" i="23"/>
  <c r="I69" i="23"/>
  <c r="I70" i="23"/>
  <c r="I71" i="23"/>
  <c r="I72" i="23"/>
  <c r="I73" i="23"/>
  <c r="I74" i="23"/>
  <c r="I75" i="23"/>
  <c r="I76" i="23"/>
  <c r="I77" i="23"/>
  <c r="I78" i="23"/>
  <c r="I79" i="23"/>
  <c r="I80" i="23"/>
  <c r="I81" i="23"/>
  <c r="I82" i="23"/>
  <c r="I83" i="23"/>
  <c r="I84" i="23"/>
  <c r="I85" i="23"/>
  <c r="I86" i="23"/>
  <c r="I87" i="23"/>
  <c r="I88" i="23"/>
  <c r="I89" i="23"/>
  <c r="I90" i="23"/>
  <c r="I91" i="23"/>
  <c r="I92" i="23"/>
  <c r="I93" i="23"/>
  <c r="I94" i="23"/>
  <c r="I95" i="23"/>
  <c r="I96" i="23"/>
  <c r="I97" i="23"/>
  <c r="I98" i="23"/>
  <c r="I99" i="23"/>
  <c r="I100" i="23"/>
  <c r="I101" i="23"/>
  <c r="I102" i="23"/>
  <c r="I103" i="23"/>
  <c r="I104" i="23"/>
  <c r="I105" i="23"/>
  <c r="I106" i="23"/>
  <c r="I107" i="23"/>
  <c r="I108" i="23"/>
  <c r="I109" i="23"/>
  <c r="I5" i="24"/>
  <c r="I6" i="24"/>
  <c r="I7" i="24"/>
  <c r="I8"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40" i="24"/>
  <c r="I41" i="24"/>
  <c r="I42" i="24"/>
  <c r="I43" i="24"/>
  <c r="I44" i="24"/>
  <c r="I45" i="24"/>
  <c r="I46" i="24"/>
  <c r="I47" i="24"/>
  <c r="I48" i="24"/>
  <c r="I49" i="24"/>
  <c r="I50" i="24"/>
  <c r="I51" i="24"/>
  <c r="I52" i="24"/>
  <c r="I53" i="24"/>
  <c r="I54" i="24"/>
  <c r="I55" i="24"/>
  <c r="I56" i="24"/>
  <c r="I57" i="24"/>
  <c r="I58" i="24"/>
  <c r="I59" i="24"/>
  <c r="I60" i="24"/>
  <c r="I61" i="24"/>
  <c r="I62" i="24"/>
  <c r="I63" i="24"/>
  <c r="I64" i="24"/>
  <c r="I65" i="24"/>
  <c r="I66" i="24"/>
  <c r="I67" i="24"/>
  <c r="I68" i="24"/>
  <c r="I69" i="24"/>
  <c r="I70" i="24"/>
  <c r="I71" i="24"/>
  <c r="I72" i="24"/>
  <c r="I73" i="24"/>
  <c r="I74" i="24"/>
  <c r="I75" i="24"/>
  <c r="I76" i="24"/>
  <c r="I77" i="24"/>
  <c r="I78" i="24"/>
  <c r="I79" i="24"/>
  <c r="I80" i="24"/>
  <c r="I81" i="24"/>
  <c r="I82" i="24"/>
  <c r="I83" i="24"/>
  <c r="I84" i="24"/>
  <c r="I85" i="24"/>
  <c r="I86" i="24"/>
  <c r="I87" i="24"/>
  <c r="I88" i="24"/>
  <c r="I89" i="24"/>
  <c r="I90" i="24"/>
  <c r="I91" i="24"/>
  <c r="I92" i="24"/>
  <c r="I93" i="24"/>
  <c r="I94" i="24"/>
  <c r="I95" i="24"/>
  <c r="I96" i="24"/>
  <c r="I97" i="24"/>
  <c r="I98" i="24"/>
  <c r="I99" i="24"/>
  <c r="I100" i="24"/>
  <c r="I101" i="24"/>
  <c r="I102" i="24"/>
  <c r="I103" i="24"/>
  <c r="I104" i="24"/>
  <c r="I105" i="24"/>
  <c r="I106" i="24"/>
  <c r="I107" i="24"/>
  <c r="I108" i="24"/>
  <c r="I109" i="24"/>
  <c r="I5" i="25"/>
  <c r="I6" i="25"/>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5" i="27"/>
  <c r="I6" i="27"/>
  <c r="I7" i="27"/>
  <c r="I8" i="27"/>
  <c r="I9" i="27"/>
  <c r="I10" i="27"/>
  <c r="I11" i="27"/>
  <c r="I12" i="27"/>
  <c r="I13" i="27"/>
  <c r="I14" i="27"/>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5" i="28"/>
  <c r="I6" i="28"/>
  <c r="I7" i="28"/>
  <c r="I8" i="28"/>
  <c r="I9"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2" i="28"/>
  <c r="I93" i="28"/>
  <c r="I94" i="28"/>
  <c r="I95" i="28"/>
  <c r="I96" i="28"/>
  <c r="I97" i="28"/>
  <c r="I98" i="28"/>
  <c r="I99" i="28"/>
  <c r="I100" i="28"/>
  <c r="I101" i="28"/>
  <c r="I102" i="28"/>
  <c r="I103" i="28"/>
  <c r="I104" i="28"/>
  <c r="I105" i="28"/>
  <c r="I106" i="28"/>
  <c r="I107" i="28"/>
  <c r="I108" i="28"/>
  <c r="I109" i="28"/>
  <c r="I5" i="29"/>
  <c r="I6" i="29"/>
  <c r="I7" i="29"/>
  <c r="I8" i="29"/>
  <c r="I9" i="29"/>
  <c r="I10" i="29"/>
  <c r="I11" i="29"/>
  <c r="I12" i="29"/>
  <c r="I13" i="29"/>
  <c r="I14" i="29"/>
  <c r="I15" i="29"/>
  <c r="I16" i="29"/>
  <c r="I17" i="29"/>
  <c r="I18" i="29"/>
  <c r="I19" i="29"/>
  <c r="I20" i="29"/>
  <c r="I21" i="29"/>
  <c r="I22" i="29"/>
  <c r="I23" i="29"/>
  <c r="I24" i="29"/>
  <c r="I25" i="29"/>
  <c r="I26" i="29"/>
  <c r="I27" i="29"/>
  <c r="I28" i="29"/>
  <c r="I29" i="29"/>
  <c r="I30" i="29"/>
  <c r="I31" i="29"/>
  <c r="I32" i="29"/>
  <c r="I33" i="29"/>
  <c r="I34" i="29"/>
  <c r="I35" i="29"/>
  <c r="I36" i="29"/>
  <c r="I37" i="29"/>
  <c r="I38" i="29"/>
  <c r="I39" i="29"/>
  <c r="I40" i="29"/>
  <c r="I41" i="29"/>
  <c r="I42" i="29"/>
  <c r="I43" i="29"/>
  <c r="I44" i="29"/>
  <c r="I45" i="29"/>
  <c r="I46" i="29"/>
  <c r="I47" i="29"/>
  <c r="I48" i="29"/>
  <c r="I49" i="29"/>
  <c r="I50" i="29"/>
  <c r="I51" i="29"/>
  <c r="I52" i="29"/>
  <c r="I53" i="29"/>
  <c r="I54" i="29"/>
  <c r="I55" i="29"/>
  <c r="I56" i="29"/>
  <c r="I57" i="29"/>
  <c r="I58" i="29"/>
  <c r="I59" i="29"/>
  <c r="I60" i="29"/>
  <c r="I61" i="29"/>
  <c r="I62" i="29"/>
  <c r="I63" i="29"/>
  <c r="I64" i="29"/>
  <c r="I65" i="29"/>
  <c r="I66" i="29"/>
  <c r="I67" i="29"/>
  <c r="I68" i="29"/>
  <c r="I69" i="29"/>
  <c r="I70" i="29"/>
  <c r="I71" i="29"/>
  <c r="I72" i="29"/>
  <c r="I73" i="29"/>
  <c r="I74" i="29"/>
  <c r="I75" i="29"/>
  <c r="I76" i="29"/>
  <c r="I77" i="29"/>
  <c r="I78" i="29"/>
  <c r="I79" i="29"/>
  <c r="I80" i="29"/>
  <c r="I81" i="29"/>
  <c r="I82" i="29"/>
  <c r="I83" i="29"/>
  <c r="I84" i="29"/>
  <c r="I85" i="29"/>
  <c r="I86" i="29"/>
  <c r="I87" i="29"/>
  <c r="I88" i="29"/>
  <c r="I89" i="29"/>
  <c r="I90" i="29"/>
  <c r="I91" i="29"/>
  <c r="I92" i="29"/>
  <c r="I93" i="29"/>
  <c r="I94" i="29"/>
  <c r="I95" i="29"/>
  <c r="I96" i="29"/>
  <c r="I97" i="29"/>
  <c r="I98" i="29"/>
  <c r="I99" i="29"/>
  <c r="I100" i="29"/>
  <c r="I101" i="29"/>
  <c r="I102" i="29"/>
  <c r="I103" i="29"/>
  <c r="I104" i="29"/>
  <c r="I105" i="29"/>
  <c r="I106" i="29"/>
  <c r="I107" i="29"/>
  <c r="I108" i="29"/>
  <c r="I109" i="2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I65" i="39"/>
  <c r="I66" i="39"/>
  <c r="I67" i="39"/>
  <c r="I68" i="39"/>
  <c r="I69" i="39"/>
  <c r="I70" i="39"/>
  <c r="I71" i="39"/>
  <c r="I72" i="39"/>
  <c r="I73" i="39"/>
  <c r="I74" i="39"/>
  <c r="I75" i="39"/>
  <c r="I76" i="39"/>
  <c r="I77" i="39"/>
  <c r="I78" i="39"/>
  <c r="I79" i="39"/>
  <c r="I80" i="39"/>
  <c r="I81" i="39"/>
  <c r="I82" i="39"/>
  <c r="I83" i="39"/>
  <c r="I84" i="39"/>
  <c r="I85" i="39"/>
  <c r="I86" i="39"/>
  <c r="I87" i="39"/>
  <c r="I88" i="39"/>
  <c r="I89" i="39"/>
  <c r="I90" i="39"/>
  <c r="I91" i="39"/>
  <c r="I92" i="39"/>
  <c r="I93" i="39"/>
  <c r="I94" i="39"/>
  <c r="I95" i="39"/>
  <c r="I96" i="39"/>
  <c r="I97" i="39"/>
  <c r="I98" i="39"/>
  <c r="I99" i="39"/>
  <c r="I100" i="39"/>
  <c r="I101" i="39"/>
  <c r="I102" i="39"/>
  <c r="I103" i="39"/>
  <c r="I104" i="39"/>
  <c r="I105" i="39"/>
  <c r="I106" i="39"/>
  <c r="I107" i="39"/>
  <c r="I108" i="39"/>
  <c r="I109" i="39"/>
  <c r="I5" i="40"/>
  <c r="I6" i="40"/>
  <c r="I7" i="40"/>
  <c r="I8" i="40"/>
  <c r="I9" i="40"/>
  <c r="I10" i="40"/>
  <c r="I11" i="40"/>
  <c r="I12" i="40"/>
  <c r="I13" i="40"/>
  <c r="I14" i="40"/>
  <c r="I15" i="40"/>
  <c r="I16" i="40"/>
  <c r="I17" i="40"/>
  <c r="I18" i="40"/>
  <c r="I19" i="40"/>
  <c r="I20" i="40"/>
  <c r="I21" i="40"/>
  <c r="I22" i="40"/>
  <c r="I23" i="40"/>
  <c r="I24" i="40"/>
  <c r="I25" i="40"/>
  <c r="I26" i="40"/>
  <c r="I27" i="40"/>
  <c r="I28" i="40"/>
  <c r="I29" i="40"/>
  <c r="I30" i="40"/>
  <c r="I31" i="40"/>
  <c r="I32" i="40"/>
  <c r="I33" i="40"/>
  <c r="I34" i="40"/>
  <c r="I35" i="40"/>
  <c r="I36" i="40"/>
  <c r="I37" i="40"/>
  <c r="I38" i="40"/>
  <c r="I39" i="40"/>
  <c r="I40" i="40"/>
  <c r="I41" i="40"/>
  <c r="I42" i="40"/>
  <c r="I43" i="40"/>
  <c r="I44" i="40"/>
  <c r="I45" i="40"/>
  <c r="I46" i="40"/>
  <c r="I47" i="40"/>
  <c r="I48" i="40"/>
  <c r="I49" i="40"/>
  <c r="I50" i="40"/>
  <c r="I51" i="40"/>
  <c r="I52" i="40"/>
  <c r="I53" i="40"/>
  <c r="I54" i="40"/>
  <c r="I55" i="40"/>
  <c r="I56" i="40"/>
  <c r="I57" i="40"/>
  <c r="I58" i="40"/>
  <c r="I59" i="40"/>
  <c r="I60" i="40"/>
  <c r="I61" i="40"/>
  <c r="I62" i="40"/>
  <c r="I63" i="40"/>
  <c r="I64" i="40"/>
  <c r="I65" i="40"/>
  <c r="I66" i="40"/>
  <c r="I67" i="40"/>
  <c r="I68" i="40"/>
  <c r="I69" i="40"/>
  <c r="I70" i="40"/>
  <c r="I71" i="40"/>
  <c r="I72" i="40"/>
  <c r="I73" i="40"/>
  <c r="I74" i="40"/>
  <c r="I75" i="40"/>
  <c r="I76" i="40"/>
  <c r="I77" i="40"/>
  <c r="I78" i="40"/>
  <c r="I79" i="40"/>
  <c r="I80" i="40"/>
  <c r="I81" i="40"/>
  <c r="I82" i="40"/>
  <c r="I83" i="40"/>
  <c r="I84" i="40"/>
  <c r="I85" i="40"/>
  <c r="I86" i="40"/>
  <c r="I87" i="40"/>
  <c r="I88" i="40"/>
  <c r="I89" i="40"/>
  <c r="I90" i="40"/>
  <c r="I91" i="40"/>
  <c r="I92" i="40"/>
  <c r="I93" i="40"/>
  <c r="I94" i="40"/>
  <c r="I95" i="40"/>
  <c r="I96" i="40"/>
  <c r="I97" i="40"/>
  <c r="I98" i="40"/>
  <c r="I99" i="40"/>
  <c r="I100" i="40"/>
  <c r="I101" i="40"/>
  <c r="I102" i="40"/>
  <c r="I103" i="40"/>
  <c r="I104" i="40"/>
  <c r="I105" i="40"/>
  <c r="I106" i="40"/>
  <c r="I107" i="40"/>
  <c r="I108" i="40"/>
  <c r="I109" i="40"/>
  <c r="I5" i="41"/>
  <c r="I6" i="41"/>
  <c r="I7" i="41"/>
  <c r="I8" i="41"/>
  <c r="I9" i="41"/>
  <c r="I10" i="41"/>
  <c r="I11" i="41"/>
  <c r="I12" i="41"/>
  <c r="I13" i="41"/>
  <c r="I14" i="41"/>
  <c r="I15" i="41"/>
  <c r="I16" i="41"/>
  <c r="I17" i="41"/>
  <c r="I18" i="41"/>
  <c r="I19" i="41"/>
  <c r="I20" i="41"/>
  <c r="I21" i="41"/>
  <c r="I22" i="41"/>
  <c r="I23" i="41"/>
  <c r="I24" i="41"/>
  <c r="I25" i="41"/>
  <c r="I26" i="41"/>
  <c r="I27" i="41"/>
  <c r="I28" i="41"/>
  <c r="I29" i="41"/>
  <c r="I30" i="41"/>
  <c r="I31" i="41"/>
  <c r="I32" i="41"/>
  <c r="I33" i="41"/>
  <c r="I34" i="41"/>
  <c r="I35" i="41"/>
  <c r="I36" i="41"/>
  <c r="I37" i="41"/>
  <c r="I38" i="41"/>
  <c r="I39" i="41"/>
  <c r="I40" i="41"/>
  <c r="I41" i="41"/>
  <c r="I42" i="41"/>
  <c r="I43" i="41"/>
  <c r="I44" i="41"/>
  <c r="I45" i="41"/>
  <c r="I46" i="41"/>
  <c r="I47" i="41"/>
  <c r="I48" i="41"/>
  <c r="I49" i="41"/>
  <c r="I50" i="41"/>
  <c r="I51" i="41"/>
  <c r="I52" i="41"/>
  <c r="I53" i="41"/>
  <c r="I54" i="41"/>
  <c r="I55" i="41"/>
  <c r="I56" i="41"/>
  <c r="I57" i="41"/>
  <c r="I58" i="41"/>
  <c r="I59" i="41"/>
  <c r="I60" i="41"/>
  <c r="I61" i="41"/>
  <c r="I62" i="41"/>
  <c r="I63" i="41"/>
  <c r="I64" i="41"/>
  <c r="I65" i="41"/>
  <c r="I66" i="41"/>
  <c r="I67" i="41"/>
  <c r="I68" i="41"/>
  <c r="I69" i="41"/>
  <c r="I70" i="41"/>
  <c r="I71" i="41"/>
  <c r="I72" i="41"/>
  <c r="I73" i="41"/>
  <c r="I74" i="41"/>
  <c r="I75" i="41"/>
  <c r="I76" i="41"/>
  <c r="I77" i="41"/>
  <c r="I78" i="41"/>
  <c r="I79" i="41"/>
  <c r="I80" i="41"/>
  <c r="I81" i="41"/>
  <c r="I82" i="41"/>
  <c r="I83" i="41"/>
  <c r="I84" i="41"/>
  <c r="I85" i="41"/>
  <c r="I86" i="41"/>
  <c r="I87" i="41"/>
  <c r="I88" i="41"/>
  <c r="I89" i="41"/>
  <c r="I90" i="41"/>
  <c r="I91" i="41"/>
  <c r="I92" i="41"/>
  <c r="I93" i="41"/>
  <c r="I94" i="41"/>
  <c r="I95" i="41"/>
  <c r="I96" i="41"/>
  <c r="I97" i="41"/>
  <c r="I98" i="41"/>
  <c r="I99" i="41"/>
  <c r="I100" i="41"/>
  <c r="I101" i="41"/>
  <c r="I102" i="41"/>
  <c r="I103" i="41"/>
  <c r="I104" i="41"/>
  <c r="I105" i="41"/>
  <c r="I106" i="41"/>
  <c r="I107" i="41"/>
  <c r="I108" i="41"/>
  <c r="I109" i="41"/>
  <c r="I5" i="42"/>
  <c r="I6" i="42"/>
  <c r="I7" i="42"/>
  <c r="I8" i="42"/>
  <c r="I9" i="42"/>
  <c r="I10" i="42"/>
  <c r="I11" i="42"/>
  <c r="I12" i="42"/>
  <c r="I13" i="42"/>
  <c r="I14" i="42"/>
  <c r="I15" i="42"/>
  <c r="I16" i="42"/>
  <c r="I17" i="42"/>
  <c r="I18" i="42"/>
  <c r="I19" i="42"/>
  <c r="I20" i="42"/>
  <c r="I21" i="42"/>
  <c r="I22" i="42"/>
  <c r="I23" i="42"/>
  <c r="I24" i="42"/>
  <c r="I25" i="42"/>
  <c r="I26" i="42"/>
  <c r="I27" i="42"/>
  <c r="I28" i="42"/>
  <c r="I29" i="42"/>
  <c r="I30" i="42"/>
  <c r="I31" i="42"/>
  <c r="I32" i="42"/>
  <c r="I33" i="42"/>
  <c r="I34" i="42"/>
  <c r="I35" i="42"/>
  <c r="I36" i="42"/>
  <c r="I37" i="42"/>
  <c r="I38" i="42"/>
  <c r="I39" i="42"/>
  <c r="I40" i="42"/>
  <c r="I41" i="42"/>
  <c r="I42" i="42"/>
  <c r="I43" i="42"/>
  <c r="I44" i="42"/>
  <c r="I45" i="42"/>
  <c r="I46" i="42"/>
  <c r="I47" i="42"/>
  <c r="I48" i="42"/>
  <c r="I49" i="42"/>
  <c r="I50" i="42"/>
  <c r="I51" i="42"/>
  <c r="I52" i="42"/>
  <c r="I53" i="42"/>
  <c r="I54" i="42"/>
  <c r="I55" i="42"/>
  <c r="I56" i="42"/>
  <c r="I57" i="42"/>
  <c r="I58" i="42"/>
  <c r="I59" i="42"/>
  <c r="I60" i="42"/>
  <c r="I61" i="42"/>
  <c r="I62" i="42"/>
  <c r="I63" i="42"/>
  <c r="I64" i="42"/>
  <c r="I65" i="42"/>
  <c r="I66" i="42"/>
  <c r="I67" i="42"/>
  <c r="I68" i="42"/>
  <c r="I69" i="42"/>
  <c r="I70" i="42"/>
  <c r="I71" i="42"/>
  <c r="I72" i="42"/>
  <c r="I73" i="42"/>
  <c r="I74" i="42"/>
  <c r="I75" i="42"/>
  <c r="I76" i="42"/>
  <c r="I77" i="42"/>
  <c r="I78" i="42"/>
  <c r="I79" i="42"/>
  <c r="I80" i="42"/>
  <c r="I81" i="42"/>
  <c r="I82" i="42"/>
  <c r="I83" i="42"/>
  <c r="I84" i="42"/>
  <c r="I85" i="42"/>
  <c r="I86" i="42"/>
  <c r="I87" i="42"/>
  <c r="I88" i="42"/>
  <c r="I89" i="42"/>
  <c r="I90" i="42"/>
  <c r="I91" i="42"/>
  <c r="I92" i="42"/>
  <c r="I93" i="42"/>
  <c r="I94" i="42"/>
  <c r="I95" i="42"/>
  <c r="I96" i="42"/>
  <c r="I97" i="42"/>
  <c r="I98" i="42"/>
  <c r="I99" i="42"/>
  <c r="I100" i="42"/>
  <c r="I101" i="42"/>
  <c r="I102" i="42"/>
  <c r="I103" i="42"/>
  <c r="I104" i="42"/>
  <c r="I105" i="42"/>
  <c r="I106" i="42"/>
  <c r="I107" i="42"/>
  <c r="I108" i="42"/>
  <c r="I109" i="42"/>
  <c r="I5" i="43"/>
  <c r="I6" i="43"/>
  <c r="I7" i="43"/>
  <c r="I8" i="43"/>
  <c r="I9" i="43"/>
  <c r="I10" i="43"/>
  <c r="I11" i="43"/>
  <c r="I12" i="43"/>
  <c r="I13" i="43"/>
  <c r="I14" i="43"/>
  <c r="I15" i="43"/>
  <c r="I16" i="43"/>
  <c r="I17" i="43"/>
  <c r="I18" i="43"/>
  <c r="I19" i="43"/>
  <c r="I20" i="43"/>
  <c r="I21" i="43"/>
  <c r="I22" i="43"/>
  <c r="I23" i="43"/>
  <c r="I24" i="43"/>
  <c r="I25" i="43"/>
  <c r="I26" i="43"/>
  <c r="I27" i="43"/>
  <c r="I28" i="43"/>
  <c r="I29" i="43"/>
  <c r="I30" i="43"/>
  <c r="I31" i="43"/>
  <c r="I32" i="43"/>
  <c r="I33" i="43"/>
  <c r="I34" i="43"/>
  <c r="I35" i="43"/>
  <c r="I36" i="43"/>
  <c r="I37" i="43"/>
  <c r="I38" i="43"/>
  <c r="I39" i="43"/>
  <c r="I40" i="43"/>
  <c r="I41" i="43"/>
  <c r="I42" i="43"/>
  <c r="I43" i="43"/>
  <c r="I44" i="43"/>
  <c r="I45" i="43"/>
  <c r="I46" i="43"/>
  <c r="I47" i="43"/>
  <c r="I48" i="43"/>
  <c r="I49" i="43"/>
  <c r="I50" i="43"/>
  <c r="I51" i="43"/>
  <c r="I52" i="43"/>
  <c r="I53" i="43"/>
  <c r="I54" i="43"/>
  <c r="I55" i="43"/>
  <c r="I56" i="43"/>
  <c r="I57" i="43"/>
  <c r="I58" i="43"/>
  <c r="I59" i="43"/>
  <c r="I60" i="43"/>
  <c r="I61" i="43"/>
  <c r="I62" i="43"/>
  <c r="I63" i="43"/>
  <c r="I64" i="43"/>
  <c r="I65" i="43"/>
  <c r="I66" i="43"/>
  <c r="I67" i="43"/>
  <c r="I68" i="43"/>
  <c r="I69" i="43"/>
  <c r="I70" i="43"/>
  <c r="I71" i="43"/>
  <c r="I72" i="43"/>
  <c r="I73" i="43"/>
  <c r="I74" i="43"/>
  <c r="I75" i="43"/>
  <c r="I76" i="43"/>
  <c r="I77" i="43"/>
  <c r="I78" i="43"/>
  <c r="I79" i="43"/>
  <c r="I80" i="43"/>
  <c r="I81" i="43"/>
  <c r="I82" i="43"/>
  <c r="I83" i="43"/>
  <c r="I84" i="43"/>
  <c r="I85" i="43"/>
  <c r="I86" i="43"/>
  <c r="I87" i="43"/>
  <c r="I88" i="43"/>
  <c r="I89" i="43"/>
  <c r="I90" i="43"/>
  <c r="I91" i="43"/>
  <c r="I92" i="43"/>
  <c r="I93" i="43"/>
  <c r="I94" i="43"/>
  <c r="I95" i="43"/>
  <c r="I96" i="43"/>
  <c r="I97" i="43"/>
  <c r="I98" i="43"/>
  <c r="I99" i="43"/>
  <c r="I100" i="43"/>
  <c r="I101" i="43"/>
  <c r="I102" i="43"/>
  <c r="I103" i="43"/>
  <c r="I104" i="43"/>
  <c r="I105" i="43"/>
  <c r="I106" i="43"/>
  <c r="I107" i="43"/>
  <c r="I108" i="43"/>
  <c r="I109" i="43"/>
  <c r="I5" i="44"/>
  <c r="I6" i="44"/>
  <c r="I7" i="44"/>
  <c r="I8" i="44"/>
  <c r="I9" i="44"/>
  <c r="I10" i="44"/>
  <c r="I11" i="44"/>
  <c r="I12" i="44"/>
  <c r="I13" i="44"/>
  <c r="I14" i="44"/>
  <c r="I15" i="44"/>
  <c r="I16" i="44"/>
  <c r="I17" i="44"/>
  <c r="I18" i="44"/>
  <c r="I19" i="44"/>
  <c r="I20" i="44"/>
  <c r="I21" i="44"/>
  <c r="I22" i="44"/>
  <c r="I23" i="44"/>
  <c r="I24" i="44"/>
  <c r="I25" i="44"/>
  <c r="I26" i="44"/>
  <c r="I27" i="44"/>
  <c r="I28" i="44"/>
  <c r="I29" i="44"/>
  <c r="I30" i="44"/>
  <c r="I31" i="44"/>
  <c r="I32" i="44"/>
  <c r="I33" i="44"/>
  <c r="I34" i="44"/>
  <c r="I35" i="44"/>
  <c r="I36" i="44"/>
  <c r="I37" i="44"/>
  <c r="I38" i="44"/>
  <c r="I39" i="44"/>
  <c r="I40" i="44"/>
  <c r="I41" i="44"/>
  <c r="I42" i="44"/>
  <c r="I43" i="44"/>
  <c r="I44" i="44"/>
  <c r="I45" i="44"/>
  <c r="I46" i="44"/>
  <c r="I47" i="44"/>
  <c r="I48" i="44"/>
  <c r="I49" i="44"/>
  <c r="I50" i="44"/>
  <c r="I51" i="44"/>
  <c r="I52" i="44"/>
  <c r="I53" i="44"/>
  <c r="I54" i="44"/>
  <c r="I55" i="44"/>
  <c r="I56" i="44"/>
  <c r="I57" i="44"/>
  <c r="I58" i="44"/>
  <c r="I59" i="44"/>
  <c r="I60" i="44"/>
  <c r="I61" i="44"/>
  <c r="I62" i="44"/>
  <c r="I63" i="44"/>
  <c r="I64" i="44"/>
  <c r="I65" i="44"/>
  <c r="I66" i="44"/>
  <c r="I67" i="44"/>
  <c r="I68" i="44"/>
  <c r="I69" i="44"/>
  <c r="I70" i="44"/>
  <c r="I71" i="44"/>
  <c r="I72" i="44"/>
  <c r="I73" i="44"/>
  <c r="I74" i="44"/>
  <c r="I75" i="44"/>
  <c r="I76" i="44"/>
  <c r="I77" i="44"/>
  <c r="I78" i="44"/>
  <c r="I79" i="44"/>
  <c r="I80" i="44"/>
  <c r="I81" i="44"/>
  <c r="I82" i="44"/>
  <c r="I83" i="44"/>
  <c r="I84" i="44"/>
  <c r="I85" i="44"/>
  <c r="I86" i="44"/>
  <c r="I87" i="44"/>
  <c r="I88" i="44"/>
  <c r="I89" i="44"/>
  <c r="I90" i="44"/>
  <c r="I91" i="44"/>
  <c r="I92" i="44"/>
  <c r="I93" i="44"/>
  <c r="I94" i="44"/>
  <c r="I95" i="44"/>
  <c r="I96" i="44"/>
  <c r="I97" i="44"/>
  <c r="I98" i="44"/>
  <c r="I99" i="44"/>
  <c r="I100" i="44"/>
  <c r="I101" i="44"/>
  <c r="I102" i="44"/>
  <c r="I103" i="44"/>
  <c r="I104" i="44"/>
  <c r="I105" i="44"/>
  <c r="I106" i="44"/>
  <c r="I107" i="44"/>
  <c r="I108" i="44"/>
  <c r="I109" i="44"/>
  <c r="I5" i="45"/>
  <c r="I6" i="45"/>
  <c r="I7" i="45"/>
  <c r="I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39" i="45"/>
  <c r="I40" i="45"/>
  <c r="I41" i="45"/>
  <c r="I42" i="45"/>
  <c r="I43" i="45"/>
  <c r="I44" i="45"/>
  <c r="I45" i="45"/>
  <c r="I46" i="45"/>
  <c r="I47" i="45"/>
  <c r="I48" i="45"/>
  <c r="I49" i="45"/>
  <c r="I50" i="45"/>
  <c r="I51" i="45"/>
  <c r="I52" i="45"/>
  <c r="I53" i="45"/>
  <c r="I54" i="45"/>
  <c r="I55" i="45"/>
  <c r="I56" i="45"/>
  <c r="I57" i="45"/>
  <c r="I58" i="45"/>
  <c r="I59" i="45"/>
  <c r="I60" i="45"/>
  <c r="I61" i="45"/>
  <c r="I62" i="45"/>
  <c r="I63" i="45"/>
  <c r="I64" i="45"/>
  <c r="I65" i="45"/>
  <c r="I66" i="45"/>
  <c r="I67" i="45"/>
  <c r="I68" i="45"/>
  <c r="I69" i="45"/>
  <c r="I70" i="45"/>
  <c r="I71" i="45"/>
  <c r="I72" i="45"/>
  <c r="I73" i="45"/>
  <c r="I74" i="45"/>
  <c r="I75" i="45"/>
  <c r="I76" i="45"/>
  <c r="I77" i="45"/>
  <c r="I78" i="45"/>
  <c r="I79" i="45"/>
  <c r="I80" i="45"/>
  <c r="I81" i="45"/>
  <c r="I82" i="45"/>
  <c r="I83" i="45"/>
  <c r="I84" i="45"/>
  <c r="I85" i="45"/>
  <c r="I86" i="45"/>
  <c r="I87" i="45"/>
  <c r="I88" i="45"/>
  <c r="I89" i="45"/>
  <c r="I90" i="45"/>
  <c r="I91" i="45"/>
  <c r="I92" i="45"/>
  <c r="I93" i="45"/>
  <c r="I94" i="45"/>
  <c r="I95" i="45"/>
  <c r="I96" i="45"/>
  <c r="I97" i="45"/>
  <c r="I98" i="45"/>
  <c r="I99" i="45"/>
  <c r="I100" i="45"/>
  <c r="I101" i="45"/>
  <c r="I102" i="45"/>
  <c r="I103" i="45"/>
  <c r="I104" i="45"/>
  <c r="I105" i="45"/>
  <c r="I106" i="45"/>
  <c r="I107" i="45"/>
  <c r="I108" i="45"/>
  <c r="I109" i="45"/>
  <c r="I5" i="46"/>
  <c r="I6" i="46"/>
  <c r="I7" i="46"/>
  <c r="I8" i="46"/>
  <c r="I9" i="46"/>
  <c r="I10" i="46"/>
  <c r="I11" i="46"/>
  <c r="I12" i="46"/>
  <c r="I13" i="46"/>
  <c r="I14" i="46"/>
  <c r="I15" i="46"/>
  <c r="I16" i="46"/>
  <c r="I17" i="46"/>
  <c r="I18" i="46"/>
  <c r="I19" i="46"/>
  <c r="I20" i="46"/>
  <c r="I21" i="46"/>
  <c r="I22" i="46"/>
  <c r="I23" i="46"/>
  <c r="I24" i="46"/>
  <c r="I25" i="46"/>
  <c r="I26" i="46"/>
  <c r="I27" i="46"/>
  <c r="I28" i="46"/>
  <c r="I29" i="46"/>
  <c r="I30" i="46"/>
  <c r="I31" i="46"/>
  <c r="I32" i="46"/>
  <c r="I33" i="46"/>
  <c r="I34" i="46"/>
  <c r="I35" i="46"/>
  <c r="I36" i="46"/>
  <c r="I37" i="46"/>
  <c r="I38" i="46"/>
  <c r="I39" i="46"/>
  <c r="I40" i="46"/>
  <c r="I41" i="46"/>
  <c r="I42" i="46"/>
  <c r="I43" i="46"/>
  <c r="I44" i="46"/>
  <c r="I45" i="46"/>
  <c r="I46" i="46"/>
  <c r="I47" i="46"/>
  <c r="I48" i="46"/>
  <c r="I49" i="46"/>
  <c r="I50" i="46"/>
  <c r="I51" i="46"/>
  <c r="I52" i="46"/>
  <c r="I53" i="46"/>
  <c r="I54" i="46"/>
  <c r="I55" i="46"/>
  <c r="I56" i="46"/>
  <c r="I57" i="46"/>
  <c r="I58" i="46"/>
  <c r="I59" i="46"/>
  <c r="I60" i="46"/>
  <c r="I61" i="46"/>
  <c r="I62" i="46"/>
  <c r="I63" i="46"/>
  <c r="I64" i="46"/>
  <c r="I65" i="46"/>
  <c r="I66" i="46"/>
  <c r="I67" i="46"/>
  <c r="I68" i="46"/>
  <c r="I69" i="46"/>
  <c r="I70" i="46"/>
  <c r="I71" i="46"/>
  <c r="I72" i="46"/>
  <c r="I73" i="46"/>
  <c r="I74" i="46"/>
  <c r="I75" i="46"/>
  <c r="I76" i="46"/>
  <c r="I77" i="46"/>
  <c r="I78" i="46"/>
  <c r="I79" i="46"/>
  <c r="I80" i="46"/>
  <c r="I81" i="46"/>
  <c r="I82" i="46"/>
  <c r="I83" i="46"/>
  <c r="I84" i="46"/>
  <c r="I85" i="46"/>
  <c r="I86" i="46"/>
  <c r="I87" i="46"/>
  <c r="I88" i="46"/>
  <c r="I89" i="46"/>
  <c r="I90" i="46"/>
  <c r="I91" i="46"/>
  <c r="I92" i="46"/>
  <c r="I93" i="46"/>
  <c r="I94" i="46"/>
  <c r="I95" i="46"/>
  <c r="I96" i="46"/>
  <c r="I97" i="46"/>
  <c r="I98" i="46"/>
  <c r="I99" i="46"/>
  <c r="I100" i="46"/>
  <c r="I101" i="46"/>
  <c r="I102" i="46"/>
  <c r="I103" i="46"/>
  <c r="I104" i="46"/>
  <c r="I105" i="46"/>
  <c r="I106" i="46"/>
  <c r="I107" i="46"/>
  <c r="I108" i="46"/>
  <c r="I109" i="46"/>
  <c r="I5" i="47"/>
  <c r="I6" i="47"/>
  <c r="I7" i="47"/>
  <c r="I8" i="47"/>
  <c r="I9" i="47"/>
  <c r="I10" i="47"/>
  <c r="I11" i="47"/>
  <c r="I12" i="47"/>
  <c r="I13" i="47"/>
  <c r="I14" i="47"/>
  <c r="I15" i="47"/>
  <c r="I16" i="47"/>
  <c r="I17" i="47"/>
  <c r="I18" i="47"/>
  <c r="I19" i="47"/>
  <c r="I20" i="47"/>
  <c r="I21" i="47"/>
  <c r="I22" i="47"/>
  <c r="I23" i="47"/>
  <c r="I24" i="47"/>
  <c r="I25" i="47"/>
  <c r="I26" i="47"/>
  <c r="I27" i="47"/>
  <c r="I28" i="47"/>
  <c r="I29" i="47"/>
  <c r="I30" i="47"/>
  <c r="I31" i="47"/>
  <c r="I32" i="47"/>
  <c r="I33" i="47"/>
  <c r="I34" i="47"/>
  <c r="I35" i="47"/>
  <c r="I36" i="47"/>
  <c r="I37" i="47"/>
  <c r="I38" i="47"/>
  <c r="I39" i="47"/>
  <c r="I40" i="47"/>
  <c r="I41" i="47"/>
  <c r="I42" i="47"/>
  <c r="I43" i="47"/>
  <c r="I44" i="47"/>
  <c r="I45" i="47"/>
  <c r="I46" i="47"/>
  <c r="I47" i="47"/>
  <c r="I48" i="47"/>
  <c r="I49" i="47"/>
  <c r="I50" i="47"/>
  <c r="I51" i="47"/>
  <c r="I52" i="47"/>
  <c r="I53" i="47"/>
  <c r="I54" i="47"/>
  <c r="I55" i="47"/>
  <c r="I56" i="47"/>
  <c r="I57" i="47"/>
  <c r="I58" i="47"/>
  <c r="I59" i="47"/>
  <c r="I60" i="47"/>
  <c r="I61" i="47"/>
  <c r="I62" i="47"/>
  <c r="I63" i="47"/>
  <c r="I64" i="47"/>
  <c r="I65" i="47"/>
  <c r="I66" i="47"/>
  <c r="I67" i="47"/>
  <c r="I68" i="47"/>
  <c r="I69" i="47"/>
  <c r="I70" i="47"/>
  <c r="I71" i="47"/>
  <c r="I72" i="47"/>
  <c r="I73" i="47"/>
  <c r="I74" i="47"/>
  <c r="I75" i="47"/>
  <c r="I76" i="47"/>
  <c r="I77" i="47"/>
  <c r="I78" i="47"/>
  <c r="I79" i="47"/>
  <c r="I80" i="47"/>
  <c r="I81" i="47"/>
  <c r="I82" i="47"/>
  <c r="I83" i="47"/>
  <c r="I84" i="47"/>
  <c r="I85" i="47"/>
  <c r="I86" i="47"/>
  <c r="I87" i="47"/>
  <c r="I88" i="47"/>
  <c r="I89" i="47"/>
  <c r="I90" i="47"/>
  <c r="I91" i="47"/>
  <c r="I92" i="47"/>
  <c r="I93" i="47"/>
  <c r="I94" i="47"/>
  <c r="I95" i="47"/>
  <c r="I96" i="47"/>
  <c r="I97" i="47"/>
  <c r="I98" i="47"/>
  <c r="I99" i="47"/>
  <c r="I100" i="47"/>
  <c r="I101" i="47"/>
  <c r="I102" i="47"/>
  <c r="I103" i="47"/>
  <c r="I104" i="47"/>
  <c r="I105" i="47"/>
  <c r="I106" i="47"/>
  <c r="I107" i="47"/>
  <c r="I108" i="47"/>
  <c r="I109" i="47"/>
  <c r="I5" i="48"/>
  <c r="I6" i="48"/>
  <c r="I7" i="48"/>
  <c r="I8" i="48"/>
  <c r="I9" i="48"/>
  <c r="I10" i="48"/>
  <c r="I11" i="48"/>
  <c r="I12" i="48"/>
  <c r="I13" i="48"/>
  <c r="I14" i="48"/>
  <c r="I15" i="48"/>
  <c r="I16" i="48"/>
  <c r="I17" i="48"/>
  <c r="I18" i="48"/>
  <c r="I19" i="48"/>
  <c r="I20" i="48"/>
  <c r="I21" i="48"/>
  <c r="I22" i="48"/>
  <c r="I23" i="48"/>
  <c r="I24" i="48"/>
  <c r="I25" i="48"/>
  <c r="I26" i="48"/>
  <c r="I27" i="48"/>
  <c r="I28" i="48"/>
  <c r="I29" i="48"/>
  <c r="I30" i="48"/>
  <c r="I31" i="48"/>
  <c r="I32" i="48"/>
  <c r="I33" i="48"/>
  <c r="I34" i="48"/>
  <c r="I35" i="48"/>
  <c r="I36" i="48"/>
  <c r="I37" i="48"/>
  <c r="I38" i="48"/>
  <c r="I39" i="48"/>
  <c r="I40" i="48"/>
  <c r="I41" i="48"/>
  <c r="I42" i="48"/>
  <c r="I43" i="48"/>
  <c r="I44" i="48"/>
  <c r="I45" i="48"/>
  <c r="I46" i="48"/>
  <c r="I47" i="48"/>
  <c r="I48" i="48"/>
  <c r="I49" i="48"/>
  <c r="I50" i="48"/>
  <c r="I51" i="48"/>
  <c r="I52" i="48"/>
  <c r="I53" i="48"/>
  <c r="I54" i="48"/>
  <c r="I55" i="48"/>
  <c r="I56" i="48"/>
  <c r="I57" i="48"/>
  <c r="I58" i="48"/>
  <c r="I59" i="48"/>
  <c r="I60" i="48"/>
  <c r="I61" i="48"/>
  <c r="I62" i="48"/>
  <c r="I63" i="48"/>
  <c r="I64" i="48"/>
  <c r="I65" i="48"/>
  <c r="I66" i="48"/>
  <c r="I67" i="48"/>
  <c r="I68" i="48"/>
  <c r="I69" i="48"/>
  <c r="I70" i="48"/>
  <c r="I71" i="48"/>
  <c r="I72" i="48"/>
  <c r="I73" i="48"/>
  <c r="I74" i="48"/>
  <c r="I75" i="48"/>
  <c r="I76" i="48"/>
  <c r="I77" i="48"/>
  <c r="I78" i="48"/>
  <c r="I79" i="48"/>
  <c r="I80" i="48"/>
  <c r="I81" i="48"/>
  <c r="I82" i="48"/>
  <c r="I83" i="48"/>
  <c r="I84" i="48"/>
  <c r="I85" i="48"/>
  <c r="I86" i="48"/>
  <c r="I87" i="48"/>
  <c r="I88" i="48"/>
  <c r="I89" i="48"/>
  <c r="I90" i="48"/>
  <c r="I91" i="48"/>
  <c r="I92" i="48"/>
  <c r="I93" i="48"/>
  <c r="I94" i="48"/>
  <c r="I95" i="48"/>
  <c r="I96" i="48"/>
  <c r="I97" i="48"/>
  <c r="I98" i="48"/>
  <c r="I99" i="48"/>
  <c r="I100" i="48"/>
  <c r="I101" i="48"/>
  <c r="I102" i="48"/>
  <c r="I103" i="48"/>
  <c r="I104" i="48"/>
  <c r="I105" i="48"/>
  <c r="I106" i="48"/>
  <c r="I107" i="48"/>
  <c r="I108" i="48"/>
  <c r="I109" i="48"/>
  <c r="I5" i="49"/>
  <c r="I6" i="49"/>
  <c r="I7" i="49"/>
  <c r="I8" i="49"/>
  <c r="I9" i="49"/>
  <c r="I10" i="49"/>
  <c r="I11" i="49"/>
  <c r="I12" i="49"/>
  <c r="I13" i="49"/>
  <c r="I14" i="49"/>
  <c r="I15" i="49"/>
  <c r="I16" i="49"/>
  <c r="I17" i="49"/>
  <c r="I18" i="49"/>
  <c r="I19" i="49"/>
  <c r="I20" i="49"/>
  <c r="I21" i="49"/>
  <c r="I22" i="49"/>
  <c r="I23" i="49"/>
  <c r="I24" i="49"/>
  <c r="I25" i="49"/>
  <c r="I26" i="49"/>
  <c r="I27" i="49"/>
  <c r="I28" i="49"/>
  <c r="I29" i="49"/>
  <c r="I30" i="49"/>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I57" i="49"/>
  <c r="I58" i="49"/>
  <c r="I59" i="49"/>
  <c r="I60" i="49"/>
  <c r="I61" i="49"/>
  <c r="I62" i="49"/>
  <c r="I63" i="49"/>
  <c r="I64" i="49"/>
  <c r="I65" i="49"/>
  <c r="I66" i="49"/>
  <c r="I67" i="49"/>
  <c r="I68" i="49"/>
  <c r="I69" i="49"/>
  <c r="I70" i="49"/>
  <c r="I71" i="49"/>
  <c r="I72" i="49"/>
  <c r="I73" i="49"/>
  <c r="I74" i="49"/>
  <c r="I75" i="49"/>
  <c r="I76" i="49"/>
  <c r="I77" i="49"/>
  <c r="I78" i="49"/>
  <c r="I79" i="49"/>
  <c r="I80" i="49"/>
  <c r="I81" i="49"/>
  <c r="I82" i="49"/>
  <c r="I83" i="49"/>
  <c r="I84" i="49"/>
  <c r="I85" i="49"/>
  <c r="I86" i="49"/>
  <c r="I87" i="49"/>
  <c r="I88" i="49"/>
  <c r="I89" i="49"/>
  <c r="I90" i="49"/>
  <c r="I91" i="49"/>
  <c r="I92" i="49"/>
  <c r="I93" i="49"/>
  <c r="I94" i="49"/>
  <c r="I95" i="49"/>
  <c r="I96" i="49"/>
  <c r="I97" i="49"/>
  <c r="I98" i="49"/>
  <c r="I99" i="49"/>
  <c r="I100" i="49"/>
  <c r="I101" i="49"/>
  <c r="I102" i="49"/>
  <c r="I103" i="49"/>
  <c r="I104" i="49"/>
  <c r="I105" i="49"/>
  <c r="I106" i="49"/>
  <c r="I107" i="49"/>
  <c r="I108" i="49"/>
  <c r="I109" i="49"/>
  <c r="I5" i="50"/>
  <c r="I6" i="50"/>
  <c r="I7" i="50"/>
  <c r="I8" i="50"/>
  <c r="I9" i="50"/>
  <c r="I10" i="50"/>
  <c r="I11" i="50"/>
  <c r="I12" i="50"/>
  <c r="I13" i="50"/>
  <c r="I14" i="50"/>
  <c r="I15" i="50"/>
  <c r="I16" i="50"/>
  <c r="I17" i="50"/>
  <c r="I18" i="50"/>
  <c r="I19" i="50"/>
  <c r="I20" i="50"/>
  <c r="I21" i="50"/>
  <c r="I22" i="50"/>
  <c r="I23" i="50"/>
  <c r="I24" i="50"/>
  <c r="I25" i="50"/>
  <c r="I26" i="50"/>
  <c r="I27" i="50"/>
  <c r="I28" i="50"/>
  <c r="I29" i="50"/>
  <c r="I30" i="50"/>
  <c r="I31" i="50"/>
  <c r="I32" i="50"/>
  <c r="I33" i="50"/>
  <c r="I34" i="50"/>
  <c r="I35" i="50"/>
  <c r="I36" i="50"/>
  <c r="I37" i="50"/>
  <c r="I38" i="50"/>
  <c r="I39" i="50"/>
  <c r="I40" i="50"/>
  <c r="I41" i="50"/>
  <c r="I42" i="50"/>
  <c r="I43" i="50"/>
  <c r="I44" i="50"/>
  <c r="I45" i="50"/>
  <c r="I46" i="50"/>
  <c r="I47" i="50"/>
  <c r="I48" i="50"/>
  <c r="I49" i="50"/>
  <c r="I50" i="50"/>
  <c r="I51" i="50"/>
  <c r="I52" i="50"/>
  <c r="I53" i="50"/>
  <c r="I54" i="50"/>
  <c r="I55" i="50"/>
  <c r="I56" i="50"/>
  <c r="I57" i="50"/>
  <c r="I58" i="50"/>
  <c r="I59" i="50"/>
  <c r="I60" i="50"/>
  <c r="I61" i="50"/>
  <c r="I62" i="50"/>
  <c r="I63" i="50"/>
  <c r="I64" i="50"/>
  <c r="I65" i="50"/>
  <c r="I66" i="50"/>
  <c r="I67" i="50"/>
  <c r="I68" i="50"/>
  <c r="I69" i="50"/>
  <c r="I70" i="50"/>
  <c r="I71" i="50"/>
  <c r="I72" i="50"/>
  <c r="I73" i="50"/>
  <c r="I74" i="50"/>
  <c r="I75" i="50"/>
  <c r="I76" i="50"/>
  <c r="I77" i="50"/>
  <c r="I78" i="50"/>
  <c r="I79" i="50"/>
  <c r="I80" i="50"/>
  <c r="I81" i="50"/>
  <c r="I82" i="50"/>
  <c r="I83" i="50"/>
  <c r="I84" i="50"/>
  <c r="I85" i="50"/>
  <c r="I86" i="50"/>
  <c r="I87" i="50"/>
  <c r="I88" i="50"/>
  <c r="I89" i="50"/>
  <c r="I90" i="50"/>
  <c r="I91" i="50"/>
  <c r="I92" i="50"/>
  <c r="I93" i="50"/>
  <c r="I94" i="50"/>
  <c r="I95" i="50"/>
  <c r="I96" i="50"/>
  <c r="I97" i="50"/>
  <c r="I98" i="50"/>
  <c r="I99" i="50"/>
  <c r="I100" i="50"/>
  <c r="I101" i="50"/>
  <c r="I102" i="50"/>
  <c r="I103" i="50"/>
  <c r="I104" i="50"/>
  <c r="I105" i="50"/>
  <c r="I106" i="50"/>
  <c r="I107" i="50"/>
  <c r="I108" i="50"/>
  <c r="I109" i="50"/>
  <c r="I5" i="51"/>
  <c r="I6" i="51"/>
  <c r="I7" i="51"/>
  <c r="I8" i="51"/>
  <c r="I9" i="51"/>
  <c r="I10" i="51"/>
  <c r="I11" i="51"/>
  <c r="I12" i="51"/>
  <c r="I13" i="51"/>
  <c r="I14" i="51"/>
  <c r="I15" i="51"/>
  <c r="I16" i="51"/>
  <c r="I17" i="51"/>
  <c r="I18" i="51"/>
  <c r="I19" i="51"/>
  <c r="I20" i="51"/>
  <c r="I21" i="51"/>
  <c r="I22" i="51"/>
  <c r="I23" i="51"/>
  <c r="I24" i="51"/>
  <c r="I25" i="51"/>
  <c r="I26" i="51"/>
  <c r="I27" i="51"/>
  <c r="I28" i="51"/>
  <c r="I29" i="51"/>
  <c r="I30" i="51"/>
  <c r="I31" i="51"/>
  <c r="I32" i="51"/>
  <c r="I33" i="51"/>
  <c r="I34" i="51"/>
  <c r="I35" i="51"/>
  <c r="I36" i="51"/>
  <c r="I37" i="51"/>
  <c r="I38" i="51"/>
  <c r="I39" i="51"/>
  <c r="I40" i="51"/>
  <c r="I41" i="51"/>
  <c r="I42" i="51"/>
  <c r="I43" i="51"/>
  <c r="I44" i="51"/>
  <c r="I45" i="51"/>
  <c r="I46" i="51"/>
  <c r="I47" i="51"/>
  <c r="I48" i="51"/>
  <c r="I49" i="51"/>
  <c r="I50" i="51"/>
  <c r="I51" i="51"/>
  <c r="I52" i="51"/>
  <c r="I53" i="51"/>
  <c r="I54" i="51"/>
  <c r="I55" i="51"/>
  <c r="I56" i="51"/>
  <c r="I57" i="51"/>
  <c r="I58" i="51"/>
  <c r="I59" i="51"/>
  <c r="I60" i="51"/>
  <c r="I61" i="51"/>
  <c r="I62" i="51"/>
  <c r="I63" i="51"/>
  <c r="I64" i="51"/>
  <c r="I65" i="51"/>
  <c r="I66" i="51"/>
  <c r="I67" i="51"/>
  <c r="I68" i="51"/>
  <c r="I69" i="51"/>
  <c r="I70" i="51"/>
  <c r="I71" i="51"/>
  <c r="I72" i="51"/>
  <c r="I73" i="51"/>
  <c r="I74" i="51"/>
  <c r="I75" i="51"/>
  <c r="I76" i="51"/>
  <c r="I77" i="51"/>
  <c r="I78" i="51"/>
  <c r="I79" i="51"/>
  <c r="I80" i="51"/>
  <c r="I81" i="51"/>
  <c r="I82" i="51"/>
  <c r="I83" i="51"/>
  <c r="I84" i="51"/>
  <c r="I85" i="51"/>
  <c r="I86" i="51"/>
  <c r="I87" i="51"/>
  <c r="I88" i="51"/>
  <c r="I89" i="51"/>
  <c r="I90" i="51"/>
  <c r="I91" i="51"/>
  <c r="I92" i="51"/>
  <c r="I93" i="51"/>
  <c r="I94" i="51"/>
  <c r="I95" i="51"/>
  <c r="I96" i="51"/>
  <c r="I97" i="51"/>
  <c r="I98" i="51"/>
  <c r="I99" i="51"/>
  <c r="I100" i="51"/>
  <c r="I101" i="51"/>
  <c r="I102" i="51"/>
  <c r="I103" i="51"/>
  <c r="I104" i="51"/>
  <c r="I105" i="51"/>
  <c r="I106" i="51"/>
  <c r="I107" i="51"/>
  <c r="I108" i="51"/>
  <c r="I109" i="51"/>
  <c r="I5" i="54"/>
  <c r="I6" i="54"/>
  <c r="I7" i="54"/>
  <c r="I8" i="54"/>
  <c r="I9" i="54"/>
  <c r="I10" i="54"/>
  <c r="I11" i="54"/>
  <c r="I12" i="54"/>
  <c r="I13" i="54"/>
  <c r="I14" i="54"/>
  <c r="I15" i="54"/>
  <c r="I16" i="54"/>
  <c r="I17" i="54"/>
  <c r="I18" i="54"/>
  <c r="I19" i="54"/>
  <c r="I20" i="54"/>
  <c r="I21" i="54"/>
  <c r="I22" i="54"/>
  <c r="I23" i="54"/>
  <c r="I24" i="54"/>
  <c r="I25" i="54"/>
  <c r="I26" i="54"/>
  <c r="I27" i="54"/>
  <c r="I28" i="54"/>
  <c r="I29" i="54"/>
  <c r="I30" i="54"/>
  <c r="I31" i="54"/>
  <c r="I32" i="54"/>
  <c r="I33" i="54"/>
  <c r="I34" i="54"/>
  <c r="I35" i="54"/>
  <c r="I36" i="54"/>
  <c r="I37" i="54"/>
  <c r="I38" i="54"/>
  <c r="I39" i="54"/>
  <c r="I40" i="54"/>
  <c r="I41" i="54"/>
  <c r="I42" i="54"/>
  <c r="I43" i="54"/>
  <c r="I44" i="54"/>
  <c r="I45" i="54"/>
  <c r="I46" i="54"/>
  <c r="I47" i="54"/>
  <c r="I48" i="54"/>
  <c r="I49" i="54"/>
  <c r="I50" i="54"/>
  <c r="I51" i="54"/>
  <c r="I52" i="54"/>
  <c r="I53" i="54"/>
  <c r="I54" i="54"/>
  <c r="I55" i="54"/>
  <c r="I56" i="54"/>
  <c r="I57" i="54"/>
  <c r="I58" i="54"/>
  <c r="I59" i="54"/>
  <c r="I60" i="54"/>
  <c r="I61" i="54"/>
  <c r="I62" i="54"/>
  <c r="I63" i="54"/>
  <c r="I64" i="54"/>
  <c r="I65" i="54"/>
  <c r="I66" i="54"/>
  <c r="I67" i="54"/>
  <c r="I68" i="54"/>
  <c r="I69" i="54"/>
  <c r="I70" i="54"/>
  <c r="I71" i="54"/>
  <c r="I72" i="54"/>
  <c r="I73" i="54"/>
  <c r="I74" i="54"/>
  <c r="I75" i="54"/>
  <c r="I76" i="54"/>
  <c r="I77" i="54"/>
  <c r="I78" i="54"/>
  <c r="I79" i="54"/>
  <c r="I80" i="54"/>
  <c r="I81" i="54"/>
  <c r="I82" i="54"/>
  <c r="I83" i="54"/>
  <c r="I84" i="54"/>
  <c r="I85" i="54"/>
  <c r="I86" i="54"/>
  <c r="I87" i="54"/>
  <c r="I88" i="54"/>
  <c r="I89" i="54"/>
  <c r="I90" i="54"/>
  <c r="I91" i="54"/>
  <c r="I92" i="54"/>
  <c r="I93" i="54"/>
  <c r="I94" i="54"/>
  <c r="I95" i="54"/>
  <c r="I96" i="54"/>
  <c r="I97" i="54"/>
  <c r="I98" i="54"/>
  <c r="I99" i="54"/>
  <c r="I100" i="54"/>
  <c r="I101" i="54"/>
  <c r="I102" i="54"/>
  <c r="I103" i="54"/>
  <c r="I104" i="54"/>
  <c r="I105" i="54"/>
  <c r="I106" i="54"/>
  <c r="I107" i="54"/>
  <c r="I108" i="54"/>
  <c r="I109" i="54"/>
  <c r="I5" i="55"/>
  <c r="I6" i="55"/>
  <c r="I7" i="55"/>
  <c r="I8" i="55"/>
  <c r="I9" i="55"/>
  <c r="I10" i="55"/>
  <c r="I11" i="55"/>
  <c r="I12" i="55"/>
  <c r="I13" i="55"/>
  <c r="I14" i="55"/>
  <c r="I15" i="55"/>
  <c r="I16" i="55"/>
  <c r="I17" i="55"/>
  <c r="I18" i="55"/>
  <c r="I19" i="55"/>
  <c r="I20" i="55"/>
  <c r="I21" i="55"/>
  <c r="I22" i="55"/>
  <c r="I23" i="55"/>
  <c r="I24" i="55"/>
  <c r="I25" i="55"/>
  <c r="I26" i="55"/>
  <c r="I27" i="55"/>
  <c r="I28" i="55"/>
  <c r="I29" i="55"/>
  <c r="I30" i="55"/>
  <c r="I31" i="55"/>
  <c r="I32" i="55"/>
  <c r="I33" i="55"/>
  <c r="I34" i="55"/>
  <c r="I35" i="55"/>
  <c r="I36" i="55"/>
  <c r="I37" i="55"/>
  <c r="I38" i="55"/>
  <c r="I39" i="55"/>
  <c r="I40" i="55"/>
  <c r="I41" i="55"/>
  <c r="I42" i="55"/>
  <c r="I43" i="55"/>
  <c r="I44" i="55"/>
  <c r="I45" i="55"/>
  <c r="I46" i="55"/>
  <c r="I47" i="55"/>
  <c r="I48" i="55"/>
  <c r="I49" i="55"/>
  <c r="I50" i="55"/>
  <c r="I51" i="55"/>
  <c r="I52" i="55"/>
  <c r="I53" i="55"/>
  <c r="I54" i="55"/>
  <c r="I55" i="55"/>
  <c r="I56" i="55"/>
  <c r="I57" i="55"/>
  <c r="I58" i="55"/>
  <c r="I59" i="55"/>
  <c r="I60" i="55"/>
  <c r="I61" i="55"/>
  <c r="I62" i="55"/>
  <c r="I63" i="55"/>
  <c r="I64" i="55"/>
  <c r="I65" i="55"/>
  <c r="I66" i="55"/>
  <c r="I67" i="55"/>
  <c r="I68" i="55"/>
  <c r="I69" i="55"/>
  <c r="I70" i="55"/>
  <c r="I71" i="55"/>
  <c r="I72" i="55"/>
  <c r="I73" i="55"/>
  <c r="I74" i="55"/>
  <c r="I75" i="55"/>
  <c r="I76" i="55"/>
  <c r="I77" i="55"/>
  <c r="I78" i="55"/>
  <c r="I79" i="55"/>
  <c r="I80" i="55"/>
  <c r="I81" i="55"/>
  <c r="I82" i="55"/>
  <c r="I83" i="55"/>
  <c r="I84" i="55"/>
  <c r="I85" i="55"/>
  <c r="I86" i="55"/>
  <c r="I87" i="55"/>
  <c r="I88" i="55"/>
  <c r="I89" i="55"/>
  <c r="I90" i="55"/>
  <c r="I91" i="55"/>
  <c r="I92" i="55"/>
  <c r="I93" i="55"/>
  <c r="I94" i="55"/>
  <c r="I95" i="55"/>
  <c r="I96" i="55"/>
  <c r="I97" i="55"/>
  <c r="I98" i="55"/>
  <c r="I99" i="55"/>
  <c r="I100" i="55"/>
  <c r="I101" i="55"/>
  <c r="I102" i="55"/>
  <c r="I103" i="55"/>
  <c r="I104" i="55"/>
  <c r="I105" i="55"/>
  <c r="I106" i="55"/>
  <c r="I107" i="55"/>
  <c r="I108" i="55"/>
  <c r="I109" i="55"/>
  <c r="I5" i="56"/>
  <c r="I6" i="56"/>
  <c r="I7" i="56"/>
  <c r="I8" i="56"/>
  <c r="I9" i="56"/>
  <c r="I10" i="56"/>
  <c r="I11" i="56"/>
  <c r="I12" i="56"/>
  <c r="I13" i="56"/>
  <c r="I14" i="56"/>
  <c r="I15" i="56"/>
  <c r="I16" i="56"/>
  <c r="I17" i="56"/>
  <c r="I18" i="56"/>
  <c r="I19" i="56"/>
  <c r="I20" i="56"/>
  <c r="I21" i="56"/>
  <c r="I22" i="56"/>
  <c r="I23" i="56"/>
  <c r="I24" i="56"/>
  <c r="I25" i="56"/>
  <c r="I26" i="56"/>
  <c r="I27" i="56"/>
  <c r="I28" i="56"/>
  <c r="I29" i="56"/>
  <c r="I30" i="56"/>
  <c r="I31" i="56"/>
  <c r="I32" i="56"/>
  <c r="I33" i="56"/>
  <c r="I34" i="56"/>
  <c r="I35" i="56"/>
  <c r="I36" i="56"/>
  <c r="I37" i="56"/>
  <c r="I38" i="56"/>
  <c r="I39" i="56"/>
  <c r="I40" i="56"/>
  <c r="I41" i="56"/>
  <c r="I42" i="56"/>
  <c r="I43" i="56"/>
  <c r="I44" i="56"/>
  <c r="I45" i="56"/>
  <c r="I46" i="56"/>
  <c r="I47" i="56"/>
  <c r="I48" i="56"/>
  <c r="I49" i="56"/>
  <c r="I50" i="56"/>
  <c r="I51" i="56"/>
  <c r="I52" i="56"/>
  <c r="I53" i="56"/>
  <c r="I54" i="56"/>
  <c r="I55" i="56"/>
  <c r="I56" i="56"/>
  <c r="I57" i="56"/>
  <c r="I58" i="56"/>
  <c r="I59" i="56"/>
  <c r="I60" i="56"/>
  <c r="I61" i="56"/>
  <c r="I62" i="56"/>
  <c r="I63" i="56"/>
  <c r="I64" i="56"/>
  <c r="I65" i="56"/>
  <c r="I66" i="56"/>
  <c r="I67" i="56"/>
  <c r="I68" i="56"/>
  <c r="I69" i="56"/>
  <c r="I70" i="56"/>
  <c r="I71" i="56"/>
  <c r="I72" i="56"/>
  <c r="I73" i="56"/>
  <c r="I74" i="56"/>
  <c r="I75" i="56"/>
  <c r="I76" i="56"/>
  <c r="I77" i="56"/>
  <c r="I78" i="56"/>
  <c r="I79" i="56"/>
  <c r="I80" i="56"/>
  <c r="I81" i="56"/>
  <c r="I82" i="56"/>
  <c r="I83" i="56"/>
  <c r="I84" i="56"/>
  <c r="I85" i="56"/>
  <c r="I86" i="56"/>
  <c r="I87" i="56"/>
  <c r="I88" i="56"/>
  <c r="I89" i="56"/>
  <c r="I90" i="56"/>
  <c r="I91" i="56"/>
  <c r="I92" i="56"/>
  <c r="I93" i="56"/>
  <c r="I94" i="56"/>
  <c r="I95" i="56"/>
  <c r="I96" i="56"/>
  <c r="I97" i="56"/>
  <c r="I98" i="56"/>
  <c r="I99" i="56"/>
  <c r="I100" i="56"/>
  <c r="I101" i="56"/>
  <c r="I102" i="56"/>
  <c r="I103" i="56"/>
  <c r="I104" i="56"/>
  <c r="I105" i="56"/>
  <c r="I106" i="56"/>
  <c r="I107" i="56"/>
  <c r="I108" i="56"/>
  <c r="I109" i="56"/>
  <c r="I5" i="57"/>
  <c r="I6" i="57"/>
  <c r="I7" i="57"/>
  <c r="I8" i="57"/>
  <c r="I9" i="57"/>
  <c r="I10" i="57"/>
  <c r="I11" i="57"/>
  <c r="I12" i="57"/>
  <c r="I13" i="57"/>
  <c r="I14" i="57"/>
  <c r="I15" i="57"/>
  <c r="I16" i="57"/>
  <c r="I17" i="57"/>
  <c r="I18" i="57"/>
  <c r="I19" i="57"/>
  <c r="I20" i="57"/>
  <c r="I21" i="57"/>
  <c r="I22" i="57"/>
  <c r="I23" i="57"/>
  <c r="I24" i="57"/>
  <c r="I25" i="57"/>
  <c r="I26" i="57"/>
  <c r="I27" i="57"/>
  <c r="I28" i="57"/>
  <c r="I29" i="57"/>
  <c r="I30" i="57"/>
  <c r="I31" i="57"/>
  <c r="I32" i="57"/>
  <c r="I33" i="57"/>
  <c r="I34" i="57"/>
  <c r="I35" i="57"/>
  <c r="I36" i="57"/>
  <c r="I37" i="57"/>
  <c r="I38" i="57"/>
  <c r="I39" i="57"/>
  <c r="I40" i="57"/>
  <c r="I41" i="57"/>
  <c r="I42" i="57"/>
  <c r="I43" i="57"/>
  <c r="I44" i="57"/>
  <c r="I45" i="57"/>
  <c r="I46" i="57"/>
  <c r="I47" i="57"/>
  <c r="I48" i="57"/>
  <c r="I49" i="57"/>
  <c r="I50" i="57"/>
  <c r="I51" i="57"/>
  <c r="I52" i="57"/>
  <c r="I53" i="57"/>
  <c r="I54" i="57"/>
  <c r="I55" i="57"/>
  <c r="I56" i="57"/>
  <c r="I57" i="57"/>
  <c r="I58" i="57"/>
  <c r="I59" i="57"/>
  <c r="I60" i="57"/>
  <c r="I61" i="57"/>
  <c r="I62" i="57"/>
  <c r="I63" i="57"/>
  <c r="I64" i="57"/>
  <c r="I65" i="57"/>
  <c r="I66" i="57"/>
  <c r="I67" i="57"/>
  <c r="I68" i="57"/>
  <c r="I69" i="57"/>
  <c r="I70" i="57"/>
  <c r="I71" i="57"/>
  <c r="I72" i="57"/>
  <c r="I73" i="57"/>
  <c r="I74" i="57"/>
  <c r="I75" i="57"/>
  <c r="I76" i="57"/>
  <c r="I77" i="57"/>
  <c r="I78" i="57"/>
  <c r="I79" i="57"/>
  <c r="I80" i="57"/>
  <c r="I81" i="57"/>
  <c r="I82" i="57"/>
  <c r="I83" i="57"/>
  <c r="I84" i="57"/>
  <c r="I85" i="57"/>
  <c r="I86" i="57"/>
  <c r="I87" i="57"/>
  <c r="I88" i="57"/>
  <c r="I89" i="57"/>
  <c r="I90" i="57"/>
  <c r="I91" i="57"/>
  <c r="I92" i="57"/>
  <c r="I93" i="57"/>
  <c r="I94" i="57"/>
  <c r="I95" i="57"/>
  <c r="I96" i="57"/>
  <c r="I97" i="57"/>
  <c r="I98" i="57"/>
  <c r="I99" i="57"/>
  <c r="I100" i="57"/>
  <c r="I101" i="57"/>
  <c r="I102" i="57"/>
  <c r="I103" i="57"/>
  <c r="I104" i="57"/>
  <c r="I105" i="57"/>
  <c r="I106" i="57"/>
  <c r="I107" i="57"/>
  <c r="I108" i="57"/>
  <c r="I109" i="57"/>
  <c r="I5" i="58"/>
  <c r="I6" i="58"/>
  <c r="I7" i="58"/>
  <c r="I8" i="58"/>
  <c r="I9" i="58"/>
  <c r="I10" i="58"/>
  <c r="I11" i="58"/>
  <c r="I12" i="58"/>
  <c r="I13" i="58"/>
  <c r="I14" i="58"/>
  <c r="I15" i="58"/>
  <c r="I16" i="58"/>
  <c r="I17" i="58"/>
  <c r="I18" i="58"/>
  <c r="I19" i="58"/>
  <c r="I20" i="58"/>
  <c r="I21" i="58"/>
  <c r="I22" i="58"/>
  <c r="I23" i="58"/>
  <c r="I24" i="58"/>
  <c r="I25" i="58"/>
  <c r="I26" i="58"/>
  <c r="I27" i="58"/>
  <c r="I28" i="58"/>
  <c r="I29" i="58"/>
  <c r="I30" i="58"/>
  <c r="I31" i="58"/>
  <c r="I32" i="58"/>
  <c r="I33" i="58"/>
  <c r="I34" i="58"/>
  <c r="I35" i="58"/>
  <c r="I36" i="58"/>
  <c r="I37" i="58"/>
  <c r="I38" i="58"/>
  <c r="I39" i="58"/>
  <c r="I40" i="58"/>
  <c r="I41" i="58"/>
  <c r="I42" i="58"/>
  <c r="I43" i="58"/>
  <c r="I44" i="58"/>
  <c r="I45" i="58"/>
  <c r="I46" i="58"/>
  <c r="I47" i="58"/>
  <c r="I48" i="58"/>
  <c r="I49" i="58"/>
  <c r="I50" i="58"/>
  <c r="I51" i="58"/>
  <c r="I52" i="58"/>
  <c r="I53" i="58"/>
  <c r="I54" i="58"/>
  <c r="I55" i="58"/>
  <c r="I56" i="58"/>
  <c r="I57" i="58"/>
  <c r="I58" i="58"/>
  <c r="I59" i="58"/>
  <c r="I60" i="58"/>
  <c r="I61" i="58"/>
  <c r="I62" i="58"/>
  <c r="I63" i="58"/>
  <c r="I64" i="58"/>
  <c r="I65" i="58"/>
  <c r="I66" i="58"/>
  <c r="I67" i="58"/>
  <c r="I68" i="58"/>
  <c r="I69" i="58"/>
  <c r="I70" i="58"/>
  <c r="I71" i="58"/>
  <c r="I72" i="58"/>
  <c r="I73" i="58"/>
  <c r="I74" i="58"/>
  <c r="I75" i="58"/>
  <c r="I76" i="58"/>
  <c r="I77" i="58"/>
  <c r="I78" i="58"/>
  <c r="I79" i="58"/>
  <c r="I80" i="58"/>
  <c r="I81" i="58"/>
  <c r="I82" i="58"/>
  <c r="I83" i="58"/>
  <c r="I84" i="58"/>
  <c r="I85" i="58"/>
  <c r="I86" i="58"/>
  <c r="I87" i="58"/>
  <c r="I88" i="58"/>
  <c r="I89" i="58"/>
  <c r="I90" i="58"/>
  <c r="I91" i="58"/>
  <c r="I92" i="58"/>
  <c r="I93" i="58"/>
  <c r="I94" i="58"/>
  <c r="I95" i="58"/>
  <c r="I96" i="58"/>
  <c r="I97" i="58"/>
  <c r="I98" i="58"/>
  <c r="I99" i="58"/>
  <c r="I100" i="58"/>
  <c r="I101" i="58"/>
  <c r="I102" i="58"/>
  <c r="I103" i="58"/>
  <c r="I104" i="58"/>
  <c r="I105" i="58"/>
  <c r="I106" i="58"/>
  <c r="I107" i="58"/>
  <c r="I108" i="58"/>
  <c r="I109" i="58"/>
  <c r="I5" i="59"/>
  <c r="I6" i="59"/>
  <c r="I7" i="59"/>
  <c r="I8" i="59"/>
  <c r="I9" i="59"/>
  <c r="I10" i="59"/>
  <c r="I11" i="59"/>
  <c r="I12" i="59"/>
  <c r="I13" i="59"/>
  <c r="I14" i="59"/>
  <c r="I15" i="59"/>
  <c r="I16" i="59"/>
  <c r="I17" i="59"/>
  <c r="I18" i="59"/>
  <c r="I19" i="59"/>
  <c r="I20" i="59"/>
  <c r="I21" i="59"/>
  <c r="I22" i="59"/>
  <c r="I23" i="59"/>
  <c r="I24" i="59"/>
  <c r="I25" i="59"/>
  <c r="I26" i="59"/>
  <c r="I27" i="59"/>
  <c r="I28" i="59"/>
  <c r="I29" i="59"/>
  <c r="I30" i="59"/>
  <c r="I31" i="59"/>
  <c r="I32" i="59"/>
  <c r="I33" i="59"/>
  <c r="I34" i="59"/>
  <c r="I35" i="59"/>
  <c r="I36" i="59"/>
  <c r="I37" i="59"/>
  <c r="I38" i="59"/>
  <c r="I39" i="59"/>
  <c r="I40" i="59"/>
  <c r="I41" i="59"/>
  <c r="I42" i="59"/>
  <c r="I43" i="59"/>
  <c r="I44" i="59"/>
  <c r="I45" i="59"/>
  <c r="I46" i="59"/>
  <c r="I47" i="59"/>
  <c r="I48" i="59"/>
  <c r="I49" i="59"/>
  <c r="I50" i="59"/>
  <c r="I51" i="59"/>
  <c r="I52" i="59"/>
  <c r="I53" i="59"/>
  <c r="I54" i="59"/>
  <c r="I55" i="59"/>
  <c r="I56" i="59"/>
  <c r="I57" i="59"/>
  <c r="I58" i="59"/>
  <c r="I59" i="59"/>
  <c r="I60" i="59"/>
  <c r="I61" i="59"/>
  <c r="I62" i="59"/>
  <c r="I63" i="59"/>
  <c r="I64" i="59"/>
  <c r="I65" i="59"/>
  <c r="I66" i="59"/>
  <c r="I67" i="59"/>
  <c r="I68" i="59"/>
  <c r="I69" i="59"/>
  <c r="I70" i="59"/>
  <c r="I71" i="59"/>
  <c r="I72" i="59"/>
  <c r="I73" i="59"/>
  <c r="I74" i="59"/>
  <c r="I75" i="59"/>
  <c r="I76" i="59"/>
  <c r="I77" i="59"/>
  <c r="I78" i="59"/>
  <c r="I79" i="59"/>
  <c r="I80" i="59"/>
  <c r="I81" i="59"/>
  <c r="I82" i="59"/>
  <c r="I83" i="59"/>
  <c r="I84" i="59"/>
  <c r="I85" i="59"/>
  <c r="I86" i="59"/>
  <c r="I87" i="59"/>
  <c r="I88" i="59"/>
  <c r="I89" i="59"/>
  <c r="I90" i="59"/>
  <c r="I91" i="59"/>
  <c r="I92" i="59"/>
  <c r="I93" i="59"/>
  <c r="I94" i="59"/>
  <c r="I95" i="59"/>
  <c r="I96" i="59"/>
  <c r="I97" i="59"/>
  <c r="I98" i="59"/>
  <c r="I99" i="59"/>
  <c r="I100" i="59"/>
  <c r="I101" i="59"/>
  <c r="I102" i="59"/>
  <c r="I103" i="59"/>
  <c r="I104" i="59"/>
  <c r="I105" i="59"/>
  <c r="I106" i="59"/>
  <c r="I107" i="59"/>
  <c r="I108" i="59"/>
  <c r="I109" i="59"/>
  <c r="I5" i="60"/>
  <c r="I6" i="60"/>
  <c r="I7" i="60"/>
  <c r="I8" i="60"/>
  <c r="I9" i="60"/>
  <c r="I10" i="60"/>
  <c r="I11" i="60"/>
  <c r="I12" i="60"/>
  <c r="I13" i="60"/>
  <c r="I14" i="60"/>
  <c r="I15" i="60"/>
  <c r="I16" i="60"/>
  <c r="I17" i="60"/>
  <c r="I18" i="60"/>
  <c r="I19" i="60"/>
  <c r="I20" i="60"/>
  <c r="I21" i="60"/>
  <c r="I22" i="60"/>
  <c r="I23" i="60"/>
  <c r="I24" i="60"/>
  <c r="I25" i="60"/>
  <c r="I26" i="60"/>
  <c r="I27" i="60"/>
  <c r="I28" i="60"/>
  <c r="I29" i="60"/>
  <c r="I30" i="60"/>
  <c r="I31" i="60"/>
  <c r="I32" i="60"/>
  <c r="I33" i="60"/>
  <c r="I34" i="60"/>
  <c r="I35" i="60"/>
  <c r="I36" i="60"/>
  <c r="I37" i="60"/>
  <c r="I38" i="60"/>
  <c r="I39" i="60"/>
  <c r="I40" i="60"/>
  <c r="I41" i="60"/>
  <c r="I42" i="60"/>
  <c r="I43" i="60"/>
  <c r="I44" i="60"/>
  <c r="I45" i="60"/>
  <c r="I46" i="60"/>
  <c r="I47" i="60"/>
  <c r="I48" i="60"/>
  <c r="I49" i="60"/>
  <c r="I50" i="60"/>
  <c r="I51" i="60"/>
  <c r="I52" i="60"/>
  <c r="I53" i="60"/>
  <c r="I54" i="60"/>
  <c r="I55" i="60"/>
  <c r="I56" i="60"/>
  <c r="I57" i="60"/>
  <c r="I58" i="60"/>
  <c r="I59" i="60"/>
  <c r="I60" i="60"/>
  <c r="I61" i="60"/>
  <c r="I62" i="60"/>
  <c r="I63" i="60"/>
  <c r="I64" i="60"/>
  <c r="I65" i="60"/>
  <c r="I66" i="60"/>
  <c r="I67" i="60"/>
  <c r="I68" i="60"/>
  <c r="I69" i="60"/>
  <c r="I70" i="60"/>
  <c r="I71" i="60"/>
  <c r="I72" i="60"/>
  <c r="I73" i="60"/>
  <c r="I74" i="60"/>
  <c r="I75" i="60"/>
  <c r="I76" i="60"/>
  <c r="I77" i="60"/>
  <c r="I78" i="60"/>
  <c r="I79" i="60"/>
  <c r="I80" i="60"/>
  <c r="I81" i="60"/>
  <c r="I82" i="60"/>
  <c r="I83" i="60"/>
  <c r="I84" i="60"/>
  <c r="I85" i="60"/>
  <c r="I86" i="60"/>
  <c r="I87" i="60"/>
  <c r="I88" i="60"/>
  <c r="I89" i="60"/>
  <c r="I90" i="60"/>
  <c r="I91" i="60"/>
  <c r="I92" i="60"/>
  <c r="I93" i="60"/>
  <c r="I94" i="60"/>
  <c r="I95" i="60"/>
  <c r="I96" i="60"/>
  <c r="I97" i="60"/>
  <c r="I98" i="60"/>
  <c r="I99" i="60"/>
  <c r="I100" i="60"/>
  <c r="I101" i="60"/>
  <c r="I102" i="60"/>
  <c r="I103" i="60"/>
  <c r="I104" i="60"/>
  <c r="I105" i="60"/>
  <c r="I106" i="60"/>
  <c r="I107" i="60"/>
  <c r="I108" i="60"/>
  <c r="I109" i="60"/>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4" i="12"/>
  <c r="I4" i="14"/>
  <c r="I4" i="15"/>
  <c r="I4" i="16"/>
  <c r="I4" i="13"/>
  <c r="I4" i="17"/>
  <c r="I4" i="18"/>
  <c r="I4" i="19"/>
  <c r="I4" i="20"/>
  <c r="I4" i="21"/>
  <c r="I4" i="22"/>
  <c r="I4" i="23"/>
  <c r="I4" i="24"/>
  <c r="I4" i="25"/>
  <c r="I4" i="26"/>
  <c r="I4" i="27"/>
  <c r="I4" i="28"/>
  <c r="I4" i="29"/>
  <c r="I4" i="39"/>
  <c r="I4" i="40"/>
  <c r="I4" i="41"/>
  <c r="I4" i="42"/>
  <c r="I4" i="43"/>
  <c r="I4" i="44"/>
  <c r="I4" i="45"/>
  <c r="I4" i="46"/>
  <c r="I4" i="47"/>
  <c r="I4" i="48"/>
  <c r="I4" i="49"/>
  <c r="I4" i="50"/>
  <c r="I4" i="51"/>
  <c r="I4" i="54"/>
  <c r="I4" i="55"/>
  <c r="I4" i="56"/>
  <c r="I4" i="57"/>
  <c r="I4" i="58"/>
  <c r="I4" i="59"/>
  <c r="I4" i="60"/>
  <c r="I4" i="11"/>
  <c r="I3" i="12"/>
  <c r="I3" i="14"/>
  <c r="I3" i="15"/>
  <c r="I3" i="16"/>
  <c r="I3" i="13"/>
  <c r="I3" i="17"/>
  <c r="I3" i="18"/>
  <c r="I3" i="19"/>
  <c r="I3" i="20"/>
  <c r="I3" i="21"/>
  <c r="I3" i="22"/>
  <c r="I3" i="23"/>
  <c r="I3" i="24"/>
  <c r="I3" i="25"/>
  <c r="I3" i="26"/>
  <c r="I3" i="27"/>
  <c r="I3" i="28"/>
  <c r="I3" i="29"/>
  <c r="I3" i="39"/>
  <c r="I3" i="40"/>
  <c r="I3" i="41"/>
  <c r="I3" i="42"/>
  <c r="I3" i="43"/>
  <c r="I3" i="44"/>
  <c r="I3" i="45"/>
  <c r="I3" i="46"/>
  <c r="I3" i="47"/>
  <c r="I3" i="48"/>
  <c r="I3" i="49"/>
  <c r="I3" i="50"/>
  <c r="I3" i="51"/>
  <c r="I3" i="54"/>
  <c r="I3" i="55"/>
  <c r="I3" i="56"/>
  <c r="I3" i="57"/>
  <c r="I3" i="58"/>
  <c r="I3" i="59"/>
  <c r="I3" i="60"/>
  <c r="I3" i="11"/>
  <c r="I5" i="35"/>
  <c r="I6" i="35"/>
  <c r="I7" i="35"/>
  <c r="I8" i="35"/>
  <c r="I9" i="35"/>
  <c r="I10" i="35"/>
  <c r="I11" i="35"/>
  <c r="I12" i="35"/>
  <c r="I13" i="35"/>
  <c r="I14" i="35"/>
  <c r="I15" i="35"/>
  <c r="I16" i="35"/>
  <c r="I17" i="35"/>
  <c r="I18" i="35"/>
  <c r="I19" i="35"/>
  <c r="I20" i="35"/>
  <c r="I21" i="35"/>
  <c r="I22" i="35"/>
  <c r="I23" i="35"/>
  <c r="I24" i="35"/>
  <c r="I25" i="35"/>
  <c r="I26" i="35"/>
  <c r="I27" i="35"/>
  <c r="I28" i="35"/>
  <c r="I29" i="35"/>
  <c r="I30" i="35"/>
  <c r="I31" i="35"/>
  <c r="I32" i="35"/>
  <c r="I33" i="35"/>
  <c r="I34" i="35"/>
  <c r="I35" i="35"/>
  <c r="I36" i="35"/>
  <c r="I37" i="35"/>
  <c r="I38" i="35"/>
  <c r="I39" i="35"/>
  <c r="I40" i="35"/>
  <c r="I41" i="35"/>
  <c r="I42" i="35"/>
  <c r="I43" i="35"/>
  <c r="I44" i="35"/>
  <c r="I45" i="35"/>
  <c r="I46" i="35"/>
  <c r="I47" i="35"/>
  <c r="I48" i="35"/>
  <c r="I49" i="35"/>
  <c r="I50" i="35"/>
  <c r="I51" i="35"/>
  <c r="I52" i="35"/>
  <c r="I53" i="35"/>
  <c r="I54" i="35"/>
  <c r="I55" i="35"/>
  <c r="I56" i="35"/>
  <c r="I57" i="35"/>
  <c r="I58" i="35"/>
  <c r="I59" i="35"/>
  <c r="I60" i="35"/>
  <c r="I61" i="35"/>
  <c r="I62" i="35"/>
  <c r="I63" i="35"/>
  <c r="I64" i="35"/>
  <c r="I65" i="35"/>
  <c r="I66" i="35"/>
  <c r="I67" i="35"/>
  <c r="I68" i="35"/>
  <c r="I69" i="35"/>
  <c r="I70" i="35"/>
  <c r="I71" i="35"/>
  <c r="I72" i="35"/>
  <c r="I73" i="35"/>
  <c r="I74" i="35"/>
  <c r="I75" i="35"/>
  <c r="I76" i="35"/>
  <c r="I77" i="35"/>
  <c r="I78" i="35"/>
  <c r="I79" i="35"/>
  <c r="I80" i="35"/>
  <c r="I81" i="35"/>
  <c r="I82" i="35"/>
  <c r="I83" i="35"/>
  <c r="I84" i="35"/>
  <c r="I85" i="35"/>
  <c r="I86" i="35"/>
  <c r="I87" i="35"/>
  <c r="I88" i="35"/>
  <c r="I89" i="35"/>
  <c r="I90" i="35"/>
  <c r="I91" i="35"/>
  <c r="I92" i="35"/>
  <c r="I93" i="35"/>
  <c r="I94" i="35"/>
  <c r="I95" i="35"/>
  <c r="I96" i="35"/>
  <c r="I97" i="35"/>
  <c r="I98" i="35"/>
  <c r="I99" i="35"/>
  <c r="I100" i="35"/>
  <c r="I101" i="35"/>
  <c r="I102" i="35"/>
  <c r="I103" i="35"/>
  <c r="I104" i="35"/>
  <c r="I105" i="35"/>
  <c r="I106" i="35"/>
  <c r="I107" i="35"/>
  <c r="I108" i="35"/>
  <c r="I109" i="35"/>
  <c r="I4" i="35"/>
  <c r="AD9" i="37"/>
  <c r="AE9" i="37"/>
  <c r="AF9" i="37"/>
  <c r="AG9" i="37"/>
  <c r="AH9" i="37"/>
  <c r="AI9" i="37"/>
  <c r="AJ9" i="37"/>
  <c r="AK9" i="37"/>
  <c r="AL9" i="37"/>
  <c r="AM9" i="37"/>
  <c r="AN9" i="37"/>
  <c r="AO9" i="37"/>
  <c r="AP9" i="37"/>
  <c r="AQ9" i="37"/>
  <c r="AR9" i="37"/>
  <c r="AS9" i="37"/>
  <c r="AD10" i="37"/>
  <c r="AE10" i="37"/>
  <c r="AF10" i="37"/>
  <c r="AG10" i="37"/>
  <c r="AH10" i="37"/>
  <c r="AI10" i="37"/>
  <c r="AJ10" i="37"/>
  <c r="AK10" i="37"/>
  <c r="AL10" i="37"/>
  <c r="AM10" i="37"/>
  <c r="AN10" i="37"/>
  <c r="AO10" i="37"/>
  <c r="AP10" i="37"/>
  <c r="AQ10" i="37"/>
  <c r="AR10" i="37"/>
  <c r="AS10" i="37"/>
  <c r="AD11" i="37"/>
  <c r="AE11" i="37"/>
  <c r="AF11" i="37"/>
  <c r="AG11" i="37"/>
  <c r="AH11" i="37"/>
  <c r="AI11" i="37"/>
  <c r="AJ11" i="37"/>
  <c r="AK11" i="37"/>
  <c r="AL11" i="37"/>
  <c r="AM11" i="37"/>
  <c r="AN11" i="37"/>
  <c r="AO11" i="37"/>
  <c r="AP11" i="37"/>
  <c r="AQ11" i="37"/>
  <c r="AR11" i="37"/>
  <c r="AS11" i="37"/>
  <c r="AD12" i="37"/>
  <c r="AE12" i="37"/>
  <c r="AF12" i="37"/>
  <c r="AG12" i="37"/>
  <c r="AH12" i="37"/>
  <c r="AI12" i="37"/>
  <c r="AJ12" i="37"/>
  <c r="AK12" i="37"/>
  <c r="AL12" i="37"/>
  <c r="AM12" i="37"/>
  <c r="AN12" i="37"/>
  <c r="AO12" i="37"/>
  <c r="AP12" i="37"/>
  <c r="AQ12" i="37"/>
  <c r="AR12" i="37"/>
  <c r="AS12" i="37"/>
  <c r="AD13" i="37"/>
  <c r="AE13" i="37"/>
  <c r="AF13" i="37"/>
  <c r="AG13" i="37"/>
  <c r="AH13" i="37"/>
  <c r="AI13" i="37"/>
  <c r="AJ13" i="37"/>
  <c r="AK13" i="37"/>
  <c r="AL13" i="37"/>
  <c r="AM13" i="37"/>
  <c r="AN13" i="37"/>
  <c r="AO13" i="37"/>
  <c r="AP13" i="37"/>
  <c r="AQ13" i="37"/>
  <c r="AR13" i="37"/>
  <c r="AS13" i="37"/>
  <c r="AD14" i="37"/>
  <c r="AE14" i="37"/>
  <c r="AF14" i="37"/>
  <c r="AG14" i="37"/>
  <c r="AH14" i="37"/>
  <c r="AI14" i="37"/>
  <c r="AJ14" i="37"/>
  <c r="AK14" i="37"/>
  <c r="AL14" i="37"/>
  <c r="AM14" i="37"/>
  <c r="AN14" i="37"/>
  <c r="AO14" i="37"/>
  <c r="AP14" i="37"/>
  <c r="AQ14" i="37"/>
  <c r="AR14" i="37"/>
  <c r="AS14" i="37"/>
  <c r="AD15" i="37"/>
  <c r="AE15" i="37"/>
  <c r="AF15" i="37"/>
  <c r="AG15" i="37"/>
  <c r="AH15" i="37"/>
  <c r="AI15" i="37"/>
  <c r="AJ15" i="37"/>
  <c r="AK15" i="37"/>
  <c r="AL15" i="37"/>
  <c r="AM15" i="37"/>
  <c r="AN15" i="37"/>
  <c r="AO15" i="37"/>
  <c r="AP15" i="37"/>
  <c r="AQ15" i="37"/>
  <c r="AR15" i="37"/>
  <c r="AS15" i="37"/>
  <c r="AD16" i="37"/>
  <c r="AE16" i="37"/>
  <c r="AF16" i="37"/>
  <c r="AG16" i="37"/>
  <c r="AH16" i="37"/>
  <c r="AI16" i="37"/>
  <c r="AJ16" i="37"/>
  <c r="AK16" i="37"/>
  <c r="AL16" i="37"/>
  <c r="AM16" i="37"/>
  <c r="AN16" i="37"/>
  <c r="AO16" i="37"/>
  <c r="AP16" i="37"/>
  <c r="AQ16" i="37"/>
  <c r="AR16" i="37"/>
  <c r="AS16" i="37"/>
  <c r="AD17" i="37"/>
  <c r="AE17" i="37"/>
  <c r="AF17" i="37"/>
  <c r="AG17" i="37"/>
  <c r="AH17" i="37"/>
  <c r="AI17" i="37"/>
  <c r="AJ17" i="37"/>
  <c r="AK17" i="37"/>
  <c r="AL17" i="37"/>
  <c r="AM17" i="37"/>
  <c r="AN17" i="37"/>
  <c r="AO17" i="37"/>
  <c r="AP17" i="37"/>
  <c r="AQ17" i="37"/>
  <c r="AR17" i="37"/>
  <c r="AS17" i="37"/>
  <c r="AD18" i="37"/>
  <c r="AE18" i="37"/>
  <c r="AF18" i="37"/>
  <c r="AG18" i="37"/>
  <c r="AH18" i="37"/>
  <c r="AI18" i="37"/>
  <c r="AJ18" i="37"/>
  <c r="AK18" i="37"/>
  <c r="AL18" i="37"/>
  <c r="AM18" i="37"/>
  <c r="AN18" i="37"/>
  <c r="AO18" i="37"/>
  <c r="AP18" i="37"/>
  <c r="AQ18" i="37"/>
  <c r="AR18" i="37"/>
  <c r="AS18" i="37"/>
  <c r="AD19" i="37"/>
  <c r="AE19" i="37"/>
  <c r="AF19" i="37"/>
  <c r="AG19" i="37"/>
  <c r="AH19" i="37"/>
  <c r="AI19" i="37"/>
  <c r="AJ19" i="37"/>
  <c r="AK19" i="37"/>
  <c r="AL19" i="37"/>
  <c r="AM19" i="37"/>
  <c r="AN19" i="37"/>
  <c r="AO19" i="37"/>
  <c r="AP19" i="37"/>
  <c r="AQ19" i="37"/>
  <c r="AR19" i="37"/>
  <c r="AS19" i="37"/>
  <c r="AD20" i="37"/>
  <c r="AE20" i="37"/>
  <c r="AF20" i="37"/>
  <c r="AG20" i="37"/>
  <c r="AH20" i="37"/>
  <c r="AI20" i="37"/>
  <c r="AJ20" i="37"/>
  <c r="AK20" i="37"/>
  <c r="AL20" i="37"/>
  <c r="AM20" i="37"/>
  <c r="AN20" i="37"/>
  <c r="AO20" i="37"/>
  <c r="AP20" i="37"/>
  <c r="AQ20" i="37"/>
  <c r="AR20" i="37"/>
  <c r="AS20" i="37"/>
  <c r="AD21" i="37"/>
  <c r="AE21" i="37"/>
  <c r="AF21" i="37"/>
  <c r="AG21" i="37"/>
  <c r="AH21" i="37"/>
  <c r="AI21" i="37"/>
  <c r="AJ21" i="37"/>
  <c r="AK21" i="37"/>
  <c r="AL21" i="37"/>
  <c r="AM21" i="37"/>
  <c r="AN21" i="37"/>
  <c r="AO21" i="37"/>
  <c r="AP21" i="37"/>
  <c r="AQ21" i="37"/>
  <c r="AR21" i="37"/>
  <c r="AS21" i="37"/>
  <c r="AD22" i="37"/>
  <c r="AE22" i="37"/>
  <c r="AF22" i="37"/>
  <c r="AG22" i="37"/>
  <c r="AH22" i="37"/>
  <c r="AI22" i="37"/>
  <c r="AJ22" i="37"/>
  <c r="AK22" i="37"/>
  <c r="AL22" i="37"/>
  <c r="AM22" i="37"/>
  <c r="AN22" i="37"/>
  <c r="AO22" i="37"/>
  <c r="AP22" i="37"/>
  <c r="AQ22" i="37"/>
  <c r="AR22" i="37"/>
  <c r="AS22" i="37"/>
  <c r="AD23" i="37"/>
  <c r="AE23" i="37"/>
  <c r="AF23" i="37"/>
  <c r="AG23" i="37"/>
  <c r="AH23" i="37"/>
  <c r="AI23" i="37"/>
  <c r="AJ23" i="37"/>
  <c r="AK23" i="37"/>
  <c r="AL23" i="37"/>
  <c r="AM23" i="37"/>
  <c r="AN23" i="37"/>
  <c r="AO23" i="37"/>
  <c r="AP23" i="37"/>
  <c r="AQ23" i="37"/>
  <c r="AR23" i="37"/>
  <c r="AS23" i="37"/>
  <c r="AD24" i="37"/>
  <c r="AE24" i="37"/>
  <c r="AF24" i="37"/>
  <c r="AG24" i="37"/>
  <c r="AH24" i="37"/>
  <c r="AI24" i="37"/>
  <c r="AJ24" i="37"/>
  <c r="AK24" i="37"/>
  <c r="AL24" i="37"/>
  <c r="AM24" i="37"/>
  <c r="AN24" i="37"/>
  <c r="AO24" i="37"/>
  <c r="AP24" i="37"/>
  <c r="AQ24" i="37"/>
  <c r="AR24" i="37"/>
  <c r="AS24" i="37"/>
  <c r="AD25" i="37"/>
  <c r="AE25" i="37"/>
  <c r="AF25" i="37"/>
  <c r="AG25" i="37"/>
  <c r="AH25" i="37"/>
  <c r="AI25" i="37"/>
  <c r="AJ25" i="37"/>
  <c r="AK25" i="37"/>
  <c r="AL25" i="37"/>
  <c r="AM25" i="37"/>
  <c r="AN25" i="37"/>
  <c r="AO25" i="37"/>
  <c r="AP25" i="37"/>
  <c r="AQ25" i="37"/>
  <c r="AR25" i="37"/>
  <c r="AS25" i="37"/>
  <c r="AD26" i="37"/>
  <c r="AE26" i="37"/>
  <c r="AF26" i="37"/>
  <c r="AG26" i="37"/>
  <c r="AH26" i="37"/>
  <c r="AI26" i="37"/>
  <c r="AJ26" i="37"/>
  <c r="AK26" i="37"/>
  <c r="AL26" i="37"/>
  <c r="AM26" i="37"/>
  <c r="AN26" i="37"/>
  <c r="AO26" i="37"/>
  <c r="AP26" i="37"/>
  <c r="AQ26" i="37"/>
  <c r="AR26" i="37"/>
  <c r="AS26" i="37"/>
  <c r="AD27" i="37"/>
  <c r="AE27" i="37"/>
  <c r="AF27" i="37"/>
  <c r="AG27" i="37"/>
  <c r="AH27" i="37"/>
  <c r="AI27" i="37"/>
  <c r="AJ27" i="37"/>
  <c r="AK27" i="37"/>
  <c r="AL27" i="37"/>
  <c r="AM27" i="37"/>
  <c r="AN27" i="37"/>
  <c r="AO27" i="37"/>
  <c r="AP27" i="37"/>
  <c r="AQ27" i="37"/>
  <c r="AR27" i="37"/>
  <c r="AS27" i="37"/>
  <c r="AD28" i="37"/>
  <c r="AE28" i="37"/>
  <c r="AF28" i="37"/>
  <c r="AG28" i="37"/>
  <c r="AH28" i="37"/>
  <c r="AI28" i="37"/>
  <c r="AJ28" i="37"/>
  <c r="AK28" i="37"/>
  <c r="AL28" i="37"/>
  <c r="AM28" i="37"/>
  <c r="AN28" i="37"/>
  <c r="AO28" i="37"/>
  <c r="AP28" i="37"/>
  <c r="AQ28" i="37"/>
  <c r="AR28" i="37"/>
  <c r="AS28" i="37"/>
  <c r="AD29" i="37"/>
  <c r="AE29" i="37"/>
  <c r="AF29" i="37"/>
  <c r="AG29" i="37"/>
  <c r="AH29" i="37"/>
  <c r="AI29" i="37"/>
  <c r="AJ29" i="37"/>
  <c r="AK29" i="37"/>
  <c r="AL29" i="37"/>
  <c r="AM29" i="37"/>
  <c r="AN29" i="37"/>
  <c r="AO29" i="37"/>
  <c r="AP29" i="37"/>
  <c r="AQ29" i="37"/>
  <c r="AR29" i="37"/>
  <c r="AS29" i="37"/>
  <c r="AD30" i="37"/>
  <c r="AE30" i="37"/>
  <c r="AF30" i="37"/>
  <c r="AG30" i="37"/>
  <c r="AH30" i="37"/>
  <c r="AI30" i="37"/>
  <c r="AJ30" i="37"/>
  <c r="AK30" i="37"/>
  <c r="AL30" i="37"/>
  <c r="AM30" i="37"/>
  <c r="AN30" i="37"/>
  <c r="AO30" i="37"/>
  <c r="AP30" i="37"/>
  <c r="AQ30" i="37"/>
  <c r="AR30" i="37"/>
  <c r="AS30" i="37"/>
  <c r="AD31" i="37"/>
  <c r="AE31" i="37"/>
  <c r="AF31" i="37"/>
  <c r="AG31" i="37"/>
  <c r="AH31" i="37"/>
  <c r="AI31" i="37"/>
  <c r="AJ31" i="37"/>
  <c r="AK31" i="37"/>
  <c r="AL31" i="37"/>
  <c r="AM31" i="37"/>
  <c r="AN31" i="37"/>
  <c r="AO31" i="37"/>
  <c r="AP31" i="37"/>
  <c r="AQ31" i="37"/>
  <c r="AR31" i="37"/>
  <c r="AS31" i="37"/>
  <c r="AD32" i="37"/>
  <c r="AE32" i="37"/>
  <c r="AF32" i="37"/>
  <c r="AG32" i="37"/>
  <c r="AH32" i="37"/>
  <c r="AI32" i="37"/>
  <c r="AJ32" i="37"/>
  <c r="AK32" i="37"/>
  <c r="AL32" i="37"/>
  <c r="AM32" i="37"/>
  <c r="AN32" i="37"/>
  <c r="AO32" i="37"/>
  <c r="AP32" i="37"/>
  <c r="AQ32" i="37"/>
  <c r="AR32" i="37"/>
  <c r="AS32" i="37"/>
  <c r="AD33" i="37"/>
  <c r="AE33" i="37"/>
  <c r="AF33" i="37"/>
  <c r="AG33" i="37"/>
  <c r="AH33" i="37"/>
  <c r="AI33" i="37"/>
  <c r="AJ33" i="37"/>
  <c r="AK33" i="37"/>
  <c r="AL33" i="37"/>
  <c r="AM33" i="37"/>
  <c r="AN33" i="37"/>
  <c r="AO33" i="37"/>
  <c r="AP33" i="37"/>
  <c r="AQ33" i="37"/>
  <c r="AR33" i="37"/>
  <c r="AS33" i="37"/>
  <c r="AD34" i="37"/>
  <c r="AE34" i="37"/>
  <c r="AF34" i="37"/>
  <c r="AG34" i="37"/>
  <c r="AH34" i="37"/>
  <c r="AI34" i="37"/>
  <c r="AJ34" i="37"/>
  <c r="AK34" i="37"/>
  <c r="AL34" i="37"/>
  <c r="AM34" i="37"/>
  <c r="AN34" i="37"/>
  <c r="AO34" i="37"/>
  <c r="AP34" i="37"/>
  <c r="AQ34" i="37"/>
  <c r="AR34" i="37"/>
  <c r="AS34" i="37"/>
  <c r="AD35" i="37"/>
  <c r="AE35" i="37"/>
  <c r="AF35" i="37"/>
  <c r="AG35" i="37"/>
  <c r="AH35" i="37"/>
  <c r="AI35" i="37"/>
  <c r="AJ35" i="37"/>
  <c r="AK35" i="37"/>
  <c r="AL35" i="37"/>
  <c r="AM35" i="37"/>
  <c r="AN35" i="37"/>
  <c r="AO35" i="37"/>
  <c r="AP35" i="37"/>
  <c r="AQ35" i="37"/>
  <c r="AR35" i="37"/>
  <c r="AS35" i="37"/>
  <c r="AD36" i="37"/>
  <c r="AE36" i="37"/>
  <c r="AF36" i="37"/>
  <c r="AG36" i="37"/>
  <c r="AH36" i="37"/>
  <c r="AI36" i="37"/>
  <c r="AJ36" i="37"/>
  <c r="AK36" i="37"/>
  <c r="AL36" i="37"/>
  <c r="AM36" i="37"/>
  <c r="AN36" i="37"/>
  <c r="AO36" i="37"/>
  <c r="AP36" i="37"/>
  <c r="AQ36" i="37"/>
  <c r="AR36" i="37"/>
  <c r="AS36" i="37"/>
  <c r="AD37" i="37"/>
  <c r="AE37" i="37"/>
  <c r="AF37" i="37"/>
  <c r="AG37" i="37"/>
  <c r="AH37" i="37"/>
  <c r="AI37" i="37"/>
  <c r="AJ37" i="37"/>
  <c r="AK37" i="37"/>
  <c r="AL37" i="37"/>
  <c r="AM37" i="37"/>
  <c r="AN37" i="37"/>
  <c r="AO37" i="37"/>
  <c r="AP37" i="37"/>
  <c r="AQ37" i="37"/>
  <c r="AR37" i="37"/>
  <c r="AS37" i="37"/>
  <c r="AD38" i="37"/>
  <c r="AE38" i="37"/>
  <c r="AF38" i="37"/>
  <c r="AG38" i="37"/>
  <c r="AH38" i="37"/>
  <c r="AI38" i="37"/>
  <c r="AJ38" i="37"/>
  <c r="AK38" i="37"/>
  <c r="AL38" i="37"/>
  <c r="AM38" i="37"/>
  <c r="AN38" i="37"/>
  <c r="AO38" i="37"/>
  <c r="AP38" i="37"/>
  <c r="AQ38" i="37"/>
  <c r="AR38" i="37"/>
  <c r="AS38" i="37"/>
  <c r="AD39" i="37"/>
  <c r="AE39" i="37"/>
  <c r="AF39" i="37"/>
  <c r="AG39" i="37"/>
  <c r="AH39" i="37"/>
  <c r="AI39" i="37"/>
  <c r="AJ39" i="37"/>
  <c r="AK39" i="37"/>
  <c r="AL39" i="37"/>
  <c r="AM39" i="37"/>
  <c r="AN39" i="37"/>
  <c r="AO39" i="37"/>
  <c r="AP39" i="37"/>
  <c r="AQ39" i="37"/>
  <c r="AR39" i="37"/>
  <c r="AS39" i="37"/>
  <c r="AD40" i="37"/>
  <c r="AE40" i="37"/>
  <c r="AF40" i="37"/>
  <c r="AG40" i="37"/>
  <c r="AH40" i="37"/>
  <c r="AI40" i="37"/>
  <c r="AJ40" i="37"/>
  <c r="AK40" i="37"/>
  <c r="AL40" i="37"/>
  <c r="AM40" i="37"/>
  <c r="AN40" i="37"/>
  <c r="AO40" i="37"/>
  <c r="AP40" i="37"/>
  <c r="AQ40" i="37"/>
  <c r="AR40" i="37"/>
  <c r="AS40" i="37"/>
  <c r="AD41" i="37"/>
  <c r="AE41" i="37"/>
  <c r="AF41" i="37"/>
  <c r="AG41" i="37"/>
  <c r="AH41" i="37"/>
  <c r="AI41" i="37"/>
  <c r="AJ41" i="37"/>
  <c r="AK41" i="37"/>
  <c r="AL41" i="37"/>
  <c r="AM41" i="37"/>
  <c r="AN41" i="37"/>
  <c r="AO41" i="37"/>
  <c r="AP41" i="37"/>
  <c r="AQ41" i="37"/>
  <c r="AR41" i="37"/>
  <c r="AS41" i="37"/>
  <c r="AD42" i="37"/>
  <c r="AE42" i="37"/>
  <c r="AF42" i="37"/>
  <c r="AG42" i="37"/>
  <c r="AH42" i="37"/>
  <c r="AI42" i="37"/>
  <c r="AJ42" i="37"/>
  <c r="AK42" i="37"/>
  <c r="AL42" i="37"/>
  <c r="AM42" i="37"/>
  <c r="AN42" i="37"/>
  <c r="AO42" i="37"/>
  <c r="AP42" i="37"/>
  <c r="AQ42" i="37"/>
  <c r="AR42" i="37"/>
  <c r="AS42" i="37"/>
  <c r="AD43" i="37"/>
  <c r="AE43" i="37"/>
  <c r="AF43" i="37"/>
  <c r="AG43" i="37"/>
  <c r="AH43" i="37"/>
  <c r="AI43" i="37"/>
  <c r="AJ43" i="37"/>
  <c r="AK43" i="37"/>
  <c r="AL43" i="37"/>
  <c r="AM43" i="37"/>
  <c r="AN43" i="37"/>
  <c r="AO43" i="37"/>
  <c r="AP43" i="37"/>
  <c r="AQ43" i="37"/>
  <c r="AR43" i="37"/>
  <c r="AS43" i="37"/>
  <c r="AD44" i="37"/>
  <c r="AE44" i="37"/>
  <c r="AF44" i="37"/>
  <c r="AG44" i="37"/>
  <c r="AH44" i="37"/>
  <c r="AI44" i="37"/>
  <c r="AJ44" i="37"/>
  <c r="AK44" i="37"/>
  <c r="AL44" i="37"/>
  <c r="AM44" i="37"/>
  <c r="AN44" i="37"/>
  <c r="AO44" i="37"/>
  <c r="AP44" i="37"/>
  <c r="AQ44" i="37"/>
  <c r="AR44" i="37"/>
  <c r="AS44" i="37"/>
  <c r="AD45" i="37"/>
  <c r="AE45" i="37"/>
  <c r="AF45" i="37"/>
  <c r="AG45" i="37"/>
  <c r="AH45" i="37"/>
  <c r="AI45" i="37"/>
  <c r="AJ45" i="37"/>
  <c r="AK45" i="37"/>
  <c r="AL45" i="37"/>
  <c r="AM45" i="37"/>
  <c r="AN45" i="37"/>
  <c r="AO45" i="37"/>
  <c r="AP45" i="37"/>
  <c r="AQ45" i="37"/>
  <c r="AR45" i="37"/>
  <c r="AS45" i="37"/>
  <c r="AD46" i="37"/>
  <c r="AE46" i="37"/>
  <c r="AF46" i="37"/>
  <c r="AG46" i="37"/>
  <c r="AH46" i="37"/>
  <c r="AI46" i="37"/>
  <c r="AJ46" i="37"/>
  <c r="AK46" i="37"/>
  <c r="AL46" i="37"/>
  <c r="AM46" i="37"/>
  <c r="AN46" i="37"/>
  <c r="AO46" i="37"/>
  <c r="AP46" i="37"/>
  <c r="AQ46" i="37"/>
  <c r="AR46" i="37"/>
  <c r="AS46" i="37"/>
  <c r="AD47" i="37"/>
  <c r="AE47" i="37"/>
  <c r="AF47" i="37"/>
  <c r="AG47" i="37"/>
  <c r="AH47" i="37"/>
  <c r="AI47" i="37"/>
  <c r="AJ47" i="37"/>
  <c r="AK47" i="37"/>
  <c r="AL47" i="37"/>
  <c r="AM47" i="37"/>
  <c r="AN47" i="37"/>
  <c r="AO47" i="37"/>
  <c r="AP47" i="37"/>
  <c r="AQ47" i="37"/>
  <c r="AR47" i="37"/>
  <c r="AS47" i="37"/>
  <c r="AD48" i="37"/>
  <c r="AE48" i="37"/>
  <c r="AF48" i="37"/>
  <c r="AG48" i="37"/>
  <c r="AH48" i="37"/>
  <c r="AI48" i="37"/>
  <c r="AJ48" i="37"/>
  <c r="AK48" i="37"/>
  <c r="AL48" i="37"/>
  <c r="AM48" i="37"/>
  <c r="AN48" i="37"/>
  <c r="AO48" i="37"/>
  <c r="AP48" i="37"/>
  <c r="AQ48" i="37"/>
  <c r="AR48" i="37"/>
  <c r="AS48" i="37"/>
  <c r="AD49" i="37"/>
  <c r="AE49" i="37"/>
  <c r="AF49" i="37"/>
  <c r="AG49" i="37"/>
  <c r="AH49" i="37"/>
  <c r="AI49" i="37"/>
  <c r="AJ49" i="37"/>
  <c r="AK49" i="37"/>
  <c r="AL49" i="37"/>
  <c r="AM49" i="37"/>
  <c r="AN49" i="37"/>
  <c r="AO49" i="37"/>
  <c r="AP49" i="37"/>
  <c r="AQ49" i="37"/>
  <c r="AR49" i="37"/>
  <c r="AS49" i="37"/>
  <c r="AD50" i="37"/>
  <c r="AE50" i="37"/>
  <c r="AF50" i="37"/>
  <c r="AG50" i="37"/>
  <c r="AH50" i="37"/>
  <c r="AI50" i="37"/>
  <c r="AJ50" i="37"/>
  <c r="AK50" i="37"/>
  <c r="AL50" i="37"/>
  <c r="AM50" i="37"/>
  <c r="AN50" i="37"/>
  <c r="AO50" i="37"/>
  <c r="AP50" i="37"/>
  <c r="AQ50" i="37"/>
  <c r="AR50" i="37"/>
  <c r="AS50" i="37"/>
  <c r="AD51" i="37"/>
  <c r="AE51" i="37"/>
  <c r="AF51" i="37"/>
  <c r="AG51" i="37"/>
  <c r="AH51" i="37"/>
  <c r="AI51" i="37"/>
  <c r="AJ51" i="37"/>
  <c r="AK51" i="37"/>
  <c r="AL51" i="37"/>
  <c r="AM51" i="37"/>
  <c r="AN51" i="37"/>
  <c r="AO51" i="37"/>
  <c r="AP51" i="37"/>
  <c r="AQ51" i="37"/>
  <c r="AR51" i="37"/>
  <c r="AS51" i="37"/>
  <c r="AD52" i="37"/>
  <c r="AE52" i="37"/>
  <c r="AF52" i="37"/>
  <c r="AG52" i="37"/>
  <c r="AH52" i="37"/>
  <c r="AI52" i="37"/>
  <c r="AJ52" i="37"/>
  <c r="AK52" i="37"/>
  <c r="AL52" i="37"/>
  <c r="AM52" i="37"/>
  <c r="AN52" i="37"/>
  <c r="AO52" i="37"/>
  <c r="AP52" i="37"/>
  <c r="AQ52" i="37"/>
  <c r="AR52" i="37"/>
  <c r="AS52" i="37"/>
  <c r="AD53" i="37"/>
  <c r="AE53" i="37"/>
  <c r="AF53" i="37"/>
  <c r="AG53" i="37"/>
  <c r="AH53" i="37"/>
  <c r="AI53" i="37"/>
  <c r="AJ53" i="37"/>
  <c r="AK53" i="37"/>
  <c r="AL53" i="37"/>
  <c r="AM53" i="37"/>
  <c r="AN53" i="37"/>
  <c r="AO53" i="37"/>
  <c r="AP53" i="37"/>
  <c r="AQ53" i="37"/>
  <c r="AR53" i="37"/>
  <c r="AS53" i="37"/>
  <c r="AD54" i="37"/>
  <c r="AE54" i="37"/>
  <c r="AF54" i="37"/>
  <c r="AG54" i="37"/>
  <c r="AH54" i="37"/>
  <c r="AI54" i="37"/>
  <c r="AJ54" i="37"/>
  <c r="AK54" i="37"/>
  <c r="AL54" i="37"/>
  <c r="AM54" i="37"/>
  <c r="AN54" i="37"/>
  <c r="AO54" i="37"/>
  <c r="AP54" i="37"/>
  <c r="AQ54" i="37"/>
  <c r="AR54" i="37"/>
  <c r="AS54" i="37"/>
  <c r="AD55" i="37"/>
  <c r="AE55" i="37"/>
  <c r="AF55" i="37"/>
  <c r="AG55" i="37"/>
  <c r="AH55" i="37"/>
  <c r="AI55" i="37"/>
  <c r="AJ55" i="37"/>
  <c r="AK55" i="37"/>
  <c r="AL55" i="37"/>
  <c r="AM55" i="37"/>
  <c r="AN55" i="37"/>
  <c r="AO55" i="37"/>
  <c r="AP55" i="37"/>
  <c r="AQ55" i="37"/>
  <c r="AR55" i="37"/>
  <c r="AS55" i="37"/>
  <c r="AD56" i="37"/>
  <c r="AE56" i="37"/>
  <c r="AF56" i="37"/>
  <c r="AG56" i="37"/>
  <c r="AH56" i="37"/>
  <c r="AI56" i="37"/>
  <c r="AJ56" i="37"/>
  <c r="AK56" i="37"/>
  <c r="AL56" i="37"/>
  <c r="AM56" i="37"/>
  <c r="AN56" i="37"/>
  <c r="AO56" i="37"/>
  <c r="AP56" i="37"/>
  <c r="AQ56" i="37"/>
  <c r="AR56" i="37"/>
  <c r="AS56" i="37"/>
  <c r="AD57" i="37"/>
  <c r="AE57" i="37"/>
  <c r="AF57" i="37"/>
  <c r="AG57" i="37"/>
  <c r="AH57" i="37"/>
  <c r="AI57" i="37"/>
  <c r="AJ57" i="37"/>
  <c r="AK57" i="37"/>
  <c r="AL57" i="37"/>
  <c r="AM57" i="37"/>
  <c r="AN57" i="37"/>
  <c r="AO57" i="37"/>
  <c r="AP57" i="37"/>
  <c r="AQ57" i="37"/>
  <c r="AR57" i="37"/>
  <c r="AS57" i="37"/>
  <c r="AD58" i="37"/>
  <c r="AE58" i="37"/>
  <c r="AF58" i="37"/>
  <c r="AG58" i="37"/>
  <c r="AH58" i="37"/>
  <c r="AI58" i="37"/>
  <c r="AJ58" i="37"/>
  <c r="AK58" i="37"/>
  <c r="AL58" i="37"/>
  <c r="AM58" i="37"/>
  <c r="AN58" i="37"/>
  <c r="AO58" i="37"/>
  <c r="AP58" i="37"/>
  <c r="AQ58" i="37"/>
  <c r="AR58" i="37"/>
  <c r="AS58" i="37"/>
  <c r="AD59" i="37"/>
  <c r="AE59" i="37"/>
  <c r="AF59" i="37"/>
  <c r="AG59" i="37"/>
  <c r="AH59" i="37"/>
  <c r="AI59" i="37"/>
  <c r="AJ59" i="37"/>
  <c r="AK59" i="37"/>
  <c r="AL59" i="37"/>
  <c r="AM59" i="37"/>
  <c r="AN59" i="37"/>
  <c r="AO59" i="37"/>
  <c r="AP59" i="37"/>
  <c r="AQ59" i="37"/>
  <c r="AR59" i="37"/>
  <c r="AS59" i="37"/>
  <c r="AD60" i="37"/>
  <c r="AE60" i="37"/>
  <c r="AF60" i="37"/>
  <c r="AG60" i="37"/>
  <c r="AH60" i="37"/>
  <c r="AI60" i="37"/>
  <c r="AJ60" i="37"/>
  <c r="AK60" i="37"/>
  <c r="AL60" i="37"/>
  <c r="AM60" i="37"/>
  <c r="AN60" i="37"/>
  <c r="AO60" i="37"/>
  <c r="AP60" i="37"/>
  <c r="AQ60" i="37"/>
  <c r="AR60" i="37"/>
  <c r="AS60" i="37"/>
  <c r="AD61" i="37"/>
  <c r="AE61" i="37"/>
  <c r="AF61" i="37"/>
  <c r="AG61" i="37"/>
  <c r="AH61" i="37"/>
  <c r="AI61" i="37"/>
  <c r="AJ61" i="37"/>
  <c r="AK61" i="37"/>
  <c r="AL61" i="37"/>
  <c r="AM61" i="37"/>
  <c r="AN61" i="37"/>
  <c r="AO61" i="37"/>
  <c r="AP61" i="37"/>
  <c r="AQ61" i="37"/>
  <c r="AR61" i="37"/>
  <c r="AS61" i="37"/>
  <c r="AD62" i="37"/>
  <c r="AE62" i="37"/>
  <c r="AF62" i="37"/>
  <c r="AG62" i="37"/>
  <c r="AH62" i="37"/>
  <c r="AI62" i="37"/>
  <c r="AJ62" i="37"/>
  <c r="AK62" i="37"/>
  <c r="AL62" i="37"/>
  <c r="AM62" i="37"/>
  <c r="AN62" i="37"/>
  <c r="AO62" i="37"/>
  <c r="AP62" i="37"/>
  <c r="AQ62" i="37"/>
  <c r="AR62" i="37"/>
  <c r="AS62" i="37"/>
  <c r="AD63" i="37"/>
  <c r="AE63" i="37"/>
  <c r="AF63" i="37"/>
  <c r="AG63" i="37"/>
  <c r="AH63" i="37"/>
  <c r="AI63" i="37"/>
  <c r="AJ63" i="37"/>
  <c r="AK63" i="37"/>
  <c r="AL63" i="37"/>
  <c r="AM63" i="37"/>
  <c r="AN63" i="37"/>
  <c r="AO63" i="37"/>
  <c r="AP63" i="37"/>
  <c r="AQ63" i="37"/>
  <c r="AR63" i="37"/>
  <c r="AS63" i="37"/>
  <c r="AD64" i="37"/>
  <c r="AE64" i="37"/>
  <c r="AF64" i="37"/>
  <c r="AG64" i="37"/>
  <c r="AH64" i="37"/>
  <c r="AI64" i="37"/>
  <c r="AJ64" i="37"/>
  <c r="AK64" i="37"/>
  <c r="AL64" i="37"/>
  <c r="AM64" i="37"/>
  <c r="AN64" i="37"/>
  <c r="AO64" i="37"/>
  <c r="AP64" i="37"/>
  <c r="AQ64" i="37"/>
  <c r="AR64" i="37"/>
  <c r="AS64" i="37"/>
  <c r="AD65" i="37"/>
  <c r="AE65" i="37"/>
  <c r="AF65" i="37"/>
  <c r="AG65" i="37"/>
  <c r="AH65" i="37"/>
  <c r="AI65" i="37"/>
  <c r="AJ65" i="37"/>
  <c r="AK65" i="37"/>
  <c r="AL65" i="37"/>
  <c r="AM65" i="37"/>
  <c r="AN65" i="37"/>
  <c r="AO65" i="37"/>
  <c r="AP65" i="37"/>
  <c r="AQ65" i="37"/>
  <c r="AR65" i="37"/>
  <c r="AS65" i="37"/>
  <c r="AD66" i="37"/>
  <c r="AE66" i="37"/>
  <c r="AF66" i="37"/>
  <c r="AG66" i="37"/>
  <c r="AH66" i="37"/>
  <c r="AI66" i="37"/>
  <c r="AJ66" i="37"/>
  <c r="AK66" i="37"/>
  <c r="AL66" i="37"/>
  <c r="AM66" i="37"/>
  <c r="AN66" i="37"/>
  <c r="AO66" i="37"/>
  <c r="AP66" i="37"/>
  <c r="AQ66" i="37"/>
  <c r="AR66" i="37"/>
  <c r="AS66" i="37"/>
  <c r="AD67" i="37"/>
  <c r="AE67" i="37"/>
  <c r="AF67" i="37"/>
  <c r="AG67" i="37"/>
  <c r="AH67" i="37"/>
  <c r="AI67" i="37"/>
  <c r="AJ67" i="37"/>
  <c r="AK67" i="37"/>
  <c r="AL67" i="37"/>
  <c r="AM67" i="37"/>
  <c r="AN67" i="37"/>
  <c r="AO67" i="37"/>
  <c r="AP67" i="37"/>
  <c r="AQ67" i="37"/>
  <c r="AR67" i="37"/>
  <c r="AS67" i="37"/>
  <c r="AD68" i="37"/>
  <c r="AE68" i="37"/>
  <c r="AF68" i="37"/>
  <c r="AG68" i="37"/>
  <c r="AH68" i="37"/>
  <c r="AI68" i="37"/>
  <c r="AJ68" i="37"/>
  <c r="AK68" i="37"/>
  <c r="AL68" i="37"/>
  <c r="AM68" i="37"/>
  <c r="AN68" i="37"/>
  <c r="AO68" i="37"/>
  <c r="AP68" i="37"/>
  <c r="AQ68" i="37"/>
  <c r="AR68" i="37"/>
  <c r="AS68" i="37"/>
  <c r="AD69" i="37"/>
  <c r="AE69" i="37"/>
  <c r="AF69" i="37"/>
  <c r="AG69" i="37"/>
  <c r="AH69" i="37"/>
  <c r="AI69" i="37"/>
  <c r="AJ69" i="37"/>
  <c r="AK69" i="37"/>
  <c r="AL69" i="37"/>
  <c r="AM69" i="37"/>
  <c r="AN69" i="37"/>
  <c r="AO69" i="37"/>
  <c r="AP69" i="37"/>
  <c r="AQ69" i="37"/>
  <c r="AR69" i="37"/>
  <c r="AS69" i="37"/>
  <c r="AD70" i="37"/>
  <c r="AE70" i="37"/>
  <c r="AF70" i="37"/>
  <c r="AG70" i="37"/>
  <c r="AH70" i="37"/>
  <c r="AI70" i="37"/>
  <c r="AJ70" i="37"/>
  <c r="AK70" i="37"/>
  <c r="AL70" i="37"/>
  <c r="AM70" i="37"/>
  <c r="AN70" i="37"/>
  <c r="AO70" i="37"/>
  <c r="AP70" i="37"/>
  <c r="AQ70" i="37"/>
  <c r="AR70" i="37"/>
  <c r="AS70" i="37"/>
  <c r="AD71" i="37"/>
  <c r="AE71" i="37"/>
  <c r="AF71" i="37"/>
  <c r="AG71" i="37"/>
  <c r="AH71" i="37"/>
  <c r="AI71" i="37"/>
  <c r="AJ71" i="37"/>
  <c r="AK71" i="37"/>
  <c r="AL71" i="37"/>
  <c r="AM71" i="37"/>
  <c r="AN71" i="37"/>
  <c r="AO71" i="37"/>
  <c r="AP71" i="37"/>
  <c r="AQ71" i="37"/>
  <c r="AR71" i="37"/>
  <c r="AS71" i="37"/>
  <c r="AD72" i="37"/>
  <c r="AE72" i="37"/>
  <c r="AF72" i="37"/>
  <c r="AG72" i="37"/>
  <c r="AH72" i="37"/>
  <c r="AI72" i="37"/>
  <c r="AJ72" i="37"/>
  <c r="AK72" i="37"/>
  <c r="AL72" i="37"/>
  <c r="AM72" i="37"/>
  <c r="AN72" i="37"/>
  <c r="AO72" i="37"/>
  <c r="AP72" i="37"/>
  <c r="AQ72" i="37"/>
  <c r="AR72" i="37"/>
  <c r="AS72" i="37"/>
  <c r="AD73" i="37"/>
  <c r="AE73" i="37"/>
  <c r="AF73" i="37"/>
  <c r="AG73" i="37"/>
  <c r="AH73" i="37"/>
  <c r="AI73" i="37"/>
  <c r="AJ73" i="37"/>
  <c r="AK73" i="37"/>
  <c r="AL73" i="37"/>
  <c r="AM73" i="37"/>
  <c r="AN73" i="37"/>
  <c r="AO73" i="37"/>
  <c r="AP73" i="37"/>
  <c r="AQ73" i="37"/>
  <c r="AR73" i="37"/>
  <c r="AS73" i="37"/>
  <c r="AD74" i="37"/>
  <c r="AE74" i="37"/>
  <c r="AF74" i="37"/>
  <c r="AG74" i="37"/>
  <c r="AH74" i="37"/>
  <c r="AI74" i="37"/>
  <c r="AJ74" i="37"/>
  <c r="AK74" i="37"/>
  <c r="AL74" i="37"/>
  <c r="AM74" i="37"/>
  <c r="AN74" i="37"/>
  <c r="AO74" i="37"/>
  <c r="AP74" i="37"/>
  <c r="AQ74" i="37"/>
  <c r="AR74" i="37"/>
  <c r="AS74" i="37"/>
  <c r="AD75" i="37"/>
  <c r="AE75" i="37"/>
  <c r="AF75" i="37"/>
  <c r="AG75" i="37"/>
  <c r="AH75" i="37"/>
  <c r="AI75" i="37"/>
  <c r="AJ75" i="37"/>
  <c r="AK75" i="37"/>
  <c r="AL75" i="37"/>
  <c r="AM75" i="37"/>
  <c r="AN75" i="37"/>
  <c r="AO75" i="37"/>
  <c r="AP75" i="37"/>
  <c r="AQ75" i="37"/>
  <c r="AR75" i="37"/>
  <c r="AS75" i="37"/>
  <c r="AD76" i="37"/>
  <c r="AE76" i="37"/>
  <c r="AF76" i="37"/>
  <c r="AG76" i="37"/>
  <c r="AH76" i="37"/>
  <c r="AI76" i="37"/>
  <c r="AJ76" i="37"/>
  <c r="AK76" i="37"/>
  <c r="AL76" i="37"/>
  <c r="AM76" i="37"/>
  <c r="AN76" i="37"/>
  <c r="AO76" i="37"/>
  <c r="AP76" i="37"/>
  <c r="AQ76" i="37"/>
  <c r="AR76" i="37"/>
  <c r="AS76" i="37"/>
  <c r="AD77" i="37"/>
  <c r="AE77" i="37"/>
  <c r="AF77" i="37"/>
  <c r="AG77" i="37"/>
  <c r="AH77" i="37"/>
  <c r="AI77" i="37"/>
  <c r="AJ77" i="37"/>
  <c r="AK77" i="37"/>
  <c r="AL77" i="37"/>
  <c r="AM77" i="37"/>
  <c r="AN77" i="37"/>
  <c r="AO77" i="37"/>
  <c r="AP77" i="37"/>
  <c r="AQ77" i="37"/>
  <c r="AR77" i="37"/>
  <c r="AS77" i="37"/>
  <c r="AD78" i="37"/>
  <c r="AE78" i="37"/>
  <c r="AF78" i="37"/>
  <c r="AG78" i="37"/>
  <c r="AH78" i="37"/>
  <c r="AI78" i="37"/>
  <c r="AJ78" i="37"/>
  <c r="AK78" i="37"/>
  <c r="AL78" i="37"/>
  <c r="AM78" i="37"/>
  <c r="AN78" i="37"/>
  <c r="AO78" i="37"/>
  <c r="AP78" i="37"/>
  <c r="AQ78" i="37"/>
  <c r="AR78" i="37"/>
  <c r="AS78" i="37"/>
  <c r="AD79" i="37"/>
  <c r="AE79" i="37"/>
  <c r="AF79" i="37"/>
  <c r="AG79" i="37"/>
  <c r="AH79" i="37"/>
  <c r="AI79" i="37"/>
  <c r="AJ79" i="37"/>
  <c r="AK79" i="37"/>
  <c r="AL79" i="37"/>
  <c r="AM79" i="37"/>
  <c r="AN79" i="37"/>
  <c r="AO79" i="37"/>
  <c r="AP79" i="37"/>
  <c r="AQ79" i="37"/>
  <c r="AR79" i="37"/>
  <c r="AS79" i="37"/>
  <c r="AD80" i="37"/>
  <c r="AE80" i="37"/>
  <c r="AF80" i="37"/>
  <c r="AG80" i="37"/>
  <c r="AH80" i="37"/>
  <c r="AI80" i="37"/>
  <c r="AJ80" i="37"/>
  <c r="AK80" i="37"/>
  <c r="AL80" i="37"/>
  <c r="AM80" i="37"/>
  <c r="AN80" i="37"/>
  <c r="AO80" i="37"/>
  <c r="AP80" i="37"/>
  <c r="AQ80" i="37"/>
  <c r="AR80" i="37"/>
  <c r="AS80" i="37"/>
  <c r="AD81" i="37"/>
  <c r="AE81" i="37"/>
  <c r="AF81" i="37"/>
  <c r="AG81" i="37"/>
  <c r="AH81" i="37"/>
  <c r="AI81" i="37"/>
  <c r="AJ81" i="37"/>
  <c r="AK81" i="37"/>
  <c r="AL81" i="37"/>
  <c r="AM81" i="37"/>
  <c r="AN81" i="37"/>
  <c r="AO81" i="37"/>
  <c r="AP81" i="37"/>
  <c r="AQ81" i="37"/>
  <c r="AR81" i="37"/>
  <c r="AS81" i="37"/>
  <c r="AD82" i="37"/>
  <c r="AE82" i="37"/>
  <c r="AF82" i="37"/>
  <c r="AG82" i="37"/>
  <c r="AH82" i="37"/>
  <c r="AI82" i="37"/>
  <c r="AJ82" i="37"/>
  <c r="AK82" i="37"/>
  <c r="AL82" i="37"/>
  <c r="AM82" i="37"/>
  <c r="AN82" i="37"/>
  <c r="AO82" i="37"/>
  <c r="AP82" i="37"/>
  <c r="AQ82" i="37"/>
  <c r="AR82" i="37"/>
  <c r="AS82" i="37"/>
  <c r="AD83" i="37"/>
  <c r="AE83" i="37"/>
  <c r="AF83" i="37"/>
  <c r="AG83" i="37"/>
  <c r="AH83" i="37"/>
  <c r="AI83" i="37"/>
  <c r="AJ83" i="37"/>
  <c r="AK83" i="37"/>
  <c r="AL83" i="37"/>
  <c r="AM83" i="37"/>
  <c r="AN83" i="37"/>
  <c r="AO83" i="37"/>
  <c r="AP83" i="37"/>
  <c r="AQ83" i="37"/>
  <c r="AR83" i="37"/>
  <c r="AS83" i="37"/>
  <c r="AD84" i="37"/>
  <c r="AE84" i="37"/>
  <c r="AF84" i="37"/>
  <c r="AG84" i="37"/>
  <c r="AH84" i="37"/>
  <c r="AI84" i="37"/>
  <c r="AJ84" i="37"/>
  <c r="AK84" i="37"/>
  <c r="AL84" i="37"/>
  <c r="AM84" i="37"/>
  <c r="AN84" i="37"/>
  <c r="AO84" i="37"/>
  <c r="AP84" i="37"/>
  <c r="AQ84" i="37"/>
  <c r="AR84" i="37"/>
  <c r="AS84" i="37"/>
  <c r="AD85" i="37"/>
  <c r="AE85" i="37"/>
  <c r="AF85" i="37"/>
  <c r="AG85" i="37"/>
  <c r="AH85" i="37"/>
  <c r="AI85" i="37"/>
  <c r="AJ85" i="37"/>
  <c r="AK85" i="37"/>
  <c r="AL85" i="37"/>
  <c r="AM85" i="37"/>
  <c r="AN85" i="37"/>
  <c r="AO85" i="37"/>
  <c r="AP85" i="37"/>
  <c r="AQ85" i="37"/>
  <c r="AR85" i="37"/>
  <c r="AS85" i="37"/>
  <c r="AD86" i="37"/>
  <c r="AE86" i="37"/>
  <c r="AF86" i="37"/>
  <c r="AG86" i="37"/>
  <c r="AH86" i="37"/>
  <c r="AI86" i="37"/>
  <c r="AJ86" i="37"/>
  <c r="AK86" i="37"/>
  <c r="AL86" i="37"/>
  <c r="AM86" i="37"/>
  <c r="AN86" i="37"/>
  <c r="AO86" i="37"/>
  <c r="AP86" i="37"/>
  <c r="AQ86" i="37"/>
  <c r="AR86" i="37"/>
  <c r="AS86" i="37"/>
  <c r="AD87" i="37"/>
  <c r="AE87" i="37"/>
  <c r="AF87" i="37"/>
  <c r="AG87" i="37"/>
  <c r="AH87" i="37"/>
  <c r="AI87" i="37"/>
  <c r="AJ87" i="37"/>
  <c r="AK87" i="37"/>
  <c r="AL87" i="37"/>
  <c r="AM87" i="37"/>
  <c r="AN87" i="37"/>
  <c r="AO87" i="37"/>
  <c r="AP87" i="37"/>
  <c r="AQ87" i="37"/>
  <c r="AR87" i="37"/>
  <c r="AS87" i="37"/>
  <c r="AD88" i="37"/>
  <c r="AE88" i="37"/>
  <c r="AF88" i="37"/>
  <c r="AG88" i="37"/>
  <c r="AH88" i="37"/>
  <c r="AI88" i="37"/>
  <c r="AJ88" i="37"/>
  <c r="AK88" i="37"/>
  <c r="AL88" i="37"/>
  <c r="AM88" i="37"/>
  <c r="AN88" i="37"/>
  <c r="AO88" i="37"/>
  <c r="AP88" i="37"/>
  <c r="AQ88" i="37"/>
  <c r="AR88" i="37"/>
  <c r="AS88" i="37"/>
  <c r="AD89" i="37"/>
  <c r="AE89" i="37"/>
  <c r="AF89" i="37"/>
  <c r="AG89" i="37"/>
  <c r="AH89" i="37"/>
  <c r="AI89" i="37"/>
  <c r="AJ89" i="37"/>
  <c r="AK89" i="37"/>
  <c r="AL89" i="37"/>
  <c r="AM89" i="37"/>
  <c r="AN89" i="37"/>
  <c r="AO89" i="37"/>
  <c r="AP89" i="37"/>
  <c r="AQ89" i="37"/>
  <c r="AR89" i="37"/>
  <c r="AS89" i="37"/>
  <c r="AD90" i="37"/>
  <c r="AE90" i="37"/>
  <c r="AF90" i="37"/>
  <c r="AG90" i="37"/>
  <c r="AH90" i="37"/>
  <c r="AI90" i="37"/>
  <c r="AJ90" i="37"/>
  <c r="AK90" i="37"/>
  <c r="AL90" i="37"/>
  <c r="AM90" i="37"/>
  <c r="AN90" i="37"/>
  <c r="AO90" i="37"/>
  <c r="AP90" i="37"/>
  <c r="AQ90" i="37"/>
  <c r="AR90" i="37"/>
  <c r="AS90" i="37"/>
  <c r="AD91" i="37"/>
  <c r="AE91" i="37"/>
  <c r="AF91" i="37"/>
  <c r="AG91" i="37"/>
  <c r="AH91" i="37"/>
  <c r="AI91" i="37"/>
  <c r="AJ91" i="37"/>
  <c r="AK91" i="37"/>
  <c r="AL91" i="37"/>
  <c r="AM91" i="37"/>
  <c r="AN91" i="37"/>
  <c r="AO91" i="37"/>
  <c r="AP91" i="37"/>
  <c r="AQ91" i="37"/>
  <c r="AR91" i="37"/>
  <c r="AS91" i="37"/>
  <c r="AD92" i="37"/>
  <c r="AE92" i="37"/>
  <c r="AF92" i="37"/>
  <c r="AG92" i="37"/>
  <c r="AH92" i="37"/>
  <c r="AI92" i="37"/>
  <c r="AJ92" i="37"/>
  <c r="AK92" i="37"/>
  <c r="AL92" i="37"/>
  <c r="AM92" i="37"/>
  <c r="AN92" i="37"/>
  <c r="AO92" i="37"/>
  <c r="AP92" i="37"/>
  <c r="AQ92" i="37"/>
  <c r="AR92" i="37"/>
  <c r="AS92" i="37"/>
  <c r="AD93" i="37"/>
  <c r="AE93" i="37"/>
  <c r="AF93" i="37"/>
  <c r="AG93" i="37"/>
  <c r="AH93" i="37"/>
  <c r="AI93" i="37"/>
  <c r="AJ93" i="37"/>
  <c r="AK93" i="37"/>
  <c r="AL93" i="37"/>
  <c r="AM93" i="37"/>
  <c r="AN93" i="37"/>
  <c r="AO93" i="37"/>
  <c r="AP93" i="37"/>
  <c r="AQ93" i="37"/>
  <c r="AR93" i="37"/>
  <c r="AS93" i="37"/>
  <c r="AD94" i="37"/>
  <c r="AE94" i="37"/>
  <c r="AF94" i="37"/>
  <c r="AG94" i="37"/>
  <c r="AH94" i="37"/>
  <c r="AI94" i="37"/>
  <c r="AJ94" i="37"/>
  <c r="AK94" i="37"/>
  <c r="AL94" i="37"/>
  <c r="AM94" i="37"/>
  <c r="AN94" i="37"/>
  <c r="AO94" i="37"/>
  <c r="AP94" i="37"/>
  <c r="AQ94" i="37"/>
  <c r="AR94" i="37"/>
  <c r="AS94" i="37"/>
  <c r="AD95" i="37"/>
  <c r="AE95" i="37"/>
  <c r="AF95" i="37"/>
  <c r="AG95" i="37"/>
  <c r="AH95" i="37"/>
  <c r="AI95" i="37"/>
  <c r="AJ95" i="37"/>
  <c r="AK95" i="37"/>
  <c r="AL95" i="37"/>
  <c r="AM95" i="37"/>
  <c r="AN95" i="37"/>
  <c r="AO95" i="37"/>
  <c r="AP95" i="37"/>
  <c r="AQ95" i="37"/>
  <c r="AR95" i="37"/>
  <c r="AS95" i="37"/>
  <c r="AD96" i="37"/>
  <c r="AE96" i="37"/>
  <c r="AF96" i="37"/>
  <c r="AG96" i="37"/>
  <c r="AH96" i="37"/>
  <c r="AI96" i="37"/>
  <c r="AJ96" i="37"/>
  <c r="AK96" i="37"/>
  <c r="AL96" i="37"/>
  <c r="AM96" i="37"/>
  <c r="AN96" i="37"/>
  <c r="AO96" i="37"/>
  <c r="AP96" i="37"/>
  <c r="AQ96" i="37"/>
  <c r="AR96" i="37"/>
  <c r="AS96" i="37"/>
  <c r="AD97" i="37"/>
  <c r="AE97" i="37"/>
  <c r="AF97" i="37"/>
  <c r="AG97" i="37"/>
  <c r="AH97" i="37"/>
  <c r="AI97" i="37"/>
  <c r="AJ97" i="37"/>
  <c r="AK97" i="37"/>
  <c r="AL97" i="37"/>
  <c r="AM97" i="37"/>
  <c r="AN97" i="37"/>
  <c r="AO97" i="37"/>
  <c r="AP97" i="37"/>
  <c r="AQ97" i="37"/>
  <c r="AR97" i="37"/>
  <c r="AS97" i="37"/>
  <c r="AD98" i="37"/>
  <c r="AE98" i="37"/>
  <c r="AF98" i="37"/>
  <c r="AG98" i="37"/>
  <c r="AH98" i="37"/>
  <c r="AI98" i="37"/>
  <c r="AJ98" i="37"/>
  <c r="AK98" i="37"/>
  <c r="AL98" i="37"/>
  <c r="AM98" i="37"/>
  <c r="AN98" i="37"/>
  <c r="AO98" i="37"/>
  <c r="AP98" i="37"/>
  <c r="AQ98" i="37"/>
  <c r="AR98" i="37"/>
  <c r="AS98" i="37"/>
  <c r="AD99" i="37"/>
  <c r="AE99" i="37"/>
  <c r="AF99" i="37"/>
  <c r="AG99" i="37"/>
  <c r="AH99" i="37"/>
  <c r="AI99" i="37"/>
  <c r="AJ99" i="37"/>
  <c r="AK99" i="37"/>
  <c r="AL99" i="37"/>
  <c r="AM99" i="37"/>
  <c r="AN99" i="37"/>
  <c r="AO99" i="37"/>
  <c r="AP99" i="37"/>
  <c r="AQ99" i="37"/>
  <c r="AR99" i="37"/>
  <c r="AS99" i="37"/>
  <c r="AD100" i="37"/>
  <c r="AE100" i="37"/>
  <c r="AF100" i="37"/>
  <c r="AG100" i="37"/>
  <c r="AH100" i="37"/>
  <c r="AI100" i="37"/>
  <c r="AJ100" i="37"/>
  <c r="AK100" i="37"/>
  <c r="AL100" i="37"/>
  <c r="AM100" i="37"/>
  <c r="AN100" i="37"/>
  <c r="AO100" i="37"/>
  <c r="AP100" i="37"/>
  <c r="AQ100" i="37"/>
  <c r="AR100" i="37"/>
  <c r="AS100" i="37"/>
  <c r="AD101" i="37"/>
  <c r="AE101" i="37"/>
  <c r="AF101" i="37"/>
  <c r="AG101" i="37"/>
  <c r="AH101" i="37"/>
  <c r="AI101" i="37"/>
  <c r="AJ101" i="37"/>
  <c r="AK101" i="37"/>
  <c r="AL101" i="37"/>
  <c r="AM101" i="37"/>
  <c r="AN101" i="37"/>
  <c r="AO101" i="37"/>
  <c r="AP101" i="37"/>
  <c r="AQ101" i="37"/>
  <c r="AR101" i="37"/>
  <c r="AS101" i="37"/>
  <c r="AD102" i="37"/>
  <c r="AE102" i="37"/>
  <c r="AF102" i="37"/>
  <c r="AG102" i="37"/>
  <c r="AH102" i="37"/>
  <c r="AI102" i="37"/>
  <c r="AJ102" i="37"/>
  <c r="AK102" i="37"/>
  <c r="AL102" i="37"/>
  <c r="AM102" i="37"/>
  <c r="AN102" i="37"/>
  <c r="AO102" i="37"/>
  <c r="AP102" i="37"/>
  <c r="AQ102" i="37"/>
  <c r="AR102" i="37"/>
  <c r="AS102" i="37"/>
  <c r="AD103" i="37"/>
  <c r="AE103" i="37"/>
  <c r="AF103" i="37"/>
  <c r="AG103" i="37"/>
  <c r="AH103" i="37"/>
  <c r="AI103" i="37"/>
  <c r="AJ103" i="37"/>
  <c r="AK103" i="37"/>
  <c r="AL103" i="37"/>
  <c r="AM103" i="37"/>
  <c r="AN103" i="37"/>
  <c r="AO103" i="37"/>
  <c r="AP103" i="37"/>
  <c r="AQ103" i="37"/>
  <c r="AR103" i="37"/>
  <c r="AS103" i="37"/>
  <c r="AD104" i="37"/>
  <c r="AE104" i="37"/>
  <c r="AF104" i="37"/>
  <c r="AG104" i="37"/>
  <c r="AH104" i="37"/>
  <c r="AI104" i="37"/>
  <c r="AJ104" i="37"/>
  <c r="AK104" i="37"/>
  <c r="AL104" i="37"/>
  <c r="AM104" i="37"/>
  <c r="AN104" i="37"/>
  <c r="AO104" i="37"/>
  <c r="AP104" i="37"/>
  <c r="AQ104" i="37"/>
  <c r="AR104" i="37"/>
  <c r="AS104" i="37"/>
  <c r="AD105" i="37"/>
  <c r="AE105" i="37"/>
  <c r="AF105" i="37"/>
  <c r="AG105" i="37"/>
  <c r="AH105" i="37"/>
  <c r="AI105" i="37"/>
  <c r="AJ105" i="37"/>
  <c r="AK105" i="37"/>
  <c r="AL105" i="37"/>
  <c r="AM105" i="37"/>
  <c r="AN105" i="37"/>
  <c r="AO105" i="37"/>
  <c r="AP105" i="37"/>
  <c r="AQ105" i="37"/>
  <c r="AR105" i="37"/>
  <c r="AS105" i="37"/>
  <c r="AD106" i="37"/>
  <c r="AE106" i="37"/>
  <c r="AF106" i="37"/>
  <c r="AG106" i="37"/>
  <c r="AH106" i="37"/>
  <c r="AI106" i="37"/>
  <c r="AJ106" i="37"/>
  <c r="AK106" i="37"/>
  <c r="AL106" i="37"/>
  <c r="AM106" i="37"/>
  <c r="AN106" i="37"/>
  <c r="AO106" i="37"/>
  <c r="AP106" i="37"/>
  <c r="AQ106" i="37"/>
  <c r="AR106" i="37"/>
  <c r="AS106" i="37"/>
  <c r="AD107" i="37"/>
  <c r="AE107" i="37"/>
  <c r="AF107" i="37"/>
  <c r="AG107" i="37"/>
  <c r="AH107" i="37"/>
  <c r="AI107" i="37"/>
  <c r="AJ107" i="37"/>
  <c r="AK107" i="37"/>
  <c r="AL107" i="37"/>
  <c r="AM107" i="37"/>
  <c r="AN107" i="37"/>
  <c r="AO107" i="37"/>
  <c r="AP107" i="37"/>
  <c r="AQ107" i="37"/>
  <c r="AR107" i="37"/>
  <c r="AS107" i="37"/>
  <c r="AD108" i="37"/>
  <c r="AE108" i="37"/>
  <c r="AF108" i="37"/>
  <c r="AG108" i="37"/>
  <c r="AH108" i="37"/>
  <c r="AI108" i="37"/>
  <c r="AJ108" i="37"/>
  <c r="AK108" i="37"/>
  <c r="AL108" i="37"/>
  <c r="AM108" i="37"/>
  <c r="AN108" i="37"/>
  <c r="AO108" i="37"/>
  <c r="AP108" i="37"/>
  <c r="AQ108" i="37"/>
  <c r="AR108" i="37"/>
  <c r="AS108" i="37"/>
  <c r="AD109" i="37"/>
  <c r="AE109" i="37"/>
  <c r="AF109" i="37"/>
  <c r="AG109" i="37"/>
  <c r="AH109" i="37"/>
  <c r="AI109" i="37"/>
  <c r="AJ109" i="37"/>
  <c r="AK109" i="37"/>
  <c r="AL109" i="37"/>
  <c r="AM109" i="37"/>
  <c r="AN109" i="37"/>
  <c r="AO109" i="37"/>
  <c r="AP109" i="37"/>
  <c r="AQ109" i="37"/>
  <c r="AR109" i="37"/>
  <c r="AS109" i="37"/>
  <c r="AD110" i="37"/>
  <c r="AE110" i="37"/>
  <c r="AF110" i="37"/>
  <c r="AG110" i="37"/>
  <c r="AH110" i="37"/>
  <c r="AI110" i="37"/>
  <c r="AJ110" i="37"/>
  <c r="AK110" i="37"/>
  <c r="AL110" i="37"/>
  <c r="AM110" i="37"/>
  <c r="AN110" i="37"/>
  <c r="AO110" i="37"/>
  <c r="AP110" i="37"/>
  <c r="AQ110" i="37"/>
  <c r="AR110" i="37"/>
  <c r="AS110" i="37"/>
  <c r="AD111" i="37"/>
  <c r="AE111" i="37"/>
  <c r="AF111" i="37"/>
  <c r="AG111" i="37"/>
  <c r="AH111" i="37"/>
  <c r="AI111" i="37"/>
  <c r="AJ111" i="37"/>
  <c r="AK111" i="37"/>
  <c r="AL111" i="37"/>
  <c r="AM111" i="37"/>
  <c r="AN111" i="37"/>
  <c r="AO111" i="37"/>
  <c r="AP111" i="37"/>
  <c r="AQ111" i="37"/>
  <c r="AR111" i="37"/>
  <c r="AS111" i="37"/>
  <c r="AD112" i="37"/>
  <c r="AE112" i="37"/>
  <c r="AF112" i="37"/>
  <c r="AG112" i="37"/>
  <c r="AH112" i="37"/>
  <c r="AI112" i="37"/>
  <c r="AJ112" i="37"/>
  <c r="AK112" i="37"/>
  <c r="AL112" i="37"/>
  <c r="AM112" i="37"/>
  <c r="AN112" i="37"/>
  <c r="AO112" i="37"/>
  <c r="AP112" i="37"/>
  <c r="AQ112" i="37"/>
  <c r="AR112" i="37"/>
  <c r="AS112" i="37"/>
  <c r="AD113" i="37"/>
  <c r="AE113" i="37"/>
  <c r="AF113" i="37"/>
  <c r="AG113" i="37"/>
  <c r="AH113" i="37"/>
  <c r="AI113" i="37"/>
  <c r="AJ113" i="37"/>
  <c r="AK113" i="37"/>
  <c r="AL113" i="37"/>
  <c r="AM113" i="37"/>
  <c r="AN113" i="37"/>
  <c r="AO113" i="37"/>
  <c r="AP113" i="37"/>
  <c r="AQ113" i="37"/>
  <c r="AR113" i="37"/>
  <c r="AS113" i="37"/>
  <c r="AS8" i="37"/>
  <c r="AR8" i="37"/>
  <c r="AQ8" i="37"/>
  <c r="AP8" i="37"/>
  <c r="AO8" i="37"/>
  <c r="AN8" i="37"/>
  <c r="AM8" i="37"/>
  <c r="AL8" i="37"/>
  <c r="AK8" i="37"/>
  <c r="AJ8" i="37"/>
  <c r="AI8" i="37"/>
  <c r="AH8" i="37"/>
  <c r="AG8" i="37"/>
  <c r="AF8" i="37"/>
  <c r="AE8" i="37"/>
  <c r="AD8" i="37"/>
  <c r="AC9" i="37"/>
  <c r="AC10" i="37"/>
  <c r="AC11" i="37"/>
  <c r="AC12" i="37"/>
  <c r="AC13" i="37"/>
  <c r="AC14" i="37"/>
  <c r="AC15" i="37"/>
  <c r="AC16" i="37"/>
  <c r="AC17" i="37"/>
  <c r="AC18" i="37"/>
  <c r="AC19" i="37"/>
  <c r="AC20" i="37"/>
  <c r="AC21" i="37"/>
  <c r="AC22" i="37"/>
  <c r="AC23" i="37"/>
  <c r="AC24" i="37"/>
  <c r="AC25" i="37"/>
  <c r="AC26" i="37"/>
  <c r="AC27" i="37"/>
  <c r="AC28" i="37"/>
  <c r="AC29" i="37"/>
  <c r="AC30" i="37"/>
  <c r="AC31" i="37"/>
  <c r="AC32" i="37"/>
  <c r="AC33" i="37"/>
  <c r="AC34" i="37"/>
  <c r="AC35" i="37"/>
  <c r="AC36" i="37"/>
  <c r="AC37" i="37"/>
  <c r="AC38" i="37"/>
  <c r="AC39" i="37"/>
  <c r="AC40" i="37"/>
  <c r="AC41" i="37"/>
  <c r="AC42" i="37"/>
  <c r="AC43" i="37"/>
  <c r="AC44" i="37"/>
  <c r="AC45" i="37"/>
  <c r="AC46" i="37"/>
  <c r="AC47" i="37"/>
  <c r="AC48" i="37"/>
  <c r="AC49" i="37"/>
  <c r="AC50" i="37"/>
  <c r="AC51" i="37"/>
  <c r="AC52" i="37"/>
  <c r="AC53" i="37"/>
  <c r="AC54" i="37"/>
  <c r="AC55" i="37"/>
  <c r="AC56" i="37"/>
  <c r="AC57" i="37"/>
  <c r="AC58" i="37"/>
  <c r="AC59" i="37"/>
  <c r="AC60" i="37"/>
  <c r="AC61" i="37"/>
  <c r="AC62" i="37"/>
  <c r="AC63" i="37"/>
  <c r="AC64" i="37"/>
  <c r="AC65" i="37"/>
  <c r="AC66" i="37"/>
  <c r="AC67" i="37"/>
  <c r="AC68" i="37"/>
  <c r="AC69" i="37"/>
  <c r="AC70" i="37"/>
  <c r="AC71" i="37"/>
  <c r="AC72" i="37"/>
  <c r="AC73" i="37"/>
  <c r="AC74" i="37"/>
  <c r="AC75" i="37"/>
  <c r="AC76" i="37"/>
  <c r="AC77" i="37"/>
  <c r="AC78" i="37"/>
  <c r="AC79" i="37"/>
  <c r="AC80" i="37"/>
  <c r="AC81" i="37"/>
  <c r="AC82" i="37"/>
  <c r="AC83" i="37"/>
  <c r="AC84" i="37"/>
  <c r="AC85" i="37"/>
  <c r="AC86" i="37"/>
  <c r="AC87" i="37"/>
  <c r="AC88" i="37"/>
  <c r="AC89" i="37"/>
  <c r="AC90" i="37"/>
  <c r="AC91" i="37"/>
  <c r="AC92" i="37"/>
  <c r="AC93" i="37"/>
  <c r="AC94" i="37"/>
  <c r="AC95" i="37"/>
  <c r="AC96" i="37"/>
  <c r="AC97" i="37"/>
  <c r="AC98" i="37"/>
  <c r="AC99" i="37"/>
  <c r="AC100" i="37"/>
  <c r="AC101" i="37"/>
  <c r="AC102" i="37"/>
  <c r="AC103" i="37"/>
  <c r="AC104" i="37"/>
  <c r="AC105" i="37"/>
  <c r="AC106" i="37"/>
  <c r="AC107" i="37"/>
  <c r="AC108" i="37"/>
  <c r="AC109" i="37"/>
  <c r="AC110" i="37"/>
  <c r="AC111" i="37"/>
  <c r="AC112" i="37"/>
  <c r="AC113" i="37"/>
  <c r="AC8" i="37"/>
  <c r="AB9" i="37"/>
  <c r="AB10" i="37"/>
  <c r="AB11" i="37"/>
  <c r="AB12" i="37"/>
  <c r="AB13" i="37"/>
  <c r="AB14" i="37"/>
  <c r="AB15" i="37"/>
  <c r="AB16" i="37"/>
  <c r="AB17" i="37"/>
  <c r="AB18" i="37"/>
  <c r="AB19" i="37"/>
  <c r="AB20" i="37"/>
  <c r="AB21" i="37"/>
  <c r="AB22" i="37"/>
  <c r="AB23" i="37"/>
  <c r="AB24" i="37"/>
  <c r="AB25" i="37"/>
  <c r="AB26" i="37"/>
  <c r="AB27" i="37"/>
  <c r="AB28" i="37"/>
  <c r="AB29" i="37"/>
  <c r="AB30" i="37"/>
  <c r="AB31" i="37"/>
  <c r="AB32" i="37"/>
  <c r="AB33" i="37"/>
  <c r="AB34" i="37"/>
  <c r="AB35" i="37"/>
  <c r="AB36" i="37"/>
  <c r="AB37" i="37"/>
  <c r="AB38" i="37"/>
  <c r="AB39" i="37"/>
  <c r="AB40" i="37"/>
  <c r="AB41" i="37"/>
  <c r="AB42" i="37"/>
  <c r="AB43" i="37"/>
  <c r="AB44" i="37"/>
  <c r="AB45" i="37"/>
  <c r="AB46" i="37"/>
  <c r="AB47" i="37"/>
  <c r="AB48" i="37"/>
  <c r="AB49" i="37"/>
  <c r="AB50" i="37"/>
  <c r="AB51" i="37"/>
  <c r="AB52" i="37"/>
  <c r="AB53" i="37"/>
  <c r="AB54" i="37"/>
  <c r="AB55" i="37"/>
  <c r="AB56" i="37"/>
  <c r="AB57" i="37"/>
  <c r="AB58" i="37"/>
  <c r="AB59" i="37"/>
  <c r="AB60" i="37"/>
  <c r="AB61" i="37"/>
  <c r="AB62" i="37"/>
  <c r="AB63" i="37"/>
  <c r="AB64" i="37"/>
  <c r="AB65" i="37"/>
  <c r="AB66" i="37"/>
  <c r="AB67" i="37"/>
  <c r="AB68" i="37"/>
  <c r="AB69" i="37"/>
  <c r="AB70" i="37"/>
  <c r="AB71" i="37"/>
  <c r="AB72" i="37"/>
  <c r="AB73" i="37"/>
  <c r="AB74" i="37"/>
  <c r="AB75" i="37"/>
  <c r="AB76" i="37"/>
  <c r="AB77" i="37"/>
  <c r="AB78" i="37"/>
  <c r="AB79" i="37"/>
  <c r="AB80" i="37"/>
  <c r="AB81" i="37"/>
  <c r="AB82" i="37"/>
  <c r="AB83" i="37"/>
  <c r="AB84" i="37"/>
  <c r="AB85" i="37"/>
  <c r="AB86" i="37"/>
  <c r="AB87" i="37"/>
  <c r="AB88" i="37"/>
  <c r="AB89" i="37"/>
  <c r="AB90" i="37"/>
  <c r="AB91" i="37"/>
  <c r="AB92" i="37"/>
  <c r="AB93" i="37"/>
  <c r="AB94" i="37"/>
  <c r="AB95" i="37"/>
  <c r="AB96" i="37"/>
  <c r="AB97" i="37"/>
  <c r="AB98" i="37"/>
  <c r="AB99" i="37"/>
  <c r="AB100" i="37"/>
  <c r="AB101" i="37"/>
  <c r="AB102" i="37"/>
  <c r="AB103" i="37"/>
  <c r="AB104" i="37"/>
  <c r="AB105" i="37"/>
  <c r="AB106" i="37"/>
  <c r="AB107" i="37"/>
  <c r="AB108" i="37"/>
  <c r="AB109" i="37"/>
  <c r="AB110" i="37"/>
  <c r="AB111" i="37"/>
  <c r="AB112" i="37"/>
  <c r="AB113" i="37"/>
  <c r="AB8" i="37"/>
  <c r="Z9" i="37"/>
  <c r="Z10" i="37"/>
  <c r="Z11" i="37"/>
  <c r="Z12" i="37"/>
  <c r="Z13" i="37"/>
  <c r="Z14" i="37"/>
  <c r="Z15" i="37"/>
  <c r="Z16" i="37"/>
  <c r="Z17" i="37"/>
  <c r="Z18" i="37"/>
  <c r="Z19" i="37"/>
  <c r="Z20" i="37"/>
  <c r="Z21" i="37"/>
  <c r="Z22" i="37"/>
  <c r="Z23" i="37"/>
  <c r="Z24" i="37"/>
  <c r="Z25" i="37"/>
  <c r="Z26" i="37"/>
  <c r="Z27" i="37"/>
  <c r="Z28" i="37"/>
  <c r="Z29" i="37"/>
  <c r="Z30" i="37"/>
  <c r="Z31" i="37"/>
  <c r="Z32" i="37"/>
  <c r="Z33" i="37"/>
  <c r="Z34" i="37"/>
  <c r="Z35" i="37"/>
  <c r="Z36" i="37"/>
  <c r="Z37" i="37"/>
  <c r="Z38" i="37"/>
  <c r="Z39" i="37"/>
  <c r="Z40" i="37"/>
  <c r="Z41" i="37"/>
  <c r="Z42" i="37"/>
  <c r="Z43" i="37"/>
  <c r="Z44" i="37"/>
  <c r="Z45" i="37"/>
  <c r="Z46" i="37"/>
  <c r="Z47" i="37"/>
  <c r="Z48" i="37"/>
  <c r="Z49" i="37"/>
  <c r="Z50" i="37"/>
  <c r="Z51" i="37"/>
  <c r="Z52" i="37"/>
  <c r="Z53" i="37"/>
  <c r="Z54" i="37"/>
  <c r="Z55" i="37"/>
  <c r="Z56" i="37"/>
  <c r="Z57" i="37"/>
  <c r="Z58" i="37"/>
  <c r="Z59" i="37"/>
  <c r="Z60" i="37"/>
  <c r="Z61" i="37"/>
  <c r="Z62" i="37"/>
  <c r="Z63" i="37"/>
  <c r="Z64" i="37"/>
  <c r="Z65" i="37"/>
  <c r="Z66" i="37"/>
  <c r="Z67" i="37"/>
  <c r="Z68" i="37"/>
  <c r="Z69" i="37"/>
  <c r="Z70" i="37"/>
  <c r="Z71" i="37"/>
  <c r="Z72" i="37"/>
  <c r="Z73" i="37"/>
  <c r="Z74" i="37"/>
  <c r="Z75" i="37"/>
  <c r="Z76" i="37"/>
  <c r="Z77" i="37"/>
  <c r="Z78" i="37"/>
  <c r="Z79" i="37"/>
  <c r="Z80" i="37"/>
  <c r="Z81" i="37"/>
  <c r="Z82" i="37"/>
  <c r="Z83" i="37"/>
  <c r="Z84" i="37"/>
  <c r="Z85" i="37"/>
  <c r="Z86" i="37"/>
  <c r="Z87" i="37"/>
  <c r="Z88" i="37"/>
  <c r="Z89" i="37"/>
  <c r="Z90" i="37"/>
  <c r="Z91" i="37"/>
  <c r="Z92" i="37"/>
  <c r="Z93" i="37"/>
  <c r="Z94" i="37"/>
  <c r="Z95" i="37"/>
  <c r="Z96" i="37"/>
  <c r="Z97" i="37"/>
  <c r="Z98" i="37"/>
  <c r="Z99" i="37"/>
  <c r="Z100" i="37"/>
  <c r="Z101" i="37"/>
  <c r="Z102" i="37"/>
  <c r="Z103" i="37"/>
  <c r="Z104" i="37"/>
  <c r="Z105" i="37"/>
  <c r="Z106" i="37"/>
  <c r="Z107" i="37"/>
  <c r="Z108" i="37"/>
  <c r="Z109" i="37"/>
  <c r="Z110" i="37"/>
  <c r="Z111" i="37"/>
  <c r="Z112" i="37"/>
  <c r="Z113" i="37"/>
  <c r="AA9" i="37"/>
  <c r="AA10" i="37"/>
  <c r="AA11" i="37"/>
  <c r="AA12" i="37"/>
  <c r="AA13" i="37"/>
  <c r="AA14" i="37"/>
  <c r="AA15" i="37"/>
  <c r="AA16" i="37"/>
  <c r="AA17" i="37"/>
  <c r="AA18" i="37"/>
  <c r="AA19" i="37"/>
  <c r="AA20" i="37"/>
  <c r="AA21" i="37"/>
  <c r="AA22" i="37"/>
  <c r="AA23" i="37"/>
  <c r="AA24" i="37"/>
  <c r="AA25" i="37"/>
  <c r="AA26" i="37"/>
  <c r="AA27" i="37"/>
  <c r="AA28" i="37"/>
  <c r="AA29" i="37"/>
  <c r="AA30" i="37"/>
  <c r="AA31" i="37"/>
  <c r="AA32" i="37"/>
  <c r="AA33" i="37"/>
  <c r="AA34" i="37"/>
  <c r="AA35" i="37"/>
  <c r="AA36" i="37"/>
  <c r="AA37" i="37"/>
  <c r="AA38" i="37"/>
  <c r="AA39" i="37"/>
  <c r="AA40" i="37"/>
  <c r="AA41" i="37"/>
  <c r="AA42" i="37"/>
  <c r="AA43" i="37"/>
  <c r="AA44" i="37"/>
  <c r="AA45" i="37"/>
  <c r="AA46" i="37"/>
  <c r="AA47" i="37"/>
  <c r="AA48" i="37"/>
  <c r="AA49" i="37"/>
  <c r="AA50" i="37"/>
  <c r="AA51" i="37"/>
  <c r="AA52" i="37"/>
  <c r="AA53" i="37"/>
  <c r="AA54" i="37"/>
  <c r="AA55" i="37"/>
  <c r="AA56" i="37"/>
  <c r="AA57" i="37"/>
  <c r="AA58" i="37"/>
  <c r="AA59" i="37"/>
  <c r="AA60" i="37"/>
  <c r="AA61" i="37"/>
  <c r="AA62" i="37"/>
  <c r="AA63" i="37"/>
  <c r="AA64" i="37"/>
  <c r="AA65" i="37"/>
  <c r="AA66" i="37"/>
  <c r="AA67" i="37"/>
  <c r="AA68" i="37"/>
  <c r="AA69" i="37"/>
  <c r="AA70" i="37"/>
  <c r="AA71" i="37"/>
  <c r="AA72" i="37"/>
  <c r="AA73" i="37"/>
  <c r="AA74" i="37"/>
  <c r="AA75" i="37"/>
  <c r="AA76" i="37"/>
  <c r="AA77" i="37"/>
  <c r="AA78" i="37"/>
  <c r="AA79" i="37"/>
  <c r="AA80" i="37"/>
  <c r="AA81" i="37"/>
  <c r="AA82" i="37"/>
  <c r="AA83" i="37"/>
  <c r="AA84" i="37"/>
  <c r="AA85" i="37"/>
  <c r="AA86" i="37"/>
  <c r="AA87" i="37"/>
  <c r="AA88" i="37"/>
  <c r="AA89" i="37"/>
  <c r="AA90" i="37"/>
  <c r="AA91" i="37"/>
  <c r="AA92" i="37"/>
  <c r="AA93" i="37"/>
  <c r="AA94" i="37"/>
  <c r="AA95" i="37"/>
  <c r="AA96" i="37"/>
  <c r="AA97" i="37"/>
  <c r="AA98" i="37"/>
  <c r="AA99" i="37"/>
  <c r="AA100" i="37"/>
  <c r="AA101" i="37"/>
  <c r="AA102" i="37"/>
  <c r="AA103" i="37"/>
  <c r="AA104" i="37"/>
  <c r="AA105" i="37"/>
  <c r="AA106" i="37"/>
  <c r="AA107" i="37"/>
  <c r="AA108" i="37"/>
  <c r="AA109" i="37"/>
  <c r="AA110" i="37"/>
  <c r="AA111" i="37"/>
  <c r="AA112" i="37"/>
  <c r="AA113" i="37"/>
  <c r="AA8" i="37"/>
  <c r="Z8" i="37"/>
  <c r="Y9" i="37"/>
  <c r="Y10" i="37"/>
  <c r="Y11" i="37"/>
  <c r="Y12" i="37"/>
  <c r="Y13" i="37"/>
  <c r="Y14" i="37"/>
  <c r="Y15" i="37"/>
  <c r="Y16" i="37"/>
  <c r="Y17" i="37"/>
  <c r="Y18" i="37"/>
  <c r="Y19" i="37"/>
  <c r="Y20" i="37"/>
  <c r="Y21" i="37"/>
  <c r="Y22" i="37"/>
  <c r="Y23" i="37"/>
  <c r="Y24" i="37"/>
  <c r="Y25" i="37"/>
  <c r="Y26" i="37"/>
  <c r="Y27" i="37"/>
  <c r="Y28" i="37"/>
  <c r="Y29" i="37"/>
  <c r="Y30" i="37"/>
  <c r="Y31" i="37"/>
  <c r="Y32" i="37"/>
  <c r="Y33" i="37"/>
  <c r="Y34" i="37"/>
  <c r="Y35" i="37"/>
  <c r="Y36" i="37"/>
  <c r="Y37" i="37"/>
  <c r="Y38" i="37"/>
  <c r="Y39" i="37"/>
  <c r="Y40" i="37"/>
  <c r="Y41" i="37"/>
  <c r="Y42" i="37"/>
  <c r="Y43" i="37"/>
  <c r="Y44" i="37"/>
  <c r="Y45" i="37"/>
  <c r="Y46" i="37"/>
  <c r="Y47" i="37"/>
  <c r="Y48" i="37"/>
  <c r="Y49" i="37"/>
  <c r="Y50" i="37"/>
  <c r="Y51" i="37"/>
  <c r="Y52" i="37"/>
  <c r="Y53" i="37"/>
  <c r="Y54" i="37"/>
  <c r="Y55" i="37"/>
  <c r="Y56" i="37"/>
  <c r="Y57" i="37"/>
  <c r="Y58" i="37"/>
  <c r="Y59" i="37"/>
  <c r="Y60" i="37"/>
  <c r="Y61" i="37"/>
  <c r="Y62" i="37"/>
  <c r="Y63" i="37"/>
  <c r="Y64" i="37"/>
  <c r="Y65" i="37"/>
  <c r="Y66" i="37"/>
  <c r="Y67" i="37"/>
  <c r="Y68" i="37"/>
  <c r="Y69" i="37"/>
  <c r="Y70" i="37"/>
  <c r="Y71" i="37"/>
  <c r="Y72" i="37"/>
  <c r="Y73" i="37"/>
  <c r="Y74" i="37"/>
  <c r="Y75" i="37"/>
  <c r="Y76" i="37"/>
  <c r="Y77" i="37"/>
  <c r="Y78" i="37"/>
  <c r="Y79" i="37"/>
  <c r="Y80" i="37"/>
  <c r="Y81" i="37"/>
  <c r="Y82" i="37"/>
  <c r="Y83" i="37"/>
  <c r="Y84" i="37"/>
  <c r="Y85" i="37"/>
  <c r="Y86" i="37"/>
  <c r="Y87" i="37"/>
  <c r="Y88" i="37"/>
  <c r="Y89" i="37"/>
  <c r="Y90" i="37"/>
  <c r="Y91" i="37"/>
  <c r="Y92" i="37"/>
  <c r="Y93" i="37"/>
  <c r="Y94" i="37"/>
  <c r="Y95" i="37"/>
  <c r="Y96" i="37"/>
  <c r="Y97" i="37"/>
  <c r="Y98" i="37"/>
  <c r="Y99" i="37"/>
  <c r="Y100" i="37"/>
  <c r="Y101" i="37"/>
  <c r="Y102" i="37"/>
  <c r="Y103" i="37"/>
  <c r="Y104" i="37"/>
  <c r="Y105" i="37"/>
  <c r="Y106" i="37"/>
  <c r="Y107" i="37"/>
  <c r="Y108" i="37"/>
  <c r="Y109" i="37"/>
  <c r="Y110" i="37"/>
  <c r="Y111" i="37"/>
  <c r="Y112" i="37"/>
  <c r="Y113" i="37"/>
  <c r="T9" i="37"/>
  <c r="U9" i="37"/>
  <c r="V9" i="37"/>
  <c r="X9" i="37"/>
  <c r="T10" i="37"/>
  <c r="U10" i="37"/>
  <c r="V10" i="37"/>
  <c r="X10" i="37"/>
  <c r="T11" i="37"/>
  <c r="U11" i="37"/>
  <c r="V11" i="37"/>
  <c r="X11" i="37"/>
  <c r="T12" i="37"/>
  <c r="U12" i="37"/>
  <c r="V12" i="37"/>
  <c r="X12" i="37"/>
  <c r="T13" i="37"/>
  <c r="U13" i="37"/>
  <c r="V13" i="37"/>
  <c r="X13" i="37"/>
  <c r="T14" i="37"/>
  <c r="U14" i="37"/>
  <c r="V14" i="37"/>
  <c r="X14" i="37"/>
  <c r="T15" i="37"/>
  <c r="U15" i="37"/>
  <c r="V15" i="37"/>
  <c r="X15" i="37"/>
  <c r="T16" i="37"/>
  <c r="U16" i="37"/>
  <c r="V16" i="37"/>
  <c r="X16" i="37"/>
  <c r="T17" i="37"/>
  <c r="U17" i="37"/>
  <c r="V17" i="37"/>
  <c r="X17" i="37"/>
  <c r="T18" i="37"/>
  <c r="U18" i="37"/>
  <c r="V18" i="37"/>
  <c r="X18" i="37"/>
  <c r="T19" i="37"/>
  <c r="U19" i="37"/>
  <c r="V19" i="37"/>
  <c r="X19" i="37"/>
  <c r="T20" i="37"/>
  <c r="U20" i="37"/>
  <c r="V20" i="37"/>
  <c r="X20" i="37"/>
  <c r="T21" i="37"/>
  <c r="U21" i="37"/>
  <c r="V21" i="37"/>
  <c r="X21" i="37"/>
  <c r="T22" i="37"/>
  <c r="U22" i="37"/>
  <c r="V22" i="37"/>
  <c r="X22" i="37"/>
  <c r="T23" i="37"/>
  <c r="U23" i="37"/>
  <c r="V23" i="37"/>
  <c r="X23" i="37"/>
  <c r="T24" i="37"/>
  <c r="U24" i="37"/>
  <c r="V24" i="37"/>
  <c r="X24" i="37"/>
  <c r="T25" i="37"/>
  <c r="U25" i="37"/>
  <c r="V25" i="37"/>
  <c r="X25" i="37"/>
  <c r="T26" i="37"/>
  <c r="U26" i="37"/>
  <c r="V26" i="37"/>
  <c r="X26" i="37"/>
  <c r="T27" i="37"/>
  <c r="U27" i="37"/>
  <c r="V27" i="37"/>
  <c r="X27" i="37"/>
  <c r="T28" i="37"/>
  <c r="U28" i="37"/>
  <c r="V28" i="37"/>
  <c r="X28" i="37"/>
  <c r="T29" i="37"/>
  <c r="U29" i="37"/>
  <c r="V29" i="37"/>
  <c r="X29" i="37"/>
  <c r="T30" i="37"/>
  <c r="U30" i="37"/>
  <c r="V30" i="37"/>
  <c r="X30" i="37"/>
  <c r="T31" i="37"/>
  <c r="U31" i="37"/>
  <c r="V31" i="37"/>
  <c r="X31" i="37"/>
  <c r="T32" i="37"/>
  <c r="U32" i="37"/>
  <c r="V32" i="37"/>
  <c r="X32" i="37"/>
  <c r="T33" i="37"/>
  <c r="U33" i="37"/>
  <c r="V33" i="37"/>
  <c r="X33" i="37"/>
  <c r="T34" i="37"/>
  <c r="U34" i="37"/>
  <c r="V34" i="37"/>
  <c r="X34" i="37"/>
  <c r="T35" i="37"/>
  <c r="U35" i="37"/>
  <c r="V35" i="37"/>
  <c r="X35" i="37"/>
  <c r="T36" i="37"/>
  <c r="U36" i="37"/>
  <c r="V36" i="37"/>
  <c r="X36" i="37"/>
  <c r="T37" i="37"/>
  <c r="U37" i="37"/>
  <c r="V37" i="37"/>
  <c r="X37" i="37"/>
  <c r="T38" i="37"/>
  <c r="U38" i="37"/>
  <c r="V38" i="37"/>
  <c r="X38" i="37"/>
  <c r="T39" i="37"/>
  <c r="U39" i="37"/>
  <c r="V39" i="37"/>
  <c r="X39" i="37"/>
  <c r="T40" i="37"/>
  <c r="U40" i="37"/>
  <c r="V40" i="37"/>
  <c r="X40" i="37"/>
  <c r="T41" i="37"/>
  <c r="U41" i="37"/>
  <c r="V41" i="37"/>
  <c r="X41" i="37"/>
  <c r="T42" i="37"/>
  <c r="U42" i="37"/>
  <c r="V42" i="37"/>
  <c r="X42" i="37"/>
  <c r="T43" i="37"/>
  <c r="U43" i="37"/>
  <c r="V43" i="37"/>
  <c r="X43" i="37"/>
  <c r="T44" i="37"/>
  <c r="U44" i="37"/>
  <c r="V44" i="37"/>
  <c r="X44" i="37"/>
  <c r="T45" i="37"/>
  <c r="U45" i="37"/>
  <c r="V45" i="37"/>
  <c r="X45" i="37"/>
  <c r="T46" i="37"/>
  <c r="U46" i="37"/>
  <c r="V46" i="37"/>
  <c r="X46" i="37"/>
  <c r="T47" i="37"/>
  <c r="U47" i="37"/>
  <c r="V47" i="37"/>
  <c r="X47" i="37"/>
  <c r="T48" i="37"/>
  <c r="U48" i="37"/>
  <c r="V48" i="37"/>
  <c r="X48" i="37"/>
  <c r="T49" i="37"/>
  <c r="U49" i="37"/>
  <c r="V49" i="37"/>
  <c r="X49" i="37"/>
  <c r="T50" i="37"/>
  <c r="U50" i="37"/>
  <c r="V50" i="37"/>
  <c r="X50" i="37"/>
  <c r="T51" i="37"/>
  <c r="U51" i="37"/>
  <c r="V51" i="37"/>
  <c r="X51" i="37"/>
  <c r="T52" i="37"/>
  <c r="U52" i="37"/>
  <c r="V52" i="37"/>
  <c r="X52" i="37"/>
  <c r="T53" i="37"/>
  <c r="U53" i="37"/>
  <c r="V53" i="37"/>
  <c r="X53" i="37"/>
  <c r="T54" i="37"/>
  <c r="U54" i="37"/>
  <c r="V54" i="37"/>
  <c r="X54" i="37"/>
  <c r="T55" i="37"/>
  <c r="U55" i="37"/>
  <c r="V55" i="37"/>
  <c r="X55" i="37"/>
  <c r="T56" i="37"/>
  <c r="U56" i="37"/>
  <c r="V56" i="37"/>
  <c r="X56" i="37"/>
  <c r="T57" i="37"/>
  <c r="U57" i="37"/>
  <c r="V57" i="37"/>
  <c r="X57" i="37"/>
  <c r="T58" i="37"/>
  <c r="U58" i="37"/>
  <c r="V58" i="37"/>
  <c r="X58" i="37"/>
  <c r="T59" i="37"/>
  <c r="U59" i="37"/>
  <c r="V59" i="37"/>
  <c r="X59" i="37"/>
  <c r="T60" i="37"/>
  <c r="U60" i="37"/>
  <c r="V60" i="37"/>
  <c r="X60" i="37"/>
  <c r="T61" i="37"/>
  <c r="U61" i="37"/>
  <c r="V61" i="37"/>
  <c r="X61" i="37"/>
  <c r="T62" i="37"/>
  <c r="U62" i="37"/>
  <c r="V62" i="37"/>
  <c r="X62" i="37"/>
  <c r="T63" i="37"/>
  <c r="U63" i="37"/>
  <c r="V63" i="37"/>
  <c r="X63" i="37"/>
  <c r="T64" i="37"/>
  <c r="U64" i="37"/>
  <c r="V64" i="37"/>
  <c r="X64" i="37"/>
  <c r="T65" i="37"/>
  <c r="U65" i="37"/>
  <c r="V65" i="37"/>
  <c r="X65" i="37"/>
  <c r="T66" i="37"/>
  <c r="U66" i="37"/>
  <c r="V66" i="37"/>
  <c r="X66" i="37"/>
  <c r="T67" i="37"/>
  <c r="U67" i="37"/>
  <c r="V67" i="37"/>
  <c r="X67" i="37"/>
  <c r="T68" i="37"/>
  <c r="U68" i="37"/>
  <c r="V68" i="37"/>
  <c r="X68" i="37"/>
  <c r="T69" i="37"/>
  <c r="U69" i="37"/>
  <c r="V69" i="37"/>
  <c r="X69" i="37"/>
  <c r="T70" i="37"/>
  <c r="U70" i="37"/>
  <c r="V70" i="37"/>
  <c r="X70" i="37"/>
  <c r="T71" i="37"/>
  <c r="U71" i="37"/>
  <c r="V71" i="37"/>
  <c r="X71" i="37"/>
  <c r="T72" i="37"/>
  <c r="U72" i="37"/>
  <c r="V72" i="37"/>
  <c r="X72" i="37"/>
  <c r="T73" i="37"/>
  <c r="U73" i="37"/>
  <c r="V73" i="37"/>
  <c r="X73" i="37"/>
  <c r="T74" i="37"/>
  <c r="U74" i="37"/>
  <c r="V74" i="37"/>
  <c r="X74" i="37"/>
  <c r="T75" i="37"/>
  <c r="U75" i="37"/>
  <c r="V75" i="37"/>
  <c r="X75" i="37"/>
  <c r="T76" i="37"/>
  <c r="U76" i="37"/>
  <c r="V76" i="37"/>
  <c r="X76" i="37"/>
  <c r="T77" i="37"/>
  <c r="U77" i="37"/>
  <c r="V77" i="37"/>
  <c r="X77" i="37"/>
  <c r="T78" i="37"/>
  <c r="U78" i="37"/>
  <c r="V78" i="37"/>
  <c r="X78" i="37"/>
  <c r="T79" i="37"/>
  <c r="U79" i="37"/>
  <c r="V79" i="37"/>
  <c r="X79" i="37"/>
  <c r="T80" i="37"/>
  <c r="U80" i="37"/>
  <c r="V80" i="37"/>
  <c r="X80" i="37"/>
  <c r="T81" i="37"/>
  <c r="U81" i="37"/>
  <c r="V81" i="37"/>
  <c r="X81" i="37"/>
  <c r="T82" i="37"/>
  <c r="U82" i="37"/>
  <c r="V82" i="37"/>
  <c r="X82" i="37"/>
  <c r="T83" i="37"/>
  <c r="U83" i="37"/>
  <c r="V83" i="37"/>
  <c r="X83" i="37"/>
  <c r="T84" i="37"/>
  <c r="U84" i="37"/>
  <c r="V84" i="37"/>
  <c r="X84" i="37"/>
  <c r="T85" i="37"/>
  <c r="U85" i="37"/>
  <c r="V85" i="37"/>
  <c r="X85" i="37"/>
  <c r="T86" i="37"/>
  <c r="U86" i="37"/>
  <c r="V86" i="37"/>
  <c r="X86" i="37"/>
  <c r="T87" i="37"/>
  <c r="U87" i="37"/>
  <c r="V87" i="37"/>
  <c r="X87" i="37"/>
  <c r="T88" i="37"/>
  <c r="U88" i="37"/>
  <c r="V88" i="37"/>
  <c r="X88" i="37"/>
  <c r="T89" i="37"/>
  <c r="U89" i="37"/>
  <c r="V89" i="37"/>
  <c r="X89" i="37"/>
  <c r="T90" i="37"/>
  <c r="U90" i="37"/>
  <c r="V90" i="37"/>
  <c r="X90" i="37"/>
  <c r="T91" i="37"/>
  <c r="U91" i="37"/>
  <c r="V91" i="37"/>
  <c r="X91" i="37"/>
  <c r="T92" i="37"/>
  <c r="U92" i="37"/>
  <c r="V92" i="37"/>
  <c r="X92" i="37"/>
  <c r="T93" i="37"/>
  <c r="U93" i="37"/>
  <c r="V93" i="37"/>
  <c r="X93" i="37"/>
  <c r="T94" i="37"/>
  <c r="U94" i="37"/>
  <c r="V94" i="37"/>
  <c r="X94" i="37"/>
  <c r="T95" i="37"/>
  <c r="U95" i="37"/>
  <c r="V95" i="37"/>
  <c r="X95" i="37"/>
  <c r="T96" i="37"/>
  <c r="U96" i="37"/>
  <c r="V96" i="37"/>
  <c r="X96" i="37"/>
  <c r="T97" i="37"/>
  <c r="U97" i="37"/>
  <c r="V97" i="37"/>
  <c r="X97" i="37"/>
  <c r="T98" i="37"/>
  <c r="U98" i="37"/>
  <c r="V98" i="37"/>
  <c r="X98" i="37"/>
  <c r="T99" i="37"/>
  <c r="U99" i="37"/>
  <c r="V99" i="37"/>
  <c r="X99" i="37"/>
  <c r="T100" i="37"/>
  <c r="U100" i="37"/>
  <c r="V100" i="37"/>
  <c r="X100" i="37"/>
  <c r="T101" i="37"/>
  <c r="U101" i="37"/>
  <c r="V101" i="37"/>
  <c r="X101" i="37"/>
  <c r="T102" i="37"/>
  <c r="U102" i="37"/>
  <c r="V102" i="37"/>
  <c r="X102" i="37"/>
  <c r="T103" i="37"/>
  <c r="U103" i="37"/>
  <c r="V103" i="37"/>
  <c r="X103" i="37"/>
  <c r="T104" i="37"/>
  <c r="U104" i="37"/>
  <c r="V104" i="37"/>
  <c r="X104" i="37"/>
  <c r="T105" i="37"/>
  <c r="U105" i="37"/>
  <c r="V105" i="37"/>
  <c r="X105" i="37"/>
  <c r="T106" i="37"/>
  <c r="U106" i="37"/>
  <c r="V106" i="37"/>
  <c r="X106" i="37"/>
  <c r="T107" i="37"/>
  <c r="U107" i="37"/>
  <c r="V107" i="37"/>
  <c r="X107" i="37"/>
  <c r="T108" i="37"/>
  <c r="U108" i="37"/>
  <c r="V108" i="37"/>
  <c r="X108" i="37"/>
  <c r="T109" i="37"/>
  <c r="U109" i="37"/>
  <c r="V109" i="37"/>
  <c r="X109" i="37"/>
  <c r="T110" i="37"/>
  <c r="U110" i="37"/>
  <c r="V110" i="37"/>
  <c r="X110" i="37"/>
  <c r="T111" i="37"/>
  <c r="U111" i="37"/>
  <c r="V111" i="37"/>
  <c r="X111" i="37"/>
  <c r="T112" i="37"/>
  <c r="U112" i="37"/>
  <c r="V112" i="37"/>
  <c r="X112" i="37"/>
  <c r="T113" i="37"/>
  <c r="U113" i="37"/>
  <c r="V113" i="37"/>
  <c r="X113" i="37"/>
  <c r="Y8" i="37"/>
  <c r="X8" i="37"/>
  <c r="U8" i="37"/>
  <c r="V8" i="37"/>
  <c r="T8" i="37"/>
  <c r="S9" i="37"/>
  <c r="S10" i="37"/>
  <c r="S11" i="37"/>
  <c r="S12" i="37"/>
  <c r="S13" i="37"/>
  <c r="S14" i="37"/>
  <c r="S15" i="37"/>
  <c r="S16" i="37"/>
  <c r="S17" i="37"/>
  <c r="S18" i="37"/>
  <c r="S19" i="37"/>
  <c r="S20" i="37"/>
  <c r="S21" i="37"/>
  <c r="S22" i="37"/>
  <c r="S23" i="37"/>
  <c r="S24" i="37"/>
  <c r="S25" i="37"/>
  <c r="S26" i="37"/>
  <c r="S27" i="37"/>
  <c r="S28" i="37"/>
  <c r="S29" i="37"/>
  <c r="S30" i="37"/>
  <c r="S31" i="37"/>
  <c r="S32" i="37"/>
  <c r="S33" i="37"/>
  <c r="S34" i="37"/>
  <c r="S35" i="37"/>
  <c r="S36" i="37"/>
  <c r="S37" i="37"/>
  <c r="S38" i="37"/>
  <c r="S39" i="37"/>
  <c r="S40" i="37"/>
  <c r="S41" i="37"/>
  <c r="S42" i="37"/>
  <c r="S43"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S85" i="37"/>
  <c r="S86" i="37"/>
  <c r="S87" i="37"/>
  <c r="S88" i="37"/>
  <c r="S89" i="37"/>
  <c r="S90" i="37"/>
  <c r="S91" i="37"/>
  <c r="S92" i="37"/>
  <c r="S93" i="37"/>
  <c r="S94" i="37"/>
  <c r="S95" i="37"/>
  <c r="S96" i="37"/>
  <c r="S97" i="37"/>
  <c r="S98" i="37"/>
  <c r="S99" i="37"/>
  <c r="S100" i="37"/>
  <c r="S101" i="37"/>
  <c r="S102" i="37"/>
  <c r="S103" i="37"/>
  <c r="S104" i="37"/>
  <c r="S105" i="37"/>
  <c r="S106" i="37"/>
  <c r="S107" i="37"/>
  <c r="S108" i="37"/>
  <c r="S109" i="37"/>
  <c r="S110" i="37"/>
  <c r="S111" i="37"/>
  <c r="S112" i="37"/>
  <c r="S113" i="37"/>
  <c r="R9" i="37"/>
  <c r="R10" i="37"/>
  <c r="R11" i="37"/>
  <c r="R12" i="37"/>
  <c r="R13" i="37"/>
  <c r="R14" i="37"/>
  <c r="R15" i="37"/>
  <c r="R16" i="37"/>
  <c r="R17" i="37"/>
  <c r="R18" i="37"/>
  <c r="R19" i="37"/>
  <c r="R20" i="37"/>
  <c r="R21" i="37"/>
  <c r="R22" i="37"/>
  <c r="R23" i="37"/>
  <c r="R24" i="37"/>
  <c r="R25" i="37"/>
  <c r="R26" i="37"/>
  <c r="R27" i="37"/>
  <c r="R28" i="37"/>
  <c r="R29" i="37"/>
  <c r="R30" i="37"/>
  <c r="R31" i="37"/>
  <c r="R32" i="37"/>
  <c r="R33" i="37"/>
  <c r="R34" i="37"/>
  <c r="R35" i="37"/>
  <c r="R36" i="37"/>
  <c r="R37" i="37"/>
  <c r="R38" i="37"/>
  <c r="R39" i="37"/>
  <c r="R40" i="37"/>
  <c r="R41" i="37"/>
  <c r="R42" i="37"/>
  <c r="R43" i="37"/>
  <c r="R44" i="37"/>
  <c r="R45" i="37"/>
  <c r="R46" i="37"/>
  <c r="R47" i="37"/>
  <c r="R48" i="37"/>
  <c r="R49" i="37"/>
  <c r="R50" i="37"/>
  <c r="R51" i="37"/>
  <c r="R52" i="37"/>
  <c r="R53" i="37"/>
  <c r="R54" i="37"/>
  <c r="R55" i="37"/>
  <c r="R56" i="37"/>
  <c r="R57" i="37"/>
  <c r="R58" i="37"/>
  <c r="R59" i="37"/>
  <c r="R60" i="37"/>
  <c r="R61" i="37"/>
  <c r="R62" i="37"/>
  <c r="R63" i="37"/>
  <c r="R64" i="37"/>
  <c r="R65" i="37"/>
  <c r="R66" i="37"/>
  <c r="R67" i="37"/>
  <c r="R68" i="37"/>
  <c r="R69" i="37"/>
  <c r="R70" i="37"/>
  <c r="R71" i="37"/>
  <c r="R72" i="37"/>
  <c r="R73" i="37"/>
  <c r="R74" i="37"/>
  <c r="R75" i="37"/>
  <c r="R76" i="37"/>
  <c r="R77" i="37"/>
  <c r="R78" i="37"/>
  <c r="R79" i="37"/>
  <c r="R80" i="37"/>
  <c r="R81" i="37"/>
  <c r="R82" i="37"/>
  <c r="R83" i="37"/>
  <c r="R84" i="37"/>
  <c r="R85" i="37"/>
  <c r="R86" i="37"/>
  <c r="R87" i="37"/>
  <c r="R88" i="37"/>
  <c r="R89" i="37"/>
  <c r="R90" i="37"/>
  <c r="R91" i="37"/>
  <c r="R92" i="37"/>
  <c r="R93" i="37"/>
  <c r="R94" i="37"/>
  <c r="R95" i="37"/>
  <c r="R96" i="37"/>
  <c r="R97" i="37"/>
  <c r="R98" i="37"/>
  <c r="R99" i="37"/>
  <c r="R100" i="37"/>
  <c r="R101" i="37"/>
  <c r="R102" i="37"/>
  <c r="R103" i="37"/>
  <c r="R104" i="37"/>
  <c r="R105" i="37"/>
  <c r="R106" i="37"/>
  <c r="R107" i="37"/>
  <c r="R108" i="37"/>
  <c r="R109" i="37"/>
  <c r="R110" i="37"/>
  <c r="R111" i="37"/>
  <c r="R112" i="37"/>
  <c r="R113" i="37"/>
  <c r="S8" i="37"/>
  <c r="R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Q37" i="37"/>
  <c r="Q38" i="37"/>
  <c r="Q39" i="37"/>
  <c r="Q40" i="37"/>
  <c r="Q41" i="37"/>
  <c r="Q42" i="37"/>
  <c r="Q43" i="37"/>
  <c r="Q44" i="37"/>
  <c r="Q45" i="37"/>
  <c r="Q46" i="37"/>
  <c r="Q47" i="37"/>
  <c r="Q48" i="37"/>
  <c r="Q49" i="37"/>
  <c r="Q50" i="37"/>
  <c r="Q51" i="37"/>
  <c r="Q52" i="37"/>
  <c r="Q53" i="37"/>
  <c r="Q54" i="37"/>
  <c r="Q55" i="37"/>
  <c r="Q56" i="37"/>
  <c r="Q57" i="37"/>
  <c r="Q58" i="37"/>
  <c r="Q59" i="37"/>
  <c r="Q60" i="37"/>
  <c r="Q61" i="37"/>
  <c r="Q62" i="37"/>
  <c r="Q63" i="37"/>
  <c r="Q64" i="37"/>
  <c r="Q65" i="37"/>
  <c r="Q66" i="37"/>
  <c r="Q67" i="37"/>
  <c r="Q68" i="37"/>
  <c r="Q69" i="37"/>
  <c r="Q70" i="37"/>
  <c r="Q71" i="37"/>
  <c r="Q72" i="37"/>
  <c r="Q73" i="37"/>
  <c r="Q74" i="37"/>
  <c r="Q75" i="37"/>
  <c r="Q76" i="37"/>
  <c r="Q77" i="37"/>
  <c r="Q78" i="37"/>
  <c r="Q79" i="37"/>
  <c r="Q80" i="37"/>
  <c r="Q81" i="37"/>
  <c r="Q82" i="37"/>
  <c r="Q83" i="37"/>
  <c r="Q84" i="37"/>
  <c r="Q85" i="37"/>
  <c r="Q86" i="37"/>
  <c r="Q87" i="37"/>
  <c r="Q88" i="37"/>
  <c r="Q89" i="37"/>
  <c r="Q90" i="37"/>
  <c r="Q91" i="37"/>
  <c r="Q92" i="37"/>
  <c r="Q93" i="37"/>
  <c r="Q94" i="37"/>
  <c r="Q95" i="37"/>
  <c r="Q96" i="37"/>
  <c r="Q97" i="37"/>
  <c r="Q98" i="37"/>
  <c r="Q99" i="37"/>
  <c r="Q100" i="37"/>
  <c r="Q101" i="37"/>
  <c r="Q102" i="37"/>
  <c r="Q103" i="37"/>
  <c r="Q104" i="37"/>
  <c r="Q105" i="37"/>
  <c r="Q106" i="37"/>
  <c r="Q107" i="37"/>
  <c r="Q108" i="37"/>
  <c r="Q109" i="37"/>
  <c r="Q110" i="37"/>
  <c r="Q111" i="37"/>
  <c r="Q112" i="37"/>
  <c r="Q113" i="37"/>
  <c r="Q8" i="37"/>
  <c r="P9" i="37"/>
  <c r="P10" i="37"/>
  <c r="P11" i="37"/>
  <c r="P12" i="37"/>
  <c r="P13" i="37"/>
  <c r="P14" i="37"/>
  <c r="P15" i="37"/>
  <c r="P16" i="37"/>
  <c r="P17" i="37"/>
  <c r="P18" i="37"/>
  <c r="P19" i="37"/>
  <c r="P20" i="37"/>
  <c r="P21" i="37"/>
  <c r="P22" i="37"/>
  <c r="P23" i="37"/>
  <c r="P24" i="37"/>
  <c r="P25" i="37"/>
  <c r="P26" i="37"/>
  <c r="P27" i="37"/>
  <c r="P28" i="37"/>
  <c r="P29" i="37"/>
  <c r="P30" i="37"/>
  <c r="P31" i="37"/>
  <c r="P32" i="37"/>
  <c r="P33" i="37"/>
  <c r="P34" i="37"/>
  <c r="P35" i="37"/>
  <c r="P36" i="37"/>
  <c r="P37" i="37"/>
  <c r="P38" i="37"/>
  <c r="P39" i="37"/>
  <c r="P40" i="37"/>
  <c r="P41" i="37"/>
  <c r="P42" i="37"/>
  <c r="P43" i="37"/>
  <c r="P44" i="37"/>
  <c r="P45" i="37"/>
  <c r="P46" i="37"/>
  <c r="P47" i="37"/>
  <c r="P48" i="37"/>
  <c r="P49" i="37"/>
  <c r="P50" i="37"/>
  <c r="P51" i="37"/>
  <c r="P52" i="37"/>
  <c r="P53" i="37"/>
  <c r="P54" i="37"/>
  <c r="P55"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P85" i="37"/>
  <c r="P86" i="37"/>
  <c r="P87" i="37"/>
  <c r="P88" i="37"/>
  <c r="P89" i="37"/>
  <c r="P90" i="37"/>
  <c r="P91" i="37"/>
  <c r="P92" i="37"/>
  <c r="P93" i="37"/>
  <c r="P94" i="37"/>
  <c r="P95" i="37"/>
  <c r="P96" i="37"/>
  <c r="P97" i="37"/>
  <c r="P98" i="37"/>
  <c r="P99" i="37"/>
  <c r="P100" i="37"/>
  <c r="P101" i="37"/>
  <c r="P102" i="37"/>
  <c r="P103" i="37"/>
  <c r="P104" i="37"/>
  <c r="P105" i="37"/>
  <c r="P106" i="37"/>
  <c r="P107" i="37"/>
  <c r="P108" i="37"/>
  <c r="P109" i="37"/>
  <c r="P110" i="37"/>
  <c r="P111" i="37"/>
  <c r="P112" i="37"/>
  <c r="P113" i="37"/>
  <c r="P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O42" i="37"/>
  <c r="O43" i="37"/>
  <c r="O44" i="37"/>
  <c r="O45" i="37"/>
  <c r="O46" i="37"/>
  <c r="O47" i="37"/>
  <c r="O48" i="37"/>
  <c r="O49" i="37"/>
  <c r="O50" i="37"/>
  <c r="O51" i="37"/>
  <c r="O52" i="37"/>
  <c r="O53" i="37"/>
  <c r="O54" i="37"/>
  <c r="O55" i="37"/>
  <c r="O56" i="37"/>
  <c r="O57" i="37"/>
  <c r="O58" i="37"/>
  <c r="O59" i="37"/>
  <c r="O60" i="37"/>
  <c r="O61" i="37"/>
  <c r="O62" i="37"/>
  <c r="O63" i="37"/>
  <c r="O64" i="37"/>
  <c r="O65" i="37"/>
  <c r="O66" i="37"/>
  <c r="O67" i="37"/>
  <c r="O68" i="37"/>
  <c r="O69" i="37"/>
  <c r="O70" i="37"/>
  <c r="O71" i="37"/>
  <c r="O72" i="37"/>
  <c r="O73" i="37"/>
  <c r="O74" i="37"/>
  <c r="O75" i="37"/>
  <c r="O76" i="37"/>
  <c r="O77" i="37"/>
  <c r="O78" i="37"/>
  <c r="O79" i="37"/>
  <c r="O80" i="37"/>
  <c r="O81" i="37"/>
  <c r="O82" i="37"/>
  <c r="O83" i="37"/>
  <c r="O84" i="37"/>
  <c r="O85" i="37"/>
  <c r="O86" i="37"/>
  <c r="O87" i="37"/>
  <c r="O88" i="37"/>
  <c r="O89" i="37"/>
  <c r="O90" i="37"/>
  <c r="O91" i="37"/>
  <c r="O92" i="37"/>
  <c r="O93" i="37"/>
  <c r="O94" i="37"/>
  <c r="O95" i="37"/>
  <c r="O96" i="37"/>
  <c r="O97" i="37"/>
  <c r="O98" i="37"/>
  <c r="O99" i="37"/>
  <c r="O100" i="37"/>
  <c r="O101" i="37"/>
  <c r="O102" i="37"/>
  <c r="O103" i="37"/>
  <c r="O104" i="37"/>
  <c r="O105" i="37"/>
  <c r="O106" i="37"/>
  <c r="O107" i="37"/>
  <c r="O108" i="37"/>
  <c r="O109" i="37"/>
  <c r="O110" i="37"/>
  <c r="O111" i="37"/>
  <c r="O112" i="37"/>
  <c r="O113" i="37"/>
  <c r="O8" i="37"/>
  <c r="N9" i="37"/>
  <c r="N10" i="37"/>
  <c r="N11" i="37"/>
  <c r="N12" i="37"/>
  <c r="N13" i="37"/>
  <c r="N14" i="37"/>
  <c r="N15" i="37"/>
  <c r="N16" i="37"/>
  <c r="N17" i="37"/>
  <c r="N18" i="37"/>
  <c r="N19" i="37"/>
  <c r="N20" i="37"/>
  <c r="N21" i="37"/>
  <c r="N22" i="37"/>
  <c r="N23" i="37"/>
  <c r="N24" i="37"/>
  <c r="N25" i="37"/>
  <c r="N26" i="37"/>
  <c r="N27" i="37"/>
  <c r="N28" i="37"/>
  <c r="N29" i="37"/>
  <c r="N30" i="37"/>
  <c r="N31" i="37"/>
  <c r="N32" i="37"/>
  <c r="N33" i="37"/>
  <c r="N34" i="37"/>
  <c r="N35" i="37"/>
  <c r="N36" i="37"/>
  <c r="N37" i="37"/>
  <c r="N38" i="37"/>
  <c r="N39" i="37"/>
  <c r="N40" i="37"/>
  <c r="N41" i="37"/>
  <c r="N42" i="37"/>
  <c r="N43" i="37"/>
  <c r="N44" i="37"/>
  <c r="N45" i="37"/>
  <c r="N46" i="37"/>
  <c r="N47" i="37"/>
  <c r="N48" i="37"/>
  <c r="N49" i="37"/>
  <c r="N50" i="37"/>
  <c r="N51" i="37"/>
  <c r="N52" i="37"/>
  <c r="N53" i="37"/>
  <c r="N54" i="37"/>
  <c r="N55" i="37"/>
  <c r="N56" i="37"/>
  <c r="N57" i="37"/>
  <c r="N58" i="37"/>
  <c r="N59" i="37"/>
  <c r="N60" i="37"/>
  <c r="N61" i="37"/>
  <c r="N62" i="37"/>
  <c r="N63" i="37"/>
  <c r="N64" i="37"/>
  <c r="N65" i="37"/>
  <c r="N66" i="37"/>
  <c r="N67" i="37"/>
  <c r="N68" i="37"/>
  <c r="N69" i="37"/>
  <c r="N70" i="37"/>
  <c r="N71" i="37"/>
  <c r="N72" i="37"/>
  <c r="N73" i="37"/>
  <c r="N74" i="37"/>
  <c r="N75" i="37"/>
  <c r="N76" i="37"/>
  <c r="N77" i="37"/>
  <c r="N78" i="37"/>
  <c r="N79" i="37"/>
  <c r="N80" i="37"/>
  <c r="N81" i="37"/>
  <c r="N82" i="37"/>
  <c r="N83" i="37"/>
  <c r="N84" i="37"/>
  <c r="N85" i="37"/>
  <c r="N86" i="37"/>
  <c r="N87" i="37"/>
  <c r="N88" i="37"/>
  <c r="N89" i="37"/>
  <c r="N90" i="37"/>
  <c r="N91" i="37"/>
  <c r="N92" i="37"/>
  <c r="N93" i="37"/>
  <c r="N94" i="37"/>
  <c r="N95" i="37"/>
  <c r="N96" i="37"/>
  <c r="N97" i="37"/>
  <c r="N98" i="37"/>
  <c r="N99" i="37"/>
  <c r="N100" i="37"/>
  <c r="N101" i="37"/>
  <c r="N102" i="37"/>
  <c r="N103" i="37"/>
  <c r="N104" i="37"/>
  <c r="N105" i="37"/>
  <c r="N106" i="37"/>
  <c r="N107" i="37"/>
  <c r="N108" i="37"/>
  <c r="N109" i="37"/>
  <c r="N110" i="37"/>
  <c r="N111" i="37"/>
  <c r="N112" i="37"/>
  <c r="N113" i="37"/>
  <c r="N8" i="37"/>
  <c r="M9" i="37"/>
  <c r="M10" i="37"/>
  <c r="M11" i="37"/>
  <c r="M12" i="37"/>
  <c r="M13" i="37"/>
  <c r="M14" i="37"/>
  <c r="M15" i="37"/>
  <c r="M16" i="37"/>
  <c r="M17" i="37"/>
  <c r="M18" i="37"/>
  <c r="M19" i="37"/>
  <c r="M20" i="37"/>
  <c r="M21" i="37"/>
  <c r="M22" i="37"/>
  <c r="M23" i="37"/>
  <c r="M24" i="37"/>
  <c r="M25" i="37"/>
  <c r="M26" i="37"/>
  <c r="M27" i="37"/>
  <c r="M28" i="37"/>
  <c r="M29" i="37"/>
  <c r="M30" i="37"/>
  <c r="M31" i="37"/>
  <c r="M32" i="37"/>
  <c r="M33" i="37"/>
  <c r="M34" i="37"/>
  <c r="M35" i="37"/>
  <c r="M36" i="37"/>
  <c r="M37" i="37"/>
  <c r="M38" i="37"/>
  <c r="M39" i="37"/>
  <c r="M40" i="37"/>
  <c r="M41" i="37"/>
  <c r="M42" i="37"/>
  <c r="M43" i="37"/>
  <c r="M44" i="37"/>
  <c r="M45" i="37"/>
  <c r="M46" i="37"/>
  <c r="M47" i="37"/>
  <c r="M48" i="37"/>
  <c r="M49" i="37"/>
  <c r="M50" i="37"/>
  <c r="M51" i="37"/>
  <c r="M52" i="37"/>
  <c r="M53" i="37"/>
  <c r="M54" i="37"/>
  <c r="M55" i="37"/>
  <c r="M56" i="37"/>
  <c r="M57" i="37"/>
  <c r="M58" i="37"/>
  <c r="M59" i="37"/>
  <c r="M60" i="37"/>
  <c r="M61" i="37"/>
  <c r="M62" i="37"/>
  <c r="M63" i="37"/>
  <c r="M64" i="37"/>
  <c r="M65" i="37"/>
  <c r="M66" i="37"/>
  <c r="M67" i="37"/>
  <c r="M68" i="37"/>
  <c r="M69" i="37"/>
  <c r="M70" i="37"/>
  <c r="M71" i="37"/>
  <c r="M72" i="37"/>
  <c r="M73" i="37"/>
  <c r="M74" i="37"/>
  <c r="M75" i="37"/>
  <c r="M76" i="37"/>
  <c r="M77" i="37"/>
  <c r="M78" i="37"/>
  <c r="M79" i="37"/>
  <c r="M80" i="37"/>
  <c r="M81" i="37"/>
  <c r="M82" i="37"/>
  <c r="M83" i="37"/>
  <c r="M84" i="37"/>
  <c r="M85" i="37"/>
  <c r="M86" i="37"/>
  <c r="M87" i="37"/>
  <c r="M88" i="37"/>
  <c r="M89" i="37"/>
  <c r="M90" i="37"/>
  <c r="M91" i="37"/>
  <c r="M92" i="37"/>
  <c r="M93" i="37"/>
  <c r="M94" i="37"/>
  <c r="M95" i="37"/>
  <c r="M96" i="37"/>
  <c r="M97" i="37"/>
  <c r="M98" i="37"/>
  <c r="M99" i="37"/>
  <c r="M100" i="37"/>
  <c r="M101" i="37"/>
  <c r="M102" i="37"/>
  <c r="M103" i="37"/>
  <c r="M104" i="37"/>
  <c r="M105" i="37"/>
  <c r="M106" i="37"/>
  <c r="M107" i="37"/>
  <c r="M108" i="37"/>
  <c r="M109" i="37"/>
  <c r="M110" i="37"/>
  <c r="M111" i="37"/>
  <c r="M112" i="37"/>
  <c r="M113" i="37"/>
  <c r="M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L42" i="37"/>
  <c r="L43" i="37"/>
  <c r="L44" i="37"/>
  <c r="L45" i="37"/>
  <c r="L46" i="37"/>
  <c r="L47" i="37"/>
  <c r="L48" i="37"/>
  <c r="L49" i="37"/>
  <c r="L50" i="37"/>
  <c r="L51" i="37"/>
  <c r="L52" i="37"/>
  <c r="L53" i="37"/>
  <c r="L54" i="37"/>
  <c r="L55" i="37"/>
  <c r="L56" i="37"/>
  <c r="L57" i="37"/>
  <c r="L58" i="37"/>
  <c r="L59" i="37"/>
  <c r="L60" i="37"/>
  <c r="L61" i="37"/>
  <c r="L62" i="37"/>
  <c r="L63" i="37"/>
  <c r="L64" i="37"/>
  <c r="L65" i="37"/>
  <c r="L66" i="37"/>
  <c r="L67" i="37"/>
  <c r="L68" i="37"/>
  <c r="L69" i="37"/>
  <c r="L70" i="37"/>
  <c r="L71" i="37"/>
  <c r="L72" i="37"/>
  <c r="L73" i="37"/>
  <c r="L74" i="37"/>
  <c r="L75" i="37"/>
  <c r="L76" i="37"/>
  <c r="L77" i="37"/>
  <c r="L78" i="37"/>
  <c r="L79" i="37"/>
  <c r="L80" i="37"/>
  <c r="L81" i="37"/>
  <c r="L82" i="37"/>
  <c r="L83" i="37"/>
  <c r="L84" i="37"/>
  <c r="L85" i="37"/>
  <c r="L86" i="37"/>
  <c r="L87" i="37"/>
  <c r="L88" i="37"/>
  <c r="L89" i="37"/>
  <c r="L90" i="37"/>
  <c r="L91" i="37"/>
  <c r="L92" i="37"/>
  <c r="L93" i="37"/>
  <c r="L94" i="37"/>
  <c r="L95" i="37"/>
  <c r="L96" i="37"/>
  <c r="L97" i="37"/>
  <c r="L98" i="37"/>
  <c r="L99" i="37"/>
  <c r="L100" i="37"/>
  <c r="L101" i="37"/>
  <c r="L102" i="37"/>
  <c r="L103" i="37"/>
  <c r="L104" i="37"/>
  <c r="L105" i="37"/>
  <c r="L106" i="37"/>
  <c r="L107" i="37"/>
  <c r="L108" i="37"/>
  <c r="L109" i="37"/>
  <c r="L110" i="37"/>
  <c r="L111" i="37"/>
  <c r="L112" i="37"/>
  <c r="L113" i="37"/>
  <c r="L8" i="37"/>
  <c r="K9" i="37"/>
  <c r="K10" i="37"/>
  <c r="K11" i="37"/>
  <c r="K12" i="37"/>
  <c r="K13" i="37"/>
  <c r="K14" i="37"/>
  <c r="K15" i="37"/>
  <c r="K16" i="37"/>
  <c r="K17" i="37"/>
  <c r="K18" i="37"/>
  <c r="K19" i="37"/>
  <c r="K20" i="37"/>
  <c r="K21" i="37"/>
  <c r="K22" i="37"/>
  <c r="K23" i="37"/>
  <c r="K24" i="37"/>
  <c r="K25" i="37"/>
  <c r="K26" i="37"/>
  <c r="K27" i="37"/>
  <c r="K28" i="37"/>
  <c r="K29" i="37"/>
  <c r="K30" i="37"/>
  <c r="K31" i="37"/>
  <c r="K32" i="37"/>
  <c r="K33" i="37"/>
  <c r="K34" i="37"/>
  <c r="K35" i="37"/>
  <c r="K36" i="37"/>
  <c r="K37" i="37"/>
  <c r="K38" i="37"/>
  <c r="K39" i="37"/>
  <c r="K40" i="37"/>
  <c r="K41" i="37"/>
  <c r="K42" i="37"/>
  <c r="K43" i="37"/>
  <c r="K44" i="37"/>
  <c r="K45" i="37"/>
  <c r="K46" i="37"/>
  <c r="K47" i="37"/>
  <c r="K48" i="37"/>
  <c r="K49" i="37"/>
  <c r="K50" i="37"/>
  <c r="K51" i="37"/>
  <c r="K52" i="37"/>
  <c r="K53" i="37"/>
  <c r="K54" i="37"/>
  <c r="K55" i="37"/>
  <c r="K56" i="37"/>
  <c r="K57" i="37"/>
  <c r="K58" i="37"/>
  <c r="K59" i="37"/>
  <c r="K60" i="37"/>
  <c r="K61" i="37"/>
  <c r="K62" i="37"/>
  <c r="K63" i="37"/>
  <c r="K64" i="37"/>
  <c r="K65" i="37"/>
  <c r="K66" i="37"/>
  <c r="K67" i="37"/>
  <c r="K68" i="37"/>
  <c r="K69" i="37"/>
  <c r="K70" i="37"/>
  <c r="K71" i="37"/>
  <c r="K72" i="37"/>
  <c r="K73" i="37"/>
  <c r="K74" i="37"/>
  <c r="K75" i="37"/>
  <c r="K76" i="37"/>
  <c r="K77" i="37"/>
  <c r="K78" i="37"/>
  <c r="K79" i="37"/>
  <c r="K80" i="37"/>
  <c r="K81" i="37"/>
  <c r="K82" i="37"/>
  <c r="K83" i="37"/>
  <c r="K84" i="37"/>
  <c r="K85" i="37"/>
  <c r="K86" i="37"/>
  <c r="K87" i="37"/>
  <c r="K88" i="37"/>
  <c r="K89" i="37"/>
  <c r="K90" i="37"/>
  <c r="K91" i="37"/>
  <c r="K92" i="37"/>
  <c r="K93" i="37"/>
  <c r="K94" i="37"/>
  <c r="K95" i="37"/>
  <c r="K96" i="37"/>
  <c r="K97" i="37"/>
  <c r="K98" i="37"/>
  <c r="K99" i="37"/>
  <c r="K100" i="37"/>
  <c r="K101" i="37"/>
  <c r="K102" i="37"/>
  <c r="K103" i="37"/>
  <c r="K104" i="37"/>
  <c r="K105" i="37"/>
  <c r="K106" i="37"/>
  <c r="K107" i="37"/>
  <c r="K108" i="37"/>
  <c r="K109" i="37"/>
  <c r="K110" i="37"/>
  <c r="K111" i="37"/>
  <c r="K112" i="37"/>
  <c r="K113" i="37"/>
  <c r="J9" i="37"/>
  <c r="J10" i="37"/>
  <c r="J11" i="37"/>
  <c r="J12" i="37"/>
  <c r="J13" i="37"/>
  <c r="J14" i="37"/>
  <c r="J15" i="37"/>
  <c r="J16" i="37"/>
  <c r="J17" i="37"/>
  <c r="J18" i="37"/>
  <c r="J19" i="37"/>
  <c r="J20" i="37"/>
  <c r="J21" i="37"/>
  <c r="J22" i="37"/>
  <c r="J23" i="37"/>
  <c r="J24" i="37"/>
  <c r="J25" i="37"/>
  <c r="J26" i="37"/>
  <c r="J27" i="37"/>
  <c r="J28" i="37"/>
  <c r="J29" i="37"/>
  <c r="J30" i="37"/>
  <c r="J31" i="37"/>
  <c r="J32" i="37"/>
  <c r="J33" i="37"/>
  <c r="J34" i="37"/>
  <c r="J35" i="37"/>
  <c r="J36" i="37"/>
  <c r="J37" i="37"/>
  <c r="J38" i="37"/>
  <c r="J39" i="37"/>
  <c r="J40" i="37"/>
  <c r="J41" i="37"/>
  <c r="J42" i="37"/>
  <c r="J43" i="37"/>
  <c r="J44" i="37"/>
  <c r="J45" i="37"/>
  <c r="J46" i="37"/>
  <c r="J47" i="37"/>
  <c r="J48" i="37"/>
  <c r="J49" i="37"/>
  <c r="J50" i="37"/>
  <c r="J51" i="37"/>
  <c r="J52" i="37"/>
  <c r="J53" i="37"/>
  <c r="J54" i="37"/>
  <c r="J55" i="37"/>
  <c r="J56" i="37"/>
  <c r="J57" i="37"/>
  <c r="J58" i="37"/>
  <c r="J59" i="37"/>
  <c r="J60" i="37"/>
  <c r="J61" i="37"/>
  <c r="J62" i="37"/>
  <c r="J63" i="37"/>
  <c r="J64" i="37"/>
  <c r="J65" i="37"/>
  <c r="J66" i="37"/>
  <c r="J67" i="37"/>
  <c r="J68" i="37"/>
  <c r="J69" i="37"/>
  <c r="J70" i="37"/>
  <c r="J71" i="37"/>
  <c r="J72" i="37"/>
  <c r="J73" i="37"/>
  <c r="J74" i="37"/>
  <c r="J75" i="37"/>
  <c r="J76" i="37"/>
  <c r="J77" i="37"/>
  <c r="J78" i="37"/>
  <c r="J79" i="37"/>
  <c r="J80" i="37"/>
  <c r="J81" i="37"/>
  <c r="J82" i="37"/>
  <c r="J83" i="37"/>
  <c r="J84" i="37"/>
  <c r="J85" i="37"/>
  <c r="J86" i="37"/>
  <c r="J87" i="37"/>
  <c r="J88" i="37"/>
  <c r="J89" i="37"/>
  <c r="J90" i="37"/>
  <c r="J91" i="37"/>
  <c r="J92" i="37"/>
  <c r="J93" i="37"/>
  <c r="J94" i="37"/>
  <c r="J95" i="37"/>
  <c r="J96" i="37"/>
  <c r="J97" i="37"/>
  <c r="J98" i="37"/>
  <c r="J99" i="37"/>
  <c r="J100" i="37"/>
  <c r="J101" i="37"/>
  <c r="J102" i="37"/>
  <c r="J103" i="37"/>
  <c r="J104" i="37"/>
  <c r="J105" i="37"/>
  <c r="J106" i="37"/>
  <c r="J107" i="37"/>
  <c r="J108" i="37"/>
  <c r="J109" i="37"/>
  <c r="J110" i="37"/>
  <c r="J111" i="37"/>
  <c r="J112" i="37"/>
  <c r="J113" i="37"/>
  <c r="K8" i="37"/>
  <c r="J8" i="37"/>
  <c r="H8" i="37"/>
  <c r="I8" i="37"/>
  <c r="U5" i="37" l="1"/>
  <c r="AF5" i="37"/>
  <c r="AR5" i="37"/>
  <c r="AJ5" i="37"/>
  <c r="Z5" i="37"/>
  <c r="AL5" i="37"/>
  <c r="M5" i="37"/>
  <c r="R5" i="37"/>
  <c r="AP5" i="37"/>
  <c r="H5" i="37"/>
  <c r="AT8" i="37"/>
  <c r="AV8" i="37"/>
  <c r="AU8" i="37"/>
  <c r="AC5" i="37"/>
  <c r="Y5" i="37"/>
  <c r="K5" i="37"/>
  <c r="AS5" i="37"/>
  <c r="J5" i="37"/>
  <c r="AB5" i="37"/>
  <c r="AH5" i="37"/>
  <c r="W6" i="37"/>
  <c r="G4" i="37"/>
  <c r="G3" i="37"/>
  <c r="AV9" i="37"/>
  <c r="AT9" i="37"/>
  <c r="X5" i="37" l="1"/>
  <c r="AD5" i="37"/>
  <c r="S5" i="37"/>
  <c r="L5" i="37"/>
  <c r="AG5" i="37"/>
  <c r="AQ5" i="37"/>
  <c r="Q5" i="37"/>
  <c r="AN5" i="37"/>
  <c r="AW8" i="37"/>
  <c r="F3" i="3" s="1"/>
  <c r="O5" i="37"/>
  <c r="AK5" i="37"/>
  <c r="T5" i="37"/>
  <c r="AM5" i="37"/>
  <c r="N5" i="37"/>
  <c r="AI5" i="37"/>
  <c r="AE5" i="37"/>
  <c r="AA5" i="37"/>
  <c r="V5" i="37"/>
  <c r="AO5" i="37"/>
  <c r="P5" i="37"/>
  <c r="G6" i="37"/>
  <c r="AK4" i="37"/>
  <c r="R4" i="37"/>
  <c r="U3" i="37"/>
  <c r="Z3" i="37"/>
  <c r="H4" i="37"/>
  <c r="AI3" i="37"/>
  <c r="L4" i="37"/>
  <c r="AL3" i="37"/>
  <c r="AF3" i="37"/>
  <c r="K3" i="37"/>
  <c r="T4" i="37"/>
  <c r="AG4" i="37"/>
  <c r="AB4" i="37"/>
  <c r="AC4" i="37"/>
  <c r="X3" i="37"/>
  <c r="AS3" i="37"/>
  <c r="AH4" i="37"/>
  <c r="AO3" i="37"/>
  <c r="F10" i="37"/>
  <c r="F11" i="37"/>
  <c r="F12" i="37"/>
  <c r="F13" i="37"/>
  <c r="F14" i="37"/>
  <c r="F15" i="37"/>
  <c r="F16" i="37"/>
  <c r="F17" i="37"/>
  <c r="F18" i="37"/>
  <c r="F19" i="37"/>
  <c r="F20" i="37"/>
  <c r="F21" i="37"/>
  <c r="F22" i="37"/>
  <c r="F23" i="37"/>
  <c r="F24" i="37"/>
  <c r="F25" i="37"/>
  <c r="F26" i="37"/>
  <c r="F27" i="37"/>
  <c r="F28" i="37"/>
  <c r="F29" i="37"/>
  <c r="F30" i="37"/>
  <c r="F31" i="37"/>
  <c r="F32" i="37"/>
  <c r="F33" i="37"/>
  <c r="F34" i="37"/>
  <c r="F35" i="37"/>
  <c r="F36" i="37"/>
  <c r="F37" i="37"/>
  <c r="F38" i="37"/>
  <c r="F39" i="37"/>
  <c r="F40" i="37"/>
  <c r="F41" i="37"/>
  <c r="F42" i="37"/>
  <c r="F43" i="37"/>
  <c r="F44" i="37"/>
  <c r="F45" i="37"/>
  <c r="F46" i="37"/>
  <c r="F47" i="37"/>
  <c r="F48" i="37"/>
  <c r="F49" i="37"/>
  <c r="F50" i="37"/>
  <c r="F51" i="37"/>
  <c r="F52" i="37"/>
  <c r="F53" i="37"/>
  <c r="F54" i="37"/>
  <c r="F55" i="37"/>
  <c r="F56" i="37"/>
  <c r="F57" i="37"/>
  <c r="F58" i="37"/>
  <c r="F59" i="37"/>
  <c r="F60" i="37"/>
  <c r="F61" i="37"/>
  <c r="F62" i="37"/>
  <c r="F63" i="37"/>
  <c r="F64" i="37"/>
  <c r="F65" i="37"/>
  <c r="F66" i="37"/>
  <c r="F67" i="37"/>
  <c r="F68" i="37"/>
  <c r="F69" i="37"/>
  <c r="F70" i="37"/>
  <c r="F71" i="37"/>
  <c r="F72" i="37"/>
  <c r="F73" i="37"/>
  <c r="F74" i="37"/>
  <c r="F75" i="37"/>
  <c r="F76" i="37"/>
  <c r="F77" i="37"/>
  <c r="F78" i="37"/>
  <c r="F79" i="37"/>
  <c r="F80" i="37"/>
  <c r="F81" i="37"/>
  <c r="F82" i="37"/>
  <c r="F83" i="37"/>
  <c r="F84" i="37"/>
  <c r="F85" i="37"/>
  <c r="F86" i="37"/>
  <c r="F87" i="37"/>
  <c r="F88" i="37"/>
  <c r="F89" i="37"/>
  <c r="F90" i="37"/>
  <c r="F91" i="37"/>
  <c r="F92" i="37"/>
  <c r="F93" i="37"/>
  <c r="F94" i="37"/>
  <c r="F95" i="37"/>
  <c r="F96" i="37"/>
  <c r="F97" i="37"/>
  <c r="F98" i="37"/>
  <c r="F99" i="37"/>
  <c r="F100" i="37"/>
  <c r="F101" i="37"/>
  <c r="F102" i="37"/>
  <c r="F103" i="37"/>
  <c r="F104" i="37"/>
  <c r="F105" i="37"/>
  <c r="F106" i="37"/>
  <c r="F107" i="37"/>
  <c r="F108" i="37"/>
  <c r="F109" i="37"/>
  <c r="F110" i="37"/>
  <c r="F111" i="37"/>
  <c r="F112" i="37"/>
  <c r="F113" i="37"/>
  <c r="AR4" i="37" l="1"/>
  <c r="AD3" i="37"/>
  <c r="AC3" i="37"/>
  <c r="AC6" i="37" s="1"/>
  <c r="O4" i="37"/>
  <c r="P4" i="37"/>
  <c r="AG3" i="37"/>
  <c r="AG6" i="37" s="1"/>
  <c r="AP3" i="37"/>
  <c r="AQ3" i="37"/>
  <c r="AF4" i="37"/>
  <c r="AF6" i="37" s="1"/>
  <c r="AR3" i="37"/>
  <c r="X4" i="37"/>
  <c r="X6" i="37" s="1"/>
  <c r="AS4" i="37"/>
  <c r="AS6" i="37" s="1"/>
  <c r="AN4" i="37"/>
  <c r="K4" i="37"/>
  <c r="K6" i="37" s="1"/>
  <c r="J3" i="37"/>
  <c r="AM3" i="37"/>
  <c r="AD4" i="37"/>
  <c r="AE3" i="37"/>
  <c r="L3" i="37"/>
  <c r="L6" i="37" s="1"/>
  <c r="AB3" i="37"/>
  <c r="AB6" i="37" s="1"/>
  <c r="N4" i="37"/>
  <c r="N3" i="37"/>
  <c r="U4" i="37"/>
  <c r="U6" i="37" s="1"/>
  <c r="AP4" i="37"/>
  <c r="T3" i="37"/>
  <c r="T6" i="37" s="1"/>
  <c r="V3" i="37"/>
  <c r="Q4" i="37"/>
  <c r="M4" i="37"/>
  <c r="O3" i="37"/>
  <c r="O6" i="37" s="1"/>
  <c r="AM4" i="37"/>
  <c r="AE4" i="37"/>
  <c r="AN3" i="37"/>
  <c r="AJ4" i="37"/>
  <c r="S4" i="37"/>
  <c r="S3" i="37"/>
  <c r="P3" i="37"/>
  <c r="P6" i="37" s="1"/>
  <c r="AQ4" i="37"/>
  <c r="Q3" i="37"/>
  <c r="Q6" i="37" s="1"/>
  <c r="AI4" i="37"/>
  <c r="AI6" i="37" s="1"/>
  <c r="AH3" i="37"/>
  <c r="AH6" i="37" s="1"/>
  <c r="AJ3" i="37"/>
  <c r="AL4" i="37"/>
  <c r="AL6" i="37" s="1"/>
  <c r="AK3" i="37"/>
  <c r="AK6" i="37" s="1"/>
  <c r="V4" i="37"/>
  <c r="AO4" i="37"/>
  <c r="AO6" i="37" s="1"/>
  <c r="J4" i="37"/>
  <c r="Z4" i="37"/>
  <c r="Z6" i="37" s="1"/>
  <c r="H3" i="37"/>
  <c r="H6" i="37" s="1"/>
  <c r="AA4" i="37"/>
  <c r="AA3" i="37"/>
  <c r="R3" i="37"/>
  <c r="R6" i="37" s="1"/>
  <c r="Y3" i="37"/>
  <c r="Y4" i="37"/>
  <c r="M3" i="37"/>
  <c r="M6" i="37" s="1"/>
  <c r="AU57" i="37"/>
  <c r="AV57" i="37"/>
  <c r="AT57" i="37"/>
  <c r="AU101" i="37"/>
  <c r="AV101" i="37"/>
  <c r="AT101" i="37"/>
  <c r="AU107" i="37"/>
  <c r="AT107" i="37"/>
  <c r="AV107" i="37"/>
  <c r="AU99" i="37"/>
  <c r="AT99" i="37"/>
  <c r="AV99" i="37"/>
  <c r="AU91" i="37"/>
  <c r="AT91" i="37"/>
  <c r="AV91" i="37"/>
  <c r="AU83" i="37"/>
  <c r="AT83" i="37"/>
  <c r="AV83" i="37"/>
  <c r="AU75" i="37"/>
  <c r="AT75" i="37"/>
  <c r="AV75" i="37"/>
  <c r="AU67" i="37"/>
  <c r="AT67" i="37"/>
  <c r="AV67" i="37"/>
  <c r="AU59" i="37"/>
  <c r="AT59" i="37"/>
  <c r="AV59" i="37"/>
  <c r="AU51" i="37"/>
  <c r="AT51" i="37"/>
  <c r="AV51" i="37"/>
  <c r="AU43" i="37"/>
  <c r="AT43" i="37"/>
  <c r="AV43" i="37"/>
  <c r="AU35" i="37"/>
  <c r="AT35" i="37"/>
  <c r="AV35" i="37"/>
  <c r="AU27" i="37"/>
  <c r="AT27" i="37"/>
  <c r="AV27" i="37"/>
  <c r="AU19" i="37"/>
  <c r="AT19" i="37"/>
  <c r="AV19" i="37"/>
  <c r="AU11" i="37"/>
  <c r="AT11" i="37"/>
  <c r="AV11" i="37"/>
  <c r="AU97" i="37"/>
  <c r="AT97" i="37"/>
  <c r="AV97" i="37"/>
  <c r="AU65" i="37"/>
  <c r="AT65" i="37"/>
  <c r="AV65" i="37"/>
  <c r="AU17" i="37"/>
  <c r="AT17" i="37"/>
  <c r="AV17" i="37"/>
  <c r="AU106" i="37"/>
  <c r="AV106" i="37"/>
  <c r="AT106" i="37"/>
  <c r="AU98" i="37"/>
  <c r="AV98" i="37"/>
  <c r="AT98" i="37"/>
  <c r="AU90" i="37"/>
  <c r="AV90" i="37"/>
  <c r="AT90" i="37"/>
  <c r="AU82" i="37"/>
  <c r="AV82" i="37"/>
  <c r="AT82" i="37"/>
  <c r="AU74" i="37"/>
  <c r="AV74" i="37"/>
  <c r="AT74" i="37"/>
  <c r="AU66" i="37"/>
  <c r="AV66" i="37"/>
  <c r="AT66" i="37"/>
  <c r="AU58" i="37"/>
  <c r="AT58" i="37"/>
  <c r="AV58" i="37"/>
  <c r="AU50" i="37"/>
  <c r="AV50" i="37"/>
  <c r="AT50" i="37"/>
  <c r="AU42" i="37"/>
  <c r="AV42" i="37"/>
  <c r="AT42" i="37"/>
  <c r="AU34" i="37"/>
  <c r="AV34" i="37"/>
  <c r="AT34" i="37"/>
  <c r="AU26" i="37"/>
  <c r="AT26" i="37"/>
  <c r="AV26" i="37"/>
  <c r="AU18" i="37"/>
  <c r="AT18" i="37"/>
  <c r="AV18" i="37"/>
  <c r="AV10" i="37"/>
  <c r="AT10" i="37"/>
  <c r="AU81" i="37"/>
  <c r="AV81" i="37"/>
  <c r="AT81" i="37"/>
  <c r="AU33" i="37"/>
  <c r="AT33" i="37"/>
  <c r="AV33" i="37"/>
  <c r="AU112" i="37"/>
  <c r="AV112" i="37"/>
  <c r="AT112" i="37"/>
  <c r="AU104" i="37"/>
  <c r="AV104" i="37"/>
  <c r="AT104" i="37"/>
  <c r="AU96" i="37"/>
  <c r="AT96" i="37"/>
  <c r="AV96" i="37"/>
  <c r="AU88" i="37"/>
  <c r="AT88" i="37"/>
  <c r="AV88" i="37"/>
  <c r="AU80" i="37"/>
  <c r="AT80" i="37"/>
  <c r="AV80" i="37"/>
  <c r="AU72" i="37"/>
  <c r="AV72" i="37"/>
  <c r="AT72" i="37"/>
  <c r="AU64" i="37"/>
  <c r="AT64" i="37"/>
  <c r="AV64" i="37"/>
  <c r="AU56" i="37"/>
  <c r="AT56" i="37"/>
  <c r="AV56" i="37"/>
  <c r="AU48" i="37"/>
  <c r="AT48" i="37"/>
  <c r="AV48" i="37"/>
  <c r="AU40" i="37"/>
  <c r="AT40" i="37"/>
  <c r="AV40" i="37"/>
  <c r="AU32" i="37"/>
  <c r="AV32" i="37"/>
  <c r="AT32" i="37"/>
  <c r="AU24" i="37"/>
  <c r="AT24" i="37"/>
  <c r="AV24" i="37"/>
  <c r="AU16" i="37"/>
  <c r="AT16" i="37"/>
  <c r="AV16" i="37"/>
  <c r="AU105" i="37"/>
  <c r="AT105" i="37"/>
  <c r="AV105" i="37"/>
  <c r="AU73" i="37"/>
  <c r="AV73" i="37"/>
  <c r="AT73" i="37"/>
  <c r="AU25" i="37"/>
  <c r="AT25" i="37"/>
  <c r="AV25" i="37"/>
  <c r="AU111" i="37"/>
  <c r="AV111" i="37"/>
  <c r="AT111" i="37"/>
  <c r="AU103" i="37"/>
  <c r="AV103" i="37"/>
  <c r="AT103" i="37"/>
  <c r="AU95" i="37"/>
  <c r="AV95" i="37"/>
  <c r="AT95" i="37"/>
  <c r="AU87" i="37"/>
  <c r="AV87" i="37"/>
  <c r="AT87" i="37"/>
  <c r="AU79" i="37"/>
  <c r="AV79" i="37"/>
  <c r="AT79" i="37"/>
  <c r="AU71" i="37"/>
  <c r="AV71" i="37"/>
  <c r="AT71" i="37"/>
  <c r="AU63" i="37"/>
  <c r="AV63" i="37"/>
  <c r="AT63" i="37"/>
  <c r="AU55" i="37"/>
  <c r="AV55" i="37"/>
  <c r="AT55" i="37"/>
  <c r="AU47" i="37"/>
  <c r="AV47" i="37"/>
  <c r="AT47" i="37"/>
  <c r="AU39" i="37"/>
  <c r="AV39" i="37"/>
  <c r="AT39" i="37"/>
  <c r="AU31" i="37"/>
  <c r="AT31" i="37"/>
  <c r="AV31" i="37"/>
  <c r="AU23" i="37"/>
  <c r="AT23" i="37"/>
  <c r="AV23" i="37"/>
  <c r="AU15" i="37"/>
  <c r="AT15" i="37"/>
  <c r="AV15" i="37"/>
  <c r="AU49" i="37"/>
  <c r="AV49" i="37"/>
  <c r="AT49" i="37"/>
  <c r="AU110" i="37"/>
  <c r="AV110" i="37"/>
  <c r="AT110" i="37"/>
  <c r="AU102" i="37"/>
  <c r="AT102" i="37"/>
  <c r="AV102" i="37"/>
  <c r="AU94" i="37"/>
  <c r="AV94" i="37"/>
  <c r="AT94" i="37"/>
  <c r="AU86" i="37"/>
  <c r="AV86" i="37"/>
  <c r="AT86" i="37"/>
  <c r="AU78" i="37"/>
  <c r="AV78" i="37"/>
  <c r="AT78" i="37"/>
  <c r="AU70" i="37"/>
  <c r="AV70" i="37"/>
  <c r="AT70" i="37"/>
  <c r="AU62" i="37"/>
  <c r="AV62" i="37"/>
  <c r="AT62" i="37"/>
  <c r="AU54" i="37"/>
  <c r="AV54" i="37"/>
  <c r="AT54" i="37"/>
  <c r="AU46" i="37"/>
  <c r="AV46" i="37"/>
  <c r="AT46" i="37"/>
  <c r="AU38" i="37"/>
  <c r="AV38" i="37"/>
  <c r="AT38" i="37"/>
  <c r="AU30" i="37"/>
  <c r="AT30" i="37"/>
  <c r="AV30" i="37"/>
  <c r="AU22" i="37"/>
  <c r="AT22" i="37"/>
  <c r="AV22" i="37"/>
  <c r="AU14" i="37"/>
  <c r="AT14" i="37"/>
  <c r="AV14" i="37"/>
  <c r="AU85" i="37"/>
  <c r="AV85" i="37"/>
  <c r="AT85" i="37"/>
  <c r="AU77" i="37"/>
  <c r="AT77" i="37"/>
  <c r="AV77" i="37"/>
  <c r="AU69" i="37"/>
  <c r="AV69" i="37"/>
  <c r="AT69" i="37"/>
  <c r="AU61" i="37"/>
  <c r="AV61" i="37"/>
  <c r="AT61" i="37"/>
  <c r="AU53" i="37"/>
  <c r="AV53" i="37"/>
  <c r="AT53" i="37"/>
  <c r="AU45" i="37"/>
  <c r="AV45" i="37"/>
  <c r="AT45" i="37"/>
  <c r="AU37" i="37"/>
  <c r="AT37" i="37"/>
  <c r="AV37" i="37"/>
  <c r="AU29" i="37"/>
  <c r="AT29" i="37"/>
  <c r="AV29" i="37"/>
  <c r="AU21" i="37"/>
  <c r="AT21" i="37"/>
  <c r="AV21" i="37"/>
  <c r="AU13" i="37"/>
  <c r="AT13" i="37"/>
  <c r="AV13" i="37"/>
  <c r="AU89" i="37"/>
  <c r="AV89" i="37"/>
  <c r="AT89" i="37"/>
  <c r="AU41" i="37"/>
  <c r="AV41" i="37"/>
  <c r="AT41" i="37"/>
  <c r="AU109" i="37"/>
  <c r="AV109" i="37"/>
  <c r="AT109" i="37"/>
  <c r="AU108" i="37"/>
  <c r="AT108" i="37"/>
  <c r="AV108" i="37"/>
  <c r="AU100" i="37"/>
  <c r="AT100" i="37"/>
  <c r="AV100" i="37"/>
  <c r="AU92" i="37"/>
  <c r="AV92" i="37"/>
  <c r="AT92" i="37"/>
  <c r="AU84" i="37"/>
  <c r="AV84" i="37"/>
  <c r="AT84" i="37"/>
  <c r="AU76" i="37"/>
  <c r="AV76" i="37"/>
  <c r="AT76" i="37"/>
  <c r="AU68" i="37"/>
  <c r="AV68" i="37"/>
  <c r="AT68" i="37"/>
  <c r="AU60" i="37"/>
  <c r="AV60" i="37"/>
  <c r="AT60" i="37"/>
  <c r="AU52" i="37"/>
  <c r="AV52" i="37"/>
  <c r="AT52" i="37"/>
  <c r="AU44" i="37"/>
  <c r="AV44" i="37"/>
  <c r="AT44" i="37"/>
  <c r="AU36" i="37"/>
  <c r="AV36" i="37"/>
  <c r="AT36" i="37"/>
  <c r="AU28" i="37"/>
  <c r="AT28" i="37"/>
  <c r="AV28" i="37"/>
  <c r="AU20" i="37"/>
  <c r="AT20" i="37"/>
  <c r="AV20" i="37"/>
  <c r="AU12" i="37"/>
  <c r="AT12" i="37"/>
  <c r="AV12" i="37"/>
  <c r="AU113" i="37"/>
  <c r="AT113" i="37"/>
  <c r="AV113" i="37"/>
  <c r="AU10" i="37"/>
  <c r="N6" i="37" l="1"/>
  <c r="AD6" i="37"/>
  <c r="S6" i="37"/>
  <c r="F5" i="37"/>
  <c r="AJ6" i="37"/>
  <c r="AA6" i="37"/>
  <c r="V6" i="37"/>
  <c r="AR6" i="37"/>
  <c r="AN6" i="37"/>
  <c r="AQ6" i="37"/>
  <c r="AP6" i="37"/>
  <c r="AE6" i="37"/>
  <c r="Y6" i="37"/>
  <c r="AM6" i="37"/>
  <c r="J6" i="37"/>
  <c r="H2" i="59"/>
  <c r="D2" i="59"/>
  <c r="H2" i="58"/>
  <c r="D2" i="58"/>
  <c r="H2" i="57"/>
  <c r="D2" i="57"/>
  <c r="H2" i="56"/>
  <c r="D2" i="56"/>
  <c r="H2" i="55"/>
  <c r="D2" i="55"/>
  <c r="H2" i="44"/>
  <c r="D2" i="44"/>
  <c r="H2" i="42"/>
  <c r="D2" i="42"/>
  <c r="A1" i="12"/>
  <c r="A1" i="14"/>
  <c r="A1" i="15"/>
  <c r="A1" i="17"/>
  <c r="A1" i="18"/>
  <c r="A1" i="20"/>
  <c r="A1" i="21"/>
  <c r="A1" i="22"/>
  <c r="A1" i="23"/>
  <c r="A1" i="24"/>
  <c r="A1" i="25"/>
  <c r="A1" i="26"/>
  <c r="A1" i="27"/>
  <c r="A1" i="28"/>
  <c r="A1" i="29"/>
  <c r="A1" i="39"/>
  <c r="A1" i="40"/>
  <c r="A1" i="41"/>
  <c r="A1" i="42"/>
  <c r="A1" i="43"/>
  <c r="A1" i="44"/>
  <c r="A1" i="45"/>
  <c r="A1" i="46"/>
  <c r="A1" i="47"/>
  <c r="A1" i="48"/>
  <c r="A1" i="49"/>
  <c r="A1" i="50"/>
  <c r="A1" i="51"/>
  <c r="A1" i="54"/>
  <c r="A1" i="55"/>
  <c r="A1" i="56"/>
  <c r="A1" i="57"/>
  <c r="A1" i="58"/>
  <c r="A1" i="59"/>
  <c r="A1" i="60"/>
  <c r="A1" i="11"/>
  <c r="H2" i="60"/>
  <c r="D2" i="60"/>
  <c r="H2" i="54"/>
  <c r="D2" i="54"/>
  <c r="D109" i="60"/>
  <c r="C109" i="60"/>
  <c r="B109" i="60"/>
  <c r="D108" i="60"/>
  <c r="C108" i="60"/>
  <c r="B108" i="60"/>
  <c r="D107" i="60"/>
  <c r="C107" i="60"/>
  <c r="B107" i="60"/>
  <c r="D106" i="60"/>
  <c r="C106" i="60"/>
  <c r="B106" i="60"/>
  <c r="D105" i="60"/>
  <c r="C105" i="60"/>
  <c r="B105" i="60"/>
  <c r="D104" i="60"/>
  <c r="C104" i="60"/>
  <c r="B104" i="60"/>
  <c r="D103" i="60"/>
  <c r="C103" i="60"/>
  <c r="B103" i="60"/>
  <c r="D102" i="60"/>
  <c r="C102" i="60"/>
  <c r="B102" i="60"/>
  <c r="D101" i="60"/>
  <c r="C101" i="60"/>
  <c r="B101" i="60"/>
  <c r="D100" i="60"/>
  <c r="C100" i="60"/>
  <c r="B100" i="60"/>
  <c r="D99" i="60"/>
  <c r="C99" i="60"/>
  <c r="B99" i="60"/>
  <c r="D98" i="60"/>
  <c r="C98" i="60"/>
  <c r="B98" i="60"/>
  <c r="D97" i="60"/>
  <c r="C97" i="60"/>
  <c r="B97" i="60"/>
  <c r="D96" i="60"/>
  <c r="C96" i="60"/>
  <c r="B96" i="60"/>
  <c r="D95" i="60"/>
  <c r="C95" i="60"/>
  <c r="B95" i="60"/>
  <c r="D94" i="60"/>
  <c r="C94" i="60"/>
  <c r="B94" i="60"/>
  <c r="D93" i="60"/>
  <c r="C93" i="60"/>
  <c r="B93" i="60"/>
  <c r="D92" i="60"/>
  <c r="C92" i="60"/>
  <c r="B92" i="60"/>
  <c r="D91" i="60"/>
  <c r="C91" i="60"/>
  <c r="B91" i="60"/>
  <c r="D90" i="60"/>
  <c r="C90" i="60"/>
  <c r="B90" i="60"/>
  <c r="D89" i="60"/>
  <c r="C89" i="60"/>
  <c r="B89" i="60"/>
  <c r="D88" i="60"/>
  <c r="C88" i="60"/>
  <c r="B88" i="60"/>
  <c r="D87" i="60"/>
  <c r="C87" i="60"/>
  <c r="B87" i="60"/>
  <c r="D86" i="60"/>
  <c r="C86" i="60"/>
  <c r="B86" i="60"/>
  <c r="D85" i="60"/>
  <c r="C85" i="60"/>
  <c r="B85" i="60"/>
  <c r="D84" i="60"/>
  <c r="C84" i="60"/>
  <c r="B84" i="60"/>
  <c r="D83" i="60"/>
  <c r="C83" i="60"/>
  <c r="B83" i="60"/>
  <c r="D82" i="60"/>
  <c r="C82" i="60"/>
  <c r="B82" i="60"/>
  <c r="D81" i="60"/>
  <c r="C81" i="60"/>
  <c r="B81" i="60"/>
  <c r="D80" i="60"/>
  <c r="C80" i="60"/>
  <c r="B80" i="60"/>
  <c r="D79" i="60"/>
  <c r="C79" i="60"/>
  <c r="B79" i="60"/>
  <c r="D78" i="60"/>
  <c r="C78" i="60"/>
  <c r="B78" i="60"/>
  <c r="D77" i="60"/>
  <c r="C77" i="60"/>
  <c r="B77" i="60"/>
  <c r="D76" i="60"/>
  <c r="C76" i="60"/>
  <c r="B76" i="60"/>
  <c r="D75" i="60"/>
  <c r="C75" i="60"/>
  <c r="B75" i="60"/>
  <c r="D74" i="60"/>
  <c r="C74" i="60"/>
  <c r="B74" i="60"/>
  <c r="D73" i="60"/>
  <c r="C73" i="60"/>
  <c r="B73" i="60"/>
  <c r="D72" i="60"/>
  <c r="C72" i="60"/>
  <c r="B72" i="60"/>
  <c r="D71" i="60"/>
  <c r="C71" i="60"/>
  <c r="B71" i="60"/>
  <c r="D70" i="60"/>
  <c r="C70" i="60"/>
  <c r="B70" i="60"/>
  <c r="D69" i="60"/>
  <c r="C69" i="60"/>
  <c r="B69" i="60"/>
  <c r="D68" i="60"/>
  <c r="C68" i="60"/>
  <c r="B68" i="60"/>
  <c r="D67" i="60"/>
  <c r="C67" i="60"/>
  <c r="B67" i="60"/>
  <c r="D66" i="60"/>
  <c r="C66" i="60"/>
  <c r="B66" i="60"/>
  <c r="D65" i="60"/>
  <c r="C65" i="60"/>
  <c r="B65" i="60"/>
  <c r="D64" i="60"/>
  <c r="C64" i="60"/>
  <c r="B64" i="60"/>
  <c r="D63" i="60"/>
  <c r="C63" i="60"/>
  <c r="B63" i="60"/>
  <c r="D62" i="60"/>
  <c r="C62" i="60"/>
  <c r="B62" i="60"/>
  <c r="D61" i="60"/>
  <c r="C61" i="60"/>
  <c r="B61" i="60"/>
  <c r="D60" i="60"/>
  <c r="C60" i="60"/>
  <c r="B60" i="60"/>
  <c r="D59" i="60"/>
  <c r="C59" i="60"/>
  <c r="B59" i="60"/>
  <c r="D58" i="60"/>
  <c r="C58" i="60"/>
  <c r="B58" i="60"/>
  <c r="D57" i="60"/>
  <c r="C57" i="60"/>
  <c r="B57" i="60"/>
  <c r="D56" i="60"/>
  <c r="C56" i="60"/>
  <c r="B56" i="60"/>
  <c r="D55" i="60"/>
  <c r="C55" i="60"/>
  <c r="B55" i="60"/>
  <c r="D54" i="60"/>
  <c r="C54" i="60"/>
  <c r="B54" i="60"/>
  <c r="D53" i="60"/>
  <c r="C53" i="60"/>
  <c r="B53" i="60"/>
  <c r="D52" i="60"/>
  <c r="C52" i="60"/>
  <c r="B52" i="60"/>
  <c r="D51" i="60"/>
  <c r="C51" i="60"/>
  <c r="B51" i="60"/>
  <c r="D50" i="60"/>
  <c r="C50" i="60"/>
  <c r="B50" i="60"/>
  <c r="D49" i="60"/>
  <c r="C49" i="60"/>
  <c r="B49" i="60"/>
  <c r="D48" i="60"/>
  <c r="C48" i="60"/>
  <c r="B48" i="60"/>
  <c r="D47" i="60"/>
  <c r="C47" i="60"/>
  <c r="B47" i="60"/>
  <c r="D46" i="60"/>
  <c r="C46" i="60"/>
  <c r="B46" i="60"/>
  <c r="D45" i="60"/>
  <c r="C45" i="60"/>
  <c r="B45" i="60"/>
  <c r="D44" i="60"/>
  <c r="C44" i="60"/>
  <c r="B44" i="60"/>
  <c r="D43" i="60"/>
  <c r="C43" i="60"/>
  <c r="B43" i="60"/>
  <c r="D42" i="60"/>
  <c r="C42" i="60"/>
  <c r="B42" i="60"/>
  <c r="D41" i="60"/>
  <c r="C41" i="60"/>
  <c r="B41" i="60"/>
  <c r="D40" i="60"/>
  <c r="C40" i="60"/>
  <c r="B40" i="60"/>
  <c r="D39" i="60"/>
  <c r="C39" i="60"/>
  <c r="B39" i="60"/>
  <c r="D38" i="60"/>
  <c r="C38" i="60"/>
  <c r="B38" i="60"/>
  <c r="D37" i="60"/>
  <c r="C37" i="60"/>
  <c r="B37" i="60"/>
  <c r="D36" i="60"/>
  <c r="C36" i="60"/>
  <c r="B36" i="60"/>
  <c r="D35" i="60"/>
  <c r="C35" i="60"/>
  <c r="B35" i="60"/>
  <c r="D34" i="60"/>
  <c r="C34" i="60"/>
  <c r="B34" i="60"/>
  <c r="D33" i="60"/>
  <c r="C33" i="60"/>
  <c r="B33" i="60"/>
  <c r="D32" i="60"/>
  <c r="C32" i="60"/>
  <c r="B32" i="60"/>
  <c r="D31" i="60"/>
  <c r="C31" i="60"/>
  <c r="B31" i="60"/>
  <c r="D30" i="60"/>
  <c r="C30" i="60"/>
  <c r="B30" i="60"/>
  <c r="D29" i="60"/>
  <c r="C29" i="60"/>
  <c r="B29" i="60"/>
  <c r="D28" i="60"/>
  <c r="C28" i="60"/>
  <c r="B28" i="60"/>
  <c r="D27" i="60"/>
  <c r="C27" i="60"/>
  <c r="B27" i="60"/>
  <c r="D26" i="60"/>
  <c r="C26" i="60"/>
  <c r="B26" i="60"/>
  <c r="D25" i="60"/>
  <c r="C25" i="60"/>
  <c r="B25" i="60"/>
  <c r="D24" i="60"/>
  <c r="C24" i="60"/>
  <c r="B24" i="60"/>
  <c r="D23" i="60"/>
  <c r="C23" i="60"/>
  <c r="B23" i="60"/>
  <c r="D22" i="60"/>
  <c r="C22" i="60"/>
  <c r="B22" i="60"/>
  <c r="D21" i="60"/>
  <c r="C21" i="60"/>
  <c r="B21" i="60"/>
  <c r="D20" i="60"/>
  <c r="C20" i="60"/>
  <c r="B20" i="60"/>
  <c r="D19" i="60"/>
  <c r="C19" i="60"/>
  <c r="B19" i="60"/>
  <c r="D18" i="60"/>
  <c r="C18" i="60"/>
  <c r="B18" i="60"/>
  <c r="D17" i="60"/>
  <c r="C17" i="60"/>
  <c r="B17" i="60"/>
  <c r="D16" i="60"/>
  <c r="C16" i="60"/>
  <c r="B16" i="60"/>
  <c r="D15" i="60"/>
  <c r="C15" i="60"/>
  <c r="B15" i="60"/>
  <c r="D14" i="60"/>
  <c r="C14" i="60"/>
  <c r="B14" i="60"/>
  <c r="D13" i="60"/>
  <c r="C13" i="60"/>
  <c r="B13" i="60"/>
  <c r="D12" i="60"/>
  <c r="C12" i="60"/>
  <c r="B12" i="60"/>
  <c r="D11" i="60"/>
  <c r="C11" i="60"/>
  <c r="B11" i="60"/>
  <c r="D10" i="60"/>
  <c r="C10" i="60"/>
  <c r="B10" i="60"/>
  <c r="D9" i="60"/>
  <c r="C9" i="60"/>
  <c r="B9" i="60"/>
  <c r="D8" i="60"/>
  <c r="C8" i="60"/>
  <c r="B8" i="60"/>
  <c r="D7" i="60"/>
  <c r="C7" i="60"/>
  <c r="B7" i="60"/>
  <c r="D6" i="60"/>
  <c r="C6" i="60"/>
  <c r="B6" i="60"/>
  <c r="D5" i="60"/>
  <c r="C5" i="60"/>
  <c r="B5" i="60"/>
  <c r="D4" i="60"/>
  <c r="C4" i="60"/>
  <c r="B4" i="60"/>
  <c r="D3" i="60"/>
  <c r="C3" i="60"/>
  <c r="B3" i="60"/>
  <c r="D109" i="59"/>
  <c r="C109" i="59"/>
  <c r="B109" i="59"/>
  <c r="D108" i="59"/>
  <c r="C108" i="59"/>
  <c r="B108" i="59"/>
  <c r="D107" i="59"/>
  <c r="C107" i="59"/>
  <c r="B107" i="59"/>
  <c r="D106" i="59"/>
  <c r="C106" i="59"/>
  <c r="B106" i="59"/>
  <c r="D105" i="59"/>
  <c r="C105" i="59"/>
  <c r="B105" i="59"/>
  <c r="D104" i="59"/>
  <c r="C104" i="59"/>
  <c r="B104" i="59"/>
  <c r="D103" i="59"/>
  <c r="C103" i="59"/>
  <c r="B103" i="59"/>
  <c r="D102" i="59"/>
  <c r="C102" i="59"/>
  <c r="B102" i="59"/>
  <c r="D101" i="59"/>
  <c r="C101" i="59"/>
  <c r="B101" i="59"/>
  <c r="D100" i="59"/>
  <c r="C100" i="59"/>
  <c r="B100" i="59"/>
  <c r="D99" i="59"/>
  <c r="C99" i="59"/>
  <c r="B99" i="59"/>
  <c r="D98" i="59"/>
  <c r="C98" i="59"/>
  <c r="B98" i="59"/>
  <c r="D97" i="59"/>
  <c r="C97" i="59"/>
  <c r="B97" i="59"/>
  <c r="D96" i="59"/>
  <c r="C96" i="59"/>
  <c r="B96" i="59"/>
  <c r="D95" i="59"/>
  <c r="C95" i="59"/>
  <c r="B95" i="59"/>
  <c r="D94" i="59"/>
  <c r="C94" i="59"/>
  <c r="B94" i="59"/>
  <c r="D93" i="59"/>
  <c r="C93" i="59"/>
  <c r="B93" i="59"/>
  <c r="D92" i="59"/>
  <c r="C92" i="59"/>
  <c r="B92" i="59"/>
  <c r="D91" i="59"/>
  <c r="C91" i="59"/>
  <c r="B91" i="59"/>
  <c r="D90" i="59"/>
  <c r="C90" i="59"/>
  <c r="B90" i="59"/>
  <c r="D89" i="59"/>
  <c r="C89" i="59"/>
  <c r="B89" i="59"/>
  <c r="D88" i="59"/>
  <c r="C88" i="59"/>
  <c r="B88" i="59"/>
  <c r="D87" i="59"/>
  <c r="C87" i="59"/>
  <c r="B87" i="59"/>
  <c r="D86" i="59"/>
  <c r="C86" i="59"/>
  <c r="B86" i="59"/>
  <c r="D85" i="59"/>
  <c r="C85" i="59"/>
  <c r="B85" i="59"/>
  <c r="D84" i="59"/>
  <c r="C84" i="59"/>
  <c r="B84" i="59"/>
  <c r="D83" i="59"/>
  <c r="C83" i="59"/>
  <c r="B83" i="59"/>
  <c r="D82" i="59"/>
  <c r="C82" i="59"/>
  <c r="B82" i="59"/>
  <c r="D81" i="59"/>
  <c r="C81" i="59"/>
  <c r="B81" i="59"/>
  <c r="D80" i="59"/>
  <c r="C80" i="59"/>
  <c r="B80" i="59"/>
  <c r="D79" i="59"/>
  <c r="C79" i="59"/>
  <c r="B79" i="59"/>
  <c r="D78" i="59"/>
  <c r="C78" i="59"/>
  <c r="B78" i="59"/>
  <c r="D77" i="59"/>
  <c r="C77" i="59"/>
  <c r="B77" i="59"/>
  <c r="D76" i="59"/>
  <c r="C76" i="59"/>
  <c r="B76" i="59"/>
  <c r="D75" i="59"/>
  <c r="C75" i="59"/>
  <c r="B75" i="59"/>
  <c r="D74" i="59"/>
  <c r="C74" i="59"/>
  <c r="B74" i="59"/>
  <c r="D73" i="59"/>
  <c r="C73" i="59"/>
  <c r="B73" i="59"/>
  <c r="D72" i="59"/>
  <c r="C72" i="59"/>
  <c r="B72" i="59"/>
  <c r="D71" i="59"/>
  <c r="C71" i="59"/>
  <c r="B71" i="59"/>
  <c r="D70" i="59"/>
  <c r="C70" i="59"/>
  <c r="B70" i="59"/>
  <c r="D69" i="59"/>
  <c r="C69" i="59"/>
  <c r="B69" i="59"/>
  <c r="D68" i="59"/>
  <c r="C68" i="59"/>
  <c r="B68" i="59"/>
  <c r="D67" i="59"/>
  <c r="C67" i="59"/>
  <c r="B67" i="59"/>
  <c r="D66" i="59"/>
  <c r="C66" i="59"/>
  <c r="B66" i="59"/>
  <c r="D65" i="59"/>
  <c r="C65" i="59"/>
  <c r="B65" i="59"/>
  <c r="D64" i="59"/>
  <c r="C64" i="59"/>
  <c r="B64" i="59"/>
  <c r="D63" i="59"/>
  <c r="C63" i="59"/>
  <c r="B63" i="59"/>
  <c r="D62" i="59"/>
  <c r="C62" i="59"/>
  <c r="B62" i="59"/>
  <c r="D61" i="59"/>
  <c r="C61" i="59"/>
  <c r="B61" i="59"/>
  <c r="D60" i="59"/>
  <c r="C60" i="59"/>
  <c r="B60" i="59"/>
  <c r="D59" i="59"/>
  <c r="C59" i="59"/>
  <c r="B59" i="59"/>
  <c r="D58" i="59"/>
  <c r="C58" i="59"/>
  <c r="B58" i="59"/>
  <c r="D57" i="59"/>
  <c r="C57" i="59"/>
  <c r="B57" i="59"/>
  <c r="D56" i="59"/>
  <c r="C56" i="59"/>
  <c r="B56" i="59"/>
  <c r="D55" i="59"/>
  <c r="C55" i="59"/>
  <c r="B55" i="59"/>
  <c r="D54" i="59"/>
  <c r="C54" i="59"/>
  <c r="B54" i="59"/>
  <c r="D53" i="59"/>
  <c r="C53" i="59"/>
  <c r="B53" i="59"/>
  <c r="D52" i="59"/>
  <c r="C52" i="59"/>
  <c r="B52" i="59"/>
  <c r="D51" i="59"/>
  <c r="C51" i="59"/>
  <c r="B51" i="59"/>
  <c r="D50" i="59"/>
  <c r="C50" i="59"/>
  <c r="B50" i="59"/>
  <c r="D49" i="59"/>
  <c r="C49" i="59"/>
  <c r="B49" i="59"/>
  <c r="D48" i="59"/>
  <c r="C48" i="59"/>
  <c r="B48" i="59"/>
  <c r="D47" i="59"/>
  <c r="C47" i="59"/>
  <c r="B47" i="59"/>
  <c r="D46" i="59"/>
  <c r="C46" i="59"/>
  <c r="B46" i="59"/>
  <c r="D45" i="59"/>
  <c r="C45" i="59"/>
  <c r="B45" i="59"/>
  <c r="D44" i="59"/>
  <c r="C44" i="59"/>
  <c r="B44" i="59"/>
  <c r="D43" i="59"/>
  <c r="C43" i="59"/>
  <c r="B43" i="59"/>
  <c r="D42" i="59"/>
  <c r="C42" i="59"/>
  <c r="B42" i="59"/>
  <c r="D41" i="59"/>
  <c r="C41" i="59"/>
  <c r="B41" i="59"/>
  <c r="D40" i="59"/>
  <c r="C40" i="59"/>
  <c r="B40" i="59"/>
  <c r="D39" i="59"/>
  <c r="C39" i="59"/>
  <c r="B39" i="59"/>
  <c r="D38" i="59"/>
  <c r="C38" i="59"/>
  <c r="B38" i="59"/>
  <c r="D37" i="59"/>
  <c r="C37" i="59"/>
  <c r="B37" i="59"/>
  <c r="D36" i="59"/>
  <c r="C36" i="59"/>
  <c r="B36" i="59"/>
  <c r="D35" i="59"/>
  <c r="C35" i="59"/>
  <c r="B35" i="59"/>
  <c r="D34" i="59"/>
  <c r="C34" i="59"/>
  <c r="B34" i="59"/>
  <c r="D33" i="59"/>
  <c r="C33" i="59"/>
  <c r="B33" i="59"/>
  <c r="D32" i="59"/>
  <c r="C32" i="59"/>
  <c r="B32" i="59"/>
  <c r="D31" i="59"/>
  <c r="C31" i="59"/>
  <c r="B31" i="59"/>
  <c r="D30" i="59"/>
  <c r="C30" i="59"/>
  <c r="B30" i="59"/>
  <c r="D29" i="59"/>
  <c r="C29" i="59"/>
  <c r="B29" i="59"/>
  <c r="D28" i="59"/>
  <c r="C28" i="59"/>
  <c r="B28" i="59"/>
  <c r="D27" i="59"/>
  <c r="C27" i="59"/>
  <c r="B27" i="59"/>
  <c r="D26" i="59"/>
  <c r="C26" i="59"/>
  <c r="B26" i="59"/>
  <c r="D25" i="59"/>
  <c r="C25" i="59"/>
  <c r="B25" i="59"/>
  <c r="D24" i="59"/>
  <c r="C24" i="59"/>
  <c r="B24" i="59"/>
  <c r="D23" i="59"/>
  <c r="C23" i="59"/>
  <c r="B23" i="59"/>
  <c r="D22" i="59"/>
  <c r="C22" i="59"/>
  <c r="B22" i="59"/>
  <c r="D21" i="59"/>
  <c r="C21" i="59"/>
  <c r="B21" i="59"/>
  <c r="D20" i="59"/>
  <c r="C20" i="59"/>
  <c r="B20" i="59"/>
  <c r="D19" i="59"/>
  <c r="C19" i="59"/>
  <c r="B19" i="59"/>
  <c r="D18" i="59"/>
  <c r="C18" i="59"/>
  <c r="B18" i="59"/>
  <c r="D17" i="59"/>
  <c r="C17" i="59"/>
  <c r="B17" i="59"/>
  <c r="D16" i="59"/>
  <c r="C16" i="59"/>
  <c r="B16" i="59"/>
  <c r="D15" i="59"/>
  <c r="C15" i="59"/>
  <c r="B15" i="59"/>
  <c r="D14" i="59"/>
  <c r="C14" i="59"/>
  <c r="B14" i="59"/>
  <c r="D13" i="59"/>
  <c r="C13" i="59"/>
  <c r="B13" i="59"/>
  <c r="D12" i="59"/>
  <c r="C12" i="59"/>
  <c r="B12" i="59"/>
  <c r="D11" i="59"/>
  <c r="C11" i="59"/>
  <c r="B11" i="59"/>
  <c r="D10" i="59"/>
  <c r="C10" i="59"/>
  <c r="B10" i="59"/>
  <c r="D9" i="59"/>
  <c r="C9" i="59"/>
  <c r="B9" i="59"/>
  <c r="D8" i="59"/>
  <c r="C8" i="59"/>
  <c r="B8" i="59"/>
  <c r="D7" i="59"/>
  <c r="C7" i="59"/>
  <c r="B7" i="59"/>
  <c r="D6" i="59"/>
  <c r="C6" i="59"/>
  <c r="B6" i="59"/>
  <c r="D5" i="59"/>
  <c r="C5" i="59"/>
  <c r="B5" i="59"/>
  <c r="D4" i="59"/>
  <c r="C4" i="59"/>
  <c r="B4" i="59"/>
  <c r="D3" i="59"/>
  <c r="C3" i="59"/>
  <c r="B3" i="59"/>
  <c r="D109" i="58"/>
  <c r="C109" i="58"/>
  <c r="B109" i="58"/>
  <c r="D108" i="58"/>
  <c r="C108" i="58"/>
  <c r="B108" i="58"/>
  <c r="D107" i="58"/>
  <c r="C107" i="58"/>
  <c r="B107" i="58"/>
  <c r="D106" i="58"/>
  <c r="C106" i="58"/>
  <c r="B106" i="58"/>
  <c r="D105" i="58"/>
  <c r="C105" i="58"/>
  <c r="B105" i="58"/>
  <c r="D104" i="58"/>
  <c r="C104" i="58"/>
  <c r="B104" i="58"/>
  <c r="D103" i="58"/>
  <c r="C103" i="58"/>
  <c r="B103" i="58"/>
  <c r="D102" i="58"/>
  <c r="C102" i="58"/>
  <c r="B102" i="58"/>
  <c r="D101" i="58"/>
  <c r="C101" i="58"/>
  <c r="B101" i="58"/>
  <c r="D100" i="58"/>
  <c r="C100" i="58"/>
  <c r="B100" i="58"/>
  <c r="D99" i="58"/>
  <c r="C99" i="58"/>
  <c r="B99" i="58"/>
  <c r="D98" i="58"/>
  <c r="C98" i="58"/>
  <c r="B98" i="58"/>
  <c r="D97" i="58"/>
  <c r="C97" i="58"/>
  <c r="B97" i="58"/>
  <c r="D96" i="58"/>
  <c r="C96" i="58"/>
  <c r="B96" i="58"/>
  <c r="D95" i="58"/>
  <c r="C95" i="58"/>
  <c r="B95" i="58"/>
  <c r="D94" i="58"/>
  <c r="C94" i="58"/>
  <c r="B94" i="58"/>
  <c r="D93" i="58"/>
  <c r="C93" i="58"/>
  <c r="B93" i="58"/>
  <c r="D92" i="58"/>
  <c r="C92" i="58"/>
  <c r="B92" i="58"/>
  <c r="D91" i="58"/>
  <c r="C91" i="58"/>
  <c r="B91" i="58"/>
  <c r="D90" i="58"/>
  <c r="C90" i="58"/>
  <c r="B90" i="58"/>
  <c r="D89" i="58"/>
  <c r="C89" i="58"/>
  <c r="B89" i="58"/>
  <c r="D88" i="58"/>
  <c r="C88" i="58"/>
  <c r="B88" i="58"/>
  <c r="D87" i="58"/>
  <c r="C87" i="58"/>
  <c r="B87" i="58"/>
  <c r="D86" i="58"/>
  <c r="C86" i="58"/>
  <c r="B86" i="58"/>
  <c r="D85" i="58"/>
  <c r="C85" i="58"/>
  <c r="B85" i="58"/>
  <c r="D84" i="58"/>
  <c r="C84" i="58"/>
  <c r="B84" i="58"/>
  <c r="D83" i="58"/>
  <c r="C83" i="58"/>
  <c r="B83" i="58"/>
  <c r="D82" i="58"/>
  <c r="C82" i="58"/>
  <c r="B82" i="58"/>
  <c r="D81" i="58"/>
  <c r="C81" i="58"/>
  <c r="B81" i="58"/>
  <c r="D80" i="58"/>
  <c r="C80" i="58"/>
  <c r="B80" i="58"/>
  <c r="D79" i="58"/>
  <c r="C79" i="58"/>
  <c r="B79" i="58"/>
  <c r="D78" i="58"/>
  <c r="C78" i="58"/>
  <c r="B78" i="58"/>
  <c r="D77" i="58"/>
  <c r="C77" i="58"/>
  <c r="B77" i="58"/>
  <c r="D76" i="58"/>
  <c r="C76" i="58"/>
  <c r="B76" i="58"/>
  <c r="D75" i="58"/>
  <c r="C75" i="58"/>
  <c r="B75" i="58"/>
  <c r="D74" i="58"/>
  <c r="C74" i="58"/>
  <c r="B74" i="58"/>
  <c r="D73" i="58"/>
  <c r="C73" i="58"/>
  <c r="B73" i="58"/>
  <c r="D72" i="58"/>
  <c r="C72" i="58"/>
  <c r="B72" i="58"/>
  <c r="D71" i="58"/>
  <c r="C71" i="58"/>
  <c r="B71" i="58"/>
  <c r="D70" i="58"/>
  <c r="C70" i="58"/>
  <c r="B70" i="58"/>
  <c r="D69" i="58"/>
  <c r="C69" i="58"/>
  <c r="B69" i="58"/>
  <c r="D68" i="58"/>
  <c r="C68" i="58"/>
  <c r="B68" i="58"/>
  <c r="D67" i="58"/>
  <c r="C67" i="58"/>
  <c r="B67" i="58"/>
  <c r="D66" i="58"/>
  <c r="C66" i="58"/>
  <c r="B66" i="58"/>
  <c r="D65" i="58"/>
  <c r="C65" i="58"/>
  <c r="B65" i="58"/>
  <c r="D64" i="58"/>
  <c r="C64" i="58"/>
  <c r="B64" i="58"/>
  <c r="D63" i="58"/>
  <c r="C63" i="58"/>
  <c r="B63" i="58"/>
  <c r="D62" i="58"/>
  <c r="C62" i="58"/>
  <c r="B62" i="58"/>
  <c r="D61" i="58"/>
  <c r="C61" i="58"/>
  <c r="B61" i="58"/>
  <c r="D60" i="58"/>
  <c r="C60" i="58"/>
  <c r="B60" i="58"/>
  <c r="D59" i="58"/>
  <c r="C59" i="58"/>
  <c r="B59" i="58"/>
  <c r="D58" i="58"/>
  <c r="C58" i="58"/>
  <c r="B58" i="58"/>
  <c r="D57" i="58"/>
  <c r="C57" i="58"/>
  <c r="B57" i="58"/>
  <c r="D56" i="58"/>
  <c r="C56" i="58"/>
  <c r="B56" i="58"/>
  <c r="D55" i="58"/>
  <c r="C55" i="58"/>
  <c r="B55" i="58"/>
  <c r="D54" i="58"/>
  <c r="C54" i="58"/>
  <c r="B54" i="58"/>
  <c r="D53" i="58"/>
  <c r="C53" i="58"/>
  <c r="B53" i="58"/>
  <c r="D52" i="58"/>
  <c r="C52" i="58"/>
  <c r="B52" i="58"/>
  <c r="D51" i="58"/>
  <c r="C51" i="58"/>
  <c r="B51" i="58"/>
  <c r="D50" i="58"/>
  <c r="C50" i="58"/>
  <c r="B50" i="58"/>
  <c r="D49" i="58"/>
  <c r="C49" i="58"/>
  <c r="B49" i="58"/>
  <c r="D48" i="58"/>
  <c r="C48" i="58"/>
  <c r="B48" i="58"/>
  <c r="D47" i="58"/>
  <c r="C47" i="58"/>
  <c r="B47" i="58"/>
  <c r="D46" i="58"/>
  <c r="C46" i="58"/>
  <c r="B46" i="58"/>
  <c r="D45" i="58"/>
  <c r="C45" i="58"/>
  <c r="B45" i="58"/>
  <c r="D44" i="58"/>
  <c r="C44" i="58"/>
  <c r="B44" i="58"/>
  <c r="D43" i="58"/>
  <c r="C43" i="58"/>
  <c r="B43" i="58"/>
  <c r="D42" i="58"/>
  <c r="C42" i="58"/>
  <c r="B42" i="58"/>
  <c r="D41" i="58"/>
  <c r="C41" i="58"/>
  <c r="B41" i="58"/>
  <c r="D40" i="58"/>
  <c r="C40" i="58"/>
  <c r="B40" i="58"/>
  <c r="D39" i="58"/>
  <c r="C39" i="58"/>
  <c r="B39" i="58"/>
  <c r="D38" i="58"/>
  <c r="C38" i="58"/>
  <c r="B38" i="58"/>
  <c r="D37" i="58"/>
  <c r="C37" i="58"/>
  <c r="B37" i="58"/>
  <c r="D36" i="58"/>
  <c r="C36" i="58"/>
  <c r="B36" i="58"/>
  <c r="D35" i="58"/>
  <c r="C35" i="58"/>
  <c r="B35" i="58"/>
  <c r="D34" i="58"/>
  <c r="C34" i="58"/>
  <c r="B34" i="58"/>
  <c r="D33" i="58"/>
  <c r="C33" i="58"/>
  <c r="B33" i="58"/>
  <c r="D32" i="58"/>
  <c r="C32" i="58"/>
  <c r="B32" i="58"/>
  <c r="D31" i="58"/>
  <c r="C31" i="58"/>
  <c r="B31" i="58"/>
  <c r="D30" i="58"/>
  <c r="C30" i="58"/>
  <c r="B30" i="58"/>
  <c r="D29" i="58"/>
  <c r="C29" i="58"/>
  <c r="B29" i="58"/>
  <c r="D28" i="58"/>
  <c r="C28" i="58"/>
  <c r="B28" i="58"/>
  <c r="D27" i="58"/>
  <c r="C27" i="58"/>
  <c r="B27" i="58"/>
  <c r="D26" i="58"/>
  <c r="C26" i="58"/>
  <c r="B26" i="58"/>
  <c r="D25" i="58"/>
  <c r="C25" i="58"/>
  <c r="B25" i="58"/>
  <c r="D24" i="58"/>
  <c r="C24" i="58"/>
  <c r="B24" i="58"/>
  <c r="D23" i="58"/>
  <c r="C23" i="58"/>
  <c r="B23" i="58"/>
  <c r="D22" i="58"/>
  <c r="C22" i="58"/>
  <c r="B22" i="58"/>
  <c r="D21" i="58"/>
  <c r="C21" i="58"/>
  <c r="B21" i="58"/>
  <c r="D20" i="58"/>
  <c r="C20" i="58"/>
  <c r="B20" i="58"/>
  <c r="D19" i="58"/>
  <c r="C19" i="58"/>
  <c r="B19" i="58"/>
  <c r="D18" i="58"/>
  <c r="C18" i="58"/>
  <c r="B18" i="58"/>
  <c r="D17" i="58"/>
  <c r="C17" i="58"/>
  <c r="B17" i="58"/>
  <c r="D16" i="58"/>
  <c r="C16" i="58"/>
  <c r="B16" i="58"/>
  <c r="D15" i="58"/>
  <c r="C15" i="58"/>
  <c r="B15" i="58"/>
  <c r="D14" i="58"/>
  <c r="C14" i="58"/>
  <c r="B14" i="58"/>
  <c r="D13" i="58"/>
  <c r="C13" i="58"/>
  <c r="B13" i="58"/>
  <c r="D12" i="58"/>
  <c r="C12" i="58"/>
  <c r="B12" i="58"/>
  <c r="D11" i="58"/>
  <c r="C11" i="58"/>
  <c r="B11" i="58"/>
  <c r="D10" i="58"/>
  <c r="C10" i="58"/>
  <c r="B10" i="58"/>
  <c r="D9" i="58"/>
  <c r="C9" i="58"/>
  <c r="B9" i="58"/>
  <c r="D8" i="58"/>
  <c r="C8" i="58"/>
  <c r="B8" i="58"/>
  <c r="D7" i="58"/>
  <c r="C7" i="58"/>
  <c r="B7" i="58"/>
  <c r="D6" i="58"/>
  <c r="C6" i="58"/>
  <c r="B6" i="58"/>
  <c r="D5" i="58"/>
  <c r="C5" i="58"/>
  <c r="B5" i="58"/>
  <c r="D4" i="58"/>
  <c r="C4" i="58"/>
  <c r="B4" i="58"/>
  <c r="D3" i="58"/>
  <c r="C3" i="58"/>
  <c r="B3" i="58"/>
  <c r="D109" i="57"/>
  <c r="C109" i="57"/>
  <c r="B109" i="57"/>
  <c r="D108" i="57"/>
  <c r="C108" i="57"/>
  <c r="B108" i="57"/>
  <c r="D107" i="57"/>
  <c r="C107" i="57"/>
  <c r="B107" i="57"/>
  <c r="D106" i="57"/>
  <c r="C106" i="57"/>
  <c r="B106" i="57"/>
  <c r="D105" i="57"/>
  <c r="C105" i="57"/>
  <c r="B105" i="57"/>
  <c r="D104" i="57"/>
  <c r="C104" i="57"/>
  <c r="B104" i="57"/>
  <c r="D103" i="57"/>
  <c r="C103" i="57"/>
  <c r="B103" i="57"/>
  <c r="D102" i="57"/>
  <c r="C102" i="57"/>
  <c r="B102" i="57"/>
  <c r="D101" i="57"/>
  <c r="C101" i="57"/>
  <c r="B101" i="57"/>
  <c r="D100" i="57"/>
  <c r="C100" i="57"/>
  <c r="B100" i="57"/>
  <c r="D99" i="57"/>
  <c r="C99" i="57"/>
  <c r="B99" i="57"/>
  <c r="D98" i="57"/>
  <c r="C98" i="57"/>
  <c r="B98" i="57"/>
  <c r="D97" i="57"/>
  <c r="C97" i="57"/>
  <c r="B97" i="57"/>
  <c r="D96" i="57"/>
  <c r="C96" i="57"/>
  <c r="B96" i="57"/>
  <c r="D95" i="57"/>
  <c r="C95" i="57"/>
  <c r="B95" i="57"/>
  <c r="D94" i="57"/>
  <c r="C94" i="57"/>
  <c r="B94" i="57"/>
  <c r="D93" i="57"/>
  <c r="C93" i="57"/>
  <c r="B93" i="57"/>
  <c r="D92" i="57"/>
  <c r="C92" i="57"/>
  <c r="B92" i="57"/>
  <c r="D91" i="57"/>
  <c r="C91" i="57"/>
  <c r="B91" i="57"/>
  <c r="D90" i="57"/>
  <c r="C90" i="57"/>
  <c r="B90" i="57"/>
  <c r="D89" i="57"/>
  <c r="C89" i="57"/>
  <c r="B89" i="57"/>
  <c r="D88" i="57"/>
  <c r="C88" i="57"/>
  <c r="B88" i="57"/>
  <c r="D87" i="57"/>
  <c r="C87" i="57"/>
  <c r="B87" i="57"/>
  <c r="D86" i="57"/>
  <c r="C86" i="57"/>
  <c r="B86" i="57"/>
  <c r="D85" i="57"/>
  <c r="C85" i="57"/>
  <c r="B85" i="57"/>
  <c r="D84" i="57"/>
  <c r="C84" i="57"/>
  <c r="B84" i="57"/>
  <c r="D83" i="57"/>
  <c r="C83" i="57"/>
  <c r="B83" i="57"/>
  <c r="D82" i="57"/>
  <c r="C82" i="57"/>
  <c r="B82" i="57"/>
  <c r="D81" i="57"/>
  <c r="C81" i="57"/>
  <c r="B81" i="57"/>
  <c r="D80" i="57"/>
  <c r="C80" i="57"/>
  <c r="B80" i="57"/>
  <c r="D79" i="57"/>
  <c r="C79" i="57"/>
  <c r="B79" i="57"/>
  <c r="D78" i="57"/>
  <c r="C78" i="57"/>
  <c r="B78" i="57"/>
  <c r="D77" i="57"/>
  <c r="C77" i="57"/>
  <c r="B77" i="57"/>
  <c r="D76" i="57"/>
  <c r="C76" i="57"/>
  <c r="B76" i="57"/>
  <c r="D75" i="57"/>
  <c r="C75" i="57"/>
  <c r="B75" i="57"/>
  <c r="D74" i="57"/>
  <c r="C74" i="57"/>
  <c r="B74" i="57"/>
  <c r="D73" i="57"/>
  <c r="C73" i="57"/>
  <c r="B73" i="57"/>
  <c r="D72" i="57"/>
  <c r="C72" i="57"/>
  <c r="B72" i="57"/>
  <c r="D71" i="57"/>
  <c r="C71" i="57"/>
  <c r="B71" i="57"/>
  <c r="D70" i="57"/>
  <c r="C70" i="57"/>
  <c r="B70" i="57"/>
  <c r="D69" i="57"/>
  <c r="C69" i="57"/>
  <c r="B69" i="57"/>
  <c r="D68" i="57"/>
  <c r="C68" i="57"/>
  <c r="B68" i="57"/>
  <c r="D67" i="57"/>
  <c r="C67" i="57"/>
  <c r="B67" i="57"/>
  <c r="D66" i="57"/>
  <c r="C66" i="57"/>
  <c r="B66" i="57"/>
  <c r="D65" i="57"/>
  <c r="C65" i="57"/>
  <c r="B65" i="57"/>
  <c r="D64" i="57"/>
  <c r="C64" i="57"/>
  <c r="B64" i="57"/>
  <c r="D63" i="57"/>
  <c r="C63" i="57"/>
  <c r="B63" i="57"/>
  <c r="D62" i="57"/>
  <c r="C62" i="57"/>
  <c r="B62" i="57"/>
  <c r="D61" i="57"/>
  <c r="C61" i="57"/>
  <c r="B61" i="57"/>
  <c r="D60" i="57"/>
  <c r="C60" i="57"/>
  <c r="B60" i="57"/>
  <c r="D59" i="57"/>
  <c r="C59" i="57"/>
  <c r="B59" i="57"/>
  <c r="D58" i="57"/>
  <c r="C58" i="57"/>
  <c r="B58" i="57"/>
  <c r="D57" i="57"/>
  <c r="C57" i="57"/>
  <c r="B57" i="57"/>
  <c r="D56" i="57"/>
  <c r="C56" i="57"/>
  <c r="B56" i="57"/>
  <c r="D55" i="57"/>
  <c r="C55" i="57"/>
  <c r="B55" i="57"/>
  <c r="D54" i="57"/>
  <c r="C54" i="57"/>
  <c r="B54" i="57"/>
  <c r="D53" i="57"/>
  <c r="C53" i="57"/>
  <c r="B53" i="57"/>
  <c r="D52" i="57"/>
  <c r="C52" i="57"/>
  <c r="B52" i="57"/>
  <c r="D51" i="57"/>
  <c r="C51" i="57"/>
  <c r="B51" i="57"/>
  <c r="D50" i="57"/>
  <c r="C50" i="57"/>
  <c r="B50" i="57"/>
  <c r="D49" i="57"/>
  <c r="C49" i="57"/>
  <c r="B49" i="57"/>
  <c r="D48" i="57"/>
  <c r="C48" i="57"/>
  <c r="B48" i="57"/>
  <c r="D47" i="57"/>
  <c r="C47" i="57"/>
  <c r="B47" i="57"/>
  <c r="D46" i="57"/>
  <c r="C46" i="57"/>
  <c r="B46" i="57"/>
  <c r="D45" i="57"/>
  <c r="C45" i="57"/>
  <c r="B45" i="57"/>
  <c r="D44" i="57"/>
  <c r="C44" i="57"/>
  <c r="B44" i="57"/>
  <c r="D43" i="57"/>
  <c r="C43" i="57"/>
  <c r="B43" i="57"/>
  <c r="D42" i="57"/>
  <c r="C42" i="57"/>
  <c r="B42" i="57"/>
  <c r="D41" i="57"/>
  <c r="C41" i="57"/>
  <c r="B41" i="57"/>
  <c r="D40" i="57"/>
  <c r="C40" i="57"/>
  <c r="B40" i="57"/>
  <c r="D39" i="57"/>
  <c r="C39" i="57"/>
  <c r="B39" i="57"/>
  <c r="D38" i="57"/>
  <c r="C38" i="57"/>
  <c r="B38" i="57"/>
  <c r="D37" i="57"/>
  <c r="C37" i="57"/>
  <c r="B37" i="57"/>
  <c r="D36" i="57"/>
  <c r="C36" i="57"/>
  <c r="B36" i="57"/>
  <c r="D35" i="57"/>
  <c r="C35" i="57"/>
  <c r="B35" i="57"/>
  <c r="D34" i="57"/>
  <c r="C34" i="57"/>
  <c r="B34" i="57"/>
  <c r="D33" i="57"/>
  <c r="C33" i="57"/>
  <c r="B33" i="57"/>
  <c r="D32" i="57"/>
  <c r="C32" i="57"/>
  <c r="B32" i="57"/>
  <c r="D31" i="57"/>
  <c r="C31" i="57"/>
  <c r="B31" i="57"/>
  <c r="D30" i="57"/>
  <c r="C30" i="57"/>
  <c r="B30" i="57"/>
  <c r="D29" i="57"/>
  <c r="C29" i="57"/>
  <c r="B29" i="57"/>
  <c r="D28" i="57"/>
  <c r="C28" i="57"/>
  <c r="B28" i="57"/>
  <c r="D27" i="57"/>
  <c r="C27" i="57"/>
  <c r="B27" i="57"/>
  <c r="D26" i="57"/>
  <c r="C26" i="57"/>
  <c r="B26" i="57"/>
  <c r="D25" i="57"/>
  <c r="C25" i="57"/>
  <c r="B25" i="57"/>
  <c r="D24" i="57"/>
  <c r="C24" i="57"/>
  <c r="B24" i="57"/>
  <c r="D23" i="57"/>
  <c r="C23" i="57"/>
  <c r="B23" i="57"/>
  <c r="D22" i="57"/>
  <c r="C22" i="57"/>
  <c r="B22" i="57"/>
  <c r="D21" i="57"/>
  <c r="C21" i="57"/>
  <c r="B21" i="57"/>
  <c r="D20" i="57"/>
  <c r="C20" i="57"/>
  <c r="B20" i="57"/>
  <c r="D19" i="57"/>
  <c r="C19" i="57"/>
  <c r="B19" i="57"/>
  <c r="D18" i="57"/>
  <c r="C18" i="57"/>
  <c r="B18" i="57"/>
  <c r="D17" i="57"/>
  <c r="C17" i="57"/>
  <c r="B17" i="57"/>
  <c r="D16" i="57"/>
  <c r="C16" i="57"/>
  <c r="B16" i="57"/>
  <c r="D15" i="57"/>
  <c r="C15" i="57"/>
  <c r="B15" i="57"/>
  <c r="D14" i="57"/>
  <c r="C14" i="57"/>
  <c r="B14" i="57"/>
  <c r="D13" i="57"/>
  <c r="C13" i="57"/>
  <c r="B13" i="57"/>
  <c r="D12" i="57"/>
  <c r="C12" i="57"/>
  <c r="B12" i="57"/>
  <c r="D11" i="57"/>
  <c r="C11" i="57"/>
  <c r="B11" i="57"/>
  <c r="D10" i="57"/>
  <c r="C10" i="57"/>
  <c r="B10" i="57"/>
  <c r="D9" i="57"/>
  <c r="C9" i="57"/>
  <c r="B9" i="57"/>
  <c r="D8" i="57"/>
  <c r="C8" i="57"/>
  <c r="B8" i="57"/>
  <c r="D7" i="57"/>
  <c r="C7" i="57"/>
  <c r="B7" i="57"/>
  <c r="D6" i="57"/>
  <c r="C6" i="57"/>
  <c r="B6" i="57"/>
  <c r="D5" i="57"/>
  <c r="C5" i="57"/>
  <c r="B5" i="57"/>
  <c r="D4" i="57"/>
  <c r="C4" i="57"/>
  <c r="B4" i="57"/>
  <c r="D3" i="57"/>
  <c r="C3" i="57"/>
  <c r="B3" i="57"/>
  <c r="D109" i="56"/>
  <c r="C109" i="56"/>
  <c r="B109" i="56"/>
  <c r="D108" i="56"/>
  <c r="C108" i="56"/>
  <c r="B108" i="56"/>
  <c r="D107" i="56"/>
  <c r="C107" i="56"/>
  <c r="B107" i="56"/>
  <c r="D106" i="56"/>
  <c r="C106" i="56"/>
  <c r="B106" i="56"/>
  <c r="D105" i="56"/>
  <c r="C105" i="56"/>
  <c r="B105" i="56"/>
  <c r="D104" i="56"/>
  <c r="C104" i="56"/>
  <c r="B104" i="56"/>
  <c r="D103" i="56"/>
  <c r="C103" i="56"/>
  <c r="B103" i="56"/>
  <c r="D102" i="56"/>
  <c r="C102" i="56"/>
  <c r="B102" i="56"/>
  <c r="D101" i="56"/>
  <c r="C101" i="56"/>
  <c r="B101" i="56"/>
  <c r="D100" i="56"/>
  <c r="C100" i="56"/>
  <c r="B100" i="56"/>
  <c r="D99" i="56"/>
  <c r="C99" i="56"/>
  <c r="B99" i="56"/>
  <c r="D98" i="56"/>
  <c r="C98" i="56"/>
  <c r="B98" i="56"/>
  <c r="D97" i="56"/>
  <c r="C97" i="56"/>
  <c r="B97" i="56"/>
  <c r="D96" i="56"/>
  <c r="C96" i="56"/>
  <c r="B96" i="56"/>
  <c r="D95" i="56"/>
  <c r="C95" i="56"/>
  <c r="B95" i="56"/>
  <c r="D94" i="56"/>
  <c r="C94" i="56"/>
  <c r="B94" i="56"/>
  <c r="D93" i="56"/>
  <c r="C93" i="56"/>
  <c r="B93" i="56"/>
  <c r="D92" i="56"/>
  <c r="C92" i="56"/>
  <c r="B92" i="56"/>
  <c r="D91" i="56"/>
  <c r="C91" i="56"/>
  <c r="B91" i="56"/>
  <c r="D90" i="56"/>
  <c r="C90" i="56"/>
  <c r="B90" i="56"/>
  <c r="D89" i="56"/>
  <c r="C89" i="56"/>
  <c r="B89" i="56"/>
  <c r="D88" i="56"/>
  <c r="C88" i="56"/>
  <c r="B88" i="56"/>
  <c r="D87" i="56"/>
  <c r="C87" i="56"/>
  <c r="B87" i="56"/>
  <c r="D86" i="56"/>
  <c r="C86" i="56"/>
  <c r="B86" i="56"/>
  <c r="D85" i="56"/>
  <c r="C85" i="56"/>
  <c r="B85" i="56"/>
  <c r="D84" i="56"/>
  <c r="C84" i="56"/>
  <c r="B84" i="56"/>
  <c r="D83" i="56"/>
  <c r="C83" i="56"/>
  <c r="B83" i="56"/>
  <c r="D82" i="56"/>
  <c r="C82" i="56"/>
  <c r="B82" i="56"/>
  <c r="D81" i="56"/>
  <c r="C81" i="56"/>
  <c r="B81" i="56"/>
  <c r="D80" i="56"/>
  <c r="C80" i="56"/>
  <c r="B80" i="56"/>
  <c r="D79" i="56"/>
  <c r="C79" i="56"/>
  <c r="B79" i="56"/>
  <c r="D78" i="56"/>
  <c r="C78" i="56"/>
  <c r="B78" i="56"/>
  <c r="D77" i="56"/>
  <c r="C77" i="56"/>
  <c r="B77" i="56"/>
  <c r="D76" i="56"/>
  <c r="C76" i="56"/>
  <c r="B76" i="56"/>
  <c r="D75" i="56"/>
  <c r="C75" i="56"/>
  <c r="B75" i="56"/>
  <c r="D74" i="56"/>
  <c r="C74" i="56"/>
  <c r="B74" i="56"/>
  <c r="D73" i="56"/>
  <c r="C73" i="56"/>
  <c r="B73" i="56"/>
  <c r="D72" i="56"/>
  <c r="C72" i="56"/>
  <c r="B72" i="56"/>
  <c r="D71" i="56"/>
  <c r="C71" i="56"/>
  <c r="B71" i="56"/>
  <c r="D70" i="56"/>
  <c r="C70" i="56"/>
  <c r="B70" i="56"/>
  <c r="D69" i="56"/>
  <c r="C69" i="56"/>
  <c r="B69" i="56"/>
  <c r="D68" i="56"/>
  <c r="C68" i="56"/>
  <c r="B68" i="56"/>
  <c r="D67" i="56"/>
  <c r="C67" i="56"/>
  <c r="B67" i="56"/>
  <c r="D66" i="56"/>
  <c r="C66" i="56"/>
  <c r="B66" i="56"/>
  <c r="D65" i="56"/>
  <c r="C65" i="56"/>
  <c r="B65" i="56"/>
  <c r="D64" i="56"/>
  <c r="C64" i="56"/>
  <c r="B64" i="56"/>
  <c r="D63" i="56"/>
  <c r="C63" i="56"/>
  <c r="B63" i="56"/>
  <c r="D62" i="56"/>
  <c r="C62" i="56"/>
  <c r="B62" i="56"/>
  <c r="D61" i="56"/>
  <c r="C61" i="56"/>
  <c r="B61" i="56"/>
  <c r="D60" i="56"/>
  <c r="C60" i="56"/>
  <c r="B60" i="56"/>
  <c r="D59" i="56"/>
  <c r="C59" i="56"/>
  <c r="B59" i="56"/>
  <c r="D58" i="56"/>
  <c r="C58" i="56"/>
  <c r="B58" i="56"/>
  <c r="D57" i="56"/>
  <c r="C57" i="56"/>
  <c r="B57" i="56"/>
  <c r="D56" i="56"/>
  <c r="C56" i="56"/>
  <c r="B56" i="56"/>
  <c r="D55" i="56"/>
  <c r="C55" i="56"/>
  <c r="B55" i="56"/>
  <c r="D54" i="56"/>
  <c r="C54" i="56"/>
  <c r="B54" i="56"/>
  <c r="D53" i="56"/>
  <c r="C53" i="56"/>
  <c r="B53" i="56"/>
  <c r="D52" i="56"/>
  <c r="C52" i="56"/>
  <c r="B52" i="56"/>
  <c r="D51" i="56"/>
  <c r="C51" i="56"/>
  <c r="B51" i="56"/>
  <c r="D50" i="56"/>
  <c r="C50" i="56"/>
  <c r="B50" i="56"/>
  <c r="D49" i="56"/>
  <c r="C49" i="56"/>
  <c r="B49" i="56"/>
  <c r="D48" i="56"/>
  <c r="C48" i="56"/>
  <c r="B48" i="56"/>
  <c r="D47" i="56"/>
  <c r="C47" i="56"/>
  <c r="B47" i="56"/>
  <c r="D46" i="56"/>
  <c r="C46" i="56"/>
  <c r="B46" i="56"/>
  <c r="D45" i="56"/>
  <c r="C45" i="56"/>
  <c r="B45" i="56"/>
  <c r="D44" i="56"/>
  <c r="C44" i="56"/>
  <c r="B44" i="56"/>
  <c r="D43" i="56"/>
  <c r="C43" i="56"/>
  <c r="B43" i="56"/>
  <c r="D42" i="56"/>
  <c r="C42" i="56"/>
  <c r="B42" i="56"/>
  <c r="D41" i="56"/>
  <c r="C41" i="56"/>
  <c r="B41" i="56"/>
  <c r="D40" i="56"/>
  <c r="C40" i="56"/>
  <c r="B40" i="56"/>
  <c r="D39" i="56"/>
  <c r="C39" i="56"/>
  <c r="B39" i="56"/>
  <c r="D38" i="56"/>
  <c r="C38" i="56"/>
  <c r="B38" i="56"/>
  <c r="D37" i="56"/>
  <c r="C37" i="56"/>
  <c r="B37" i="56"/>
  <c r="D36" i="56"/>
  <c r="C36" i="56"/>
  <c r="B36" i="56"/>
  <c r="D35" i="56"/>
  <c r="C35" i="56"/>
  <c r="B35" i="56"/>
  <c r="D34" i="56"/>
  <c r="C34" i="56"/>
  <c r="B34" i="56"/>
  <c r="D33" i="56"/>
  <c r="C33" i="56"/>
  <c r="B33" i="56"/>
  <c r="D32" i="56"/>
  <c r="C32" i="56"/>
  <c r="B32" i="56"/>
  <c r="D31" i="56"/>
  <c r="C31" i="56"/>
  <c r="B31" i="56"/>
  <c r="D30" i="56"/>
  <c r="C30" i="56"/>
  <c r="B30" i="56"/>
  <c r="D29" i="56"/>
  <c r="C29" i="56"/>
  <c r="B29" i="56"/>
  <c r="D28" i="56"/>
  <c r="C28" i="56"/>
  <c r="B28" i="56"/>
  <c r="D27" i="56"/>
  <c r="C27" i="56"/>
  <c r="B27" i="56"/>
  <c r="D26" i="56"/>
  <c r="C26" i="56"/>
  <c r="B26" i="56"/>
  <c r="D25" i="56"/>
  <c r="C25" i="56"/>
  <c r="B25" i="56"/>
  <c r="D24" i="56"/>
  <c r="C24" i="56"/>
  <c r="B24" i="56"/>
  <c r="D23" i="56"/>
  <c r="C23" i="56"/>
  <c r="B23" i="56"/>
  <c r="D22" i="56"/>
  <c r="C22" i="56"/>
  <c r="B22" i="56"/>
  <c r="D21" i="56"/>
  <c r="C21" i="56"/>
  <c r="B21" i="56"/>
  <c r="D20" i="56"/>
  <c r="C20" i="56"/>
  <c r="B20" i="56"/>
  <c r="D19" i="56"/>
  <c r="C19" i="56"/>
  <c r="B19" i="56"/>
  <c r="D18" i="56"/>
  <c r="C18" i="56"/>
  <c r="B18" i="56"/>
  <c r="D17" i="56"/>
  <c r="C17" i="56"/>
  <c r="B17" i="56"/>
  <c r="D16" i="56"/>
  <c r="C16" i="56"/>
  <c r="B16" i="56"/>
  <c r="D15" i="56"/>
  <c r="C15" i="56"/>
  <c r="B15" i="56"/>
  <c r="D14" i="56"/>
  <c r="C14" i="56"/>
  <c r="B14" i="56"/>
  <c r="D13" i="56"/>
  <c r="C13" i="56"/>
  <c r="B13" i="56"/>
  <c r="D12" i="56"/>
  <c r="C12" i="56"/>
  <c r="B12" i="56"/>
  <c r="D11" i="56"/>
  <c r="C11" i="56"/>
  <c r="B11" i="56"/>
  <c r="D10" i="56"/>
  <c r="C10" i="56"/>
  <c r="B10" i="56"/>
  <c r="D9" i="56"/>
  <c r="C9" i="56"/>
  <c r="B9" i="56"/>
  <c r="D8" i="56"/>
  <c r="C8" i="56"/>
  <c r="B8" i="56"/>
  <c r="D7" i="56"/>
  <c r="C7" i="56"/>
  <c r="B7" i="56"/>
  <c r="D6" i="56"/>
  <c r="C6" i="56"/>
  <c r="B6" i="56"/>
  <c r="D5" i="56"/>
  <c r="C5" i="56"/>
  <c r="B5" i="56"/>
  <c r="D4" i="56"/>
  <c r="C4" i="56"/>
  <c r="B4" i="56"/>
  <c r="D3" i="56"/>
  <c r="C3" i="56"/>
  <c r="B3" i="56"/>
  <c r="D109" i="55"/>
  <c r="C109" i="55"/>
  <c r="B109" i="55"/>
  <c r="D108" i="55"/>
  <c r="C108" i="55"/>
  <c r="B108" i="55"/>
  <c r="D107" i="55"/>
  <c r="C107" i="55"/>
  <c r="B107" i="55"/>
  <c r="D106" i="55"/>
  <c r="C106" i="55"/>
  <c r="B106" i="55"/>
  <c r="D105" i="55"/>
  <c r="C105" i="55"/>
  <c r="B105" i="55"/>
  <c r="D104" i="55"/>
  <c r="C104" i="55"/>
  <c r="B104" i="55"/>
  <c r="D103" i="55"/>
  <c r="C103" i="55"/>
  <c r="B103" i="55"/>
  <c r="D102" i="55"/>
  <c r="C102" i="55"/>
  <c r="B102" i="55"/>
  <c r="D101" i="55"/>
  <c r="C101" i="55"/>
  <c r="B101" i="55"/>
  <c r="D100" i="55"/>
  <c r="C100" i="55"/>
  <c r="B100" i="55"/>
  <c r="D99" i="55"/>
  <c r="C99" i="55"/>
  <c r="B99" i="55"/>
  <c r="D98" i="55"/>
  <c r="C98" i="55"/>
  <c r="B98" i="55"/>
  <c r="D97" i="55"/>
  <c r="C97" i="55"/>
  <c r="B97" i="55"/>
  <c r="D96" i="55"/>
  <c r="C96" i="55"/>
  <c r="B96" i="55"/>
  <c r="D95" i="55"/>
  <c r="C95" i="55"/>
  <c r="B95" i="55"/>
  <c r="D94" i="55"/>
  <c r="C94" i="55"/>
  <c r="B94" i="55"/>
  <c r="D93" i="55"/>
  <c r="C93" i="55"/>
  <c r="B93" i="55"/>
  <c r="D92" i="55"/>
  <c r="C92" i="55"/>
  <c r="B92" i="55"/>
  <c r="D91" i="55"/>
  <c r="C91" i="55"/>
  <c r="B91" i="55"/>
  <c r="D90" i="55"/>
  <c r="C90" i="55"/>
  <c r="B90" i="55"/>
  <c r="D89" i="55"/>
  <c r="C89" i="55"/>
  <c r="B89" i="55"/>
  <c r="D88" i="55"/>
  <c r="C88" i="55"/>
  <c r="B88" i="55"/>
  <c r="D87" i="55"/>
  <c r="C87" i="55"/>
  <c r="B87" i="55"/>
  <c r="D86" i="55"/>
  <c r="C86" i="55"/>
  <c r="B86" i="55"/>
  <c r="D85" i="55"/>
  <c r="C85" i="55"/>
  <c r="B85" i="55"/>
  <c r="D84" i="55"/>
  <c r="C84" i="55"/>
  <c r="B84" i="55"/>
  <c r="D83" i="55"/>
  <c r="C83" i="55"/>
  <c r="B83" i="55"/>
  <c r="D82" i="55"/>
  <c r="C82" i="55"/>
  <c r="B82" i="55"/>
  <c r="D81" i="55"/>
  <c r="C81" i="55"/>
  <c r="B81" i="55"/>
  <c r="D80" i="55"/>
  <c r="C80" i="55"/>
  <c r="B80" i="55"/>
  <c r="D79" i="55"/>
  <c r="C79" i="55"/>
  <c r="B79" i="55"/>
  <c r="D78" i="55"/>
  <c r="C78" i="55"/>
  <c r="B78" i="55"/>
  <c r="D77" i="55"/>
  <c r="C77" i="55"/>
  <c r="B77" i="55"/>
  <c r="D76" i="55"/>
  <c r="C76" i="55"/>
  <c r="B76" i="55"/>
  <c r="D75" i="55"/>
  <c r="C75" i="55"/>
  <c r="B75" i="55"/>
  <c r="D74" i="55"/>
  <c r="C74" i="55"/>
  <c r="B74" i="55"/>
  <c r="D73" i="55"/>
  <c r="C73" i="55"/>
  <c r="B73" i="55"/>
  <c r="D72" i="55"/>
  <c r="C72" i="55"/>
  <c r="B72" i="55"/>
  <c r="D71" i="55"/>
  <c r="C71" i="55"/>
  <c r="B71" i="55"/>
  <c r="D70" i="55"/>
  <c r="C70" i="55"/>
  <c r="B70" i="55"/>
  <c r="D69" i="55"/>
  <c r="C69" i="55"/>
  <c r="B69" i="55"/>
  <c r="D68" i="55"/>
  <c r="C68" i="55"/>
  <c r="B68" i="55"/>
  <c r="D67" i="55"/>
  <c r="C67" i="55"/>
  <c r="B67" i="55"/>
  <c r="D66" i="55"/>
  <c r="C66" i="55"/>
  <c r="B66" i="55"/>
  <c r="D65" i="55"/>
  <c r="C65" i="55"/>
  <c r="B65" i="55"/>
  <c r="D64" i="55"/>
  <c r="C64" i="55"/>
  <c r="B64" i="55"/>
  <c r="D63" i="55"/>
  <c r="C63" i="55"/>
  <c r="B63" i="55"/>
  <c r="D62" i="55"/>
  <c r="C62" i="55"/>
  <c r="B62" i="55"/>
  <c r="D61" i="55"/>
  <c r="C61" i="55"/>
  <c r="B61" i="55"/>
  <c r="D60" i="55"/>
  <c r="C60" i="55"/>
  <c r="B60" i="55"/>
  <c r="D59" i="55"/>
  <c r="C59" i="55"/>
  <c r="B59" i="55"/>
  <c r="D58" i="55"/>
  <c r="C58" i="55"/>
  <c r="B58" i="55"/>
  <c r="D57" i="55"/>
  <c r="C57" i="55"/>
  <c r="B57" i="55"/>
  <c r="D56" i="55"/>
  <c r="C56" i="55"/>
  <c r="B56" i="55"/>
  <c r="D55" i="55"/>
  <c r="C55" i="55"/>
  <c r="B55" i="55"/>
  <c r="D54" i="55"/>
  <c r="C54" i="55"/>
  <c r="B54" i="55"/>
  <c r="D53" i="55"/>
  <c r="C53" i="55"/>
  <c r="B53" i="55"/>
  <c r="D52" i="55"/>
  <c r="C52" i="55"/>
  <c r="B52" i="55"/>
  <c r="D51" i="55"/>
  <c r="C51" i="55"/>
  <c r="B51" i="55"/>
  <c r="D50" i="55"/>
  <c r="C50" i="55"/>
  <c r="B50" i="55"/>
  <c r="D49" i="55"/>
  <c r="C49" i="55"/>
  <c r="B49" i="55"/>
  <c r="D48" i="55"/>
  <c r="C48" i="55"/>
  <c r="B48" i="55"/>
  <c r="D47" i="55"/>
  <c r="C47" i="55"/>
  <c r="B47" i="55"/>
  <c r="D46" i="55"/>
  <c r="C46" i="55"/>
  <c r="B46" i="55"/>
  <c r="D45" i="55"/>
  <c r="C45" i="55"/>
  <c r="B45" i="55"/>
  <c r="D44" i="55"/>
  <c r="C44" i="55"/>
  <c r="B44" i="55"/>
  <c r="D43" i="55"/>
  <c r="C43" i="55"/>
  <c r="B43" i="55"/>
  <c r="D42" i="55"/>
  <c r="C42" i="55"/>
  <c r="B42" i="55"/>
  <c r="D41" i="55"/>
  <c r="C41" i="55"/>
  <c r="B41" i="55"/>
  <c r="D40" i="55"/>
  <c r="C40" i="55"/>
  <c r="B40" i="55"/>
  <c r="D39" i="55"/>
  <c r="C39" i="55"/>
  <c r="B39" i="55"/>
  <c r="D38" i="55"/>
  <c r="C38" i="55"/>
  <c r="B38" i="55"/>
  <c r="D37" i="55"/>
  <c r="C37" i="55"/>
  <c r="B37" i="55"/>
  <c r="D36" i="55"/>
  <c r="C36" i="55"/>
  <c r="B36" i="55"/>
  <c r="D35" i="55"/>
  <c r="C35" i="55"/>
  <c r="B35" i="55"/>
  <c r="D34" i="55"/>
  <c r="C34" i="55"/>
  <c r="B34" i="55"/>
  <c r="D33" i="55"/>
  <c r="C33" i="55"/>
  <c r="B33" i="55"/>
  <c r="D32" i="55"/>
  <c r="C32" i="55"/>
  <c r="B32" i="55"/>
  <c r="D31" i="55"/>
  <c r="C31" i="55"/>
  <c r="B31" i="55"/>
  <c r="D30" i="55"/>
  <c r="C30" i="55"/>
  <c r="B30" i="55"/>
  <c r="D29" i="55"/>
  <c r="C29" i="55"/>
  <c r="B29" i="55"/>
  <c r="D28" i="55"/>
  <c r="C28" i="55"/>
  <c r="B28" i="55"/>
  <c r="D27" i="55"/>
  <c r="C27" i="55"/>
  <c r="B27" i="55"/>
  <c r="D26" i="55"/>
  <c r="C26" i="55"/>
  <c r="B26" i="55"/>
  <c r="D25" i="55"/>
  <c r="C25" i="55"/>
  <c r="B25" i="55"/>
  <c r="D24" i="55"/>
  <c r="C24" i="55"/>
  <c r="B24" i="55"/>
  <c r="D23" i="55"/>
  <c r="C23" i="55"/>
  <c r="B23" i="55"/>
  <c r="D22" i="55"/>
  <c r="C22" i="55"/>
  <c r="B22" i="55"/>
  <c r="D21" i="55"/>
  <c r="C21" i="55"/>
  <c r="B21" i="55"/>
  <c r="D20" i="55"/>
  <c r="C20" i="55"/>
  <c r="B20" i="55"/>
  <c r="D19" i="55"/>
  <c r="C19" i="55"/>
  <c r="B19" i="55"/>
  <c r="D18" i="55"/>
  <c r="C18" i="55"/>
  <c r="B18" i="55"/>
  <c r="D17" i="55"/>
  <c r="C17" i="55"/>
  <c r="B17" i="55"/>
  <c r="D16" i="55"/>
  <c r="C16" i="55"/>
  <c r="B16" i="55"/>
  <c r="D15" i="55"/>
  <c r="C15" i="55"/>
  <c r="B15" i="55"/>
  <c r="D14" i="55"/>
  <c r="C14" i="55"/>
  <c r="B14" i="55"/>
  <c r="D13" i="55"/>
  <c r="C13" i="55"/>
  <c r="B13" i="55"/>
  <c r="D12" i="55"/>
  <c r="C12" i="55"/>
  <c r="B12" i="55"/>
  <c r="D11" i="55"/>
  <c r="C11" i="55"/>
  <c r="B11" i="55"/>
  <c r="D10" i="55"/>
  <c r="C10" i="55"/>
  <c r="B10" i="55"/>
  <c r="D9" i="55"/>
  <c r="C9" i="55"/>
  <c r="B9" i="55"/>
  <c r="D8" i="55"/>
  <c r="C8" i="55"/>
  <c r="B8" i="55"/>
  <c r="D7" i="55"/>
  <c r="C7" i="55"/>
  <c r="B7" i="55"/>
  <c r="D6" i="55"/>
  <c r="C6" i="55"/>
  <c r="B6" i="55"/>
  <c r="D5" i="55"/>
  <c r="C5" i="55"/>
  <c r="B5" i="55"/>
  <c r="D4" i="55"/>
  <c r="C4" i="55"/>
  <c r="B4" i="55"/>
  <c r="D3" i="55"/>
  <c r="C3" i="55"/>
  <c r="B3" i="55"/>
  <c r="D109" i="54"/>
  <c r="C109" i="54"/>
  <c r="B109" i="54"/>
  <c r="D108" i="54"/>
  <c r="C108" i="54"/>
  <c r="B108" i="54"/>
  <c r="D107" i="54"/>
  <c r="C107" i="54"/>
  <c r="B107" i="54"/>
  <c r="D106" i="54"/>
  <c r="C106" i="54"/>
  <c r="B106" i="54"/>
  <c r="D105" i="54"/>
  <c r="C105" i="54"/>
  <c r="B105" i="54"/>
  <c r="D104" i="54"/>
  <c r="C104" i="54"/>
  <c r="B104" i="54"/>
  <c r="D103" i="54"/>
  <c r="C103" i="54"/>
  <c r="B103" i="54"/>
  <c r="D102" i="54"/>
  <c r="C102" i="54"/>
  <c r="B102" i="54"/>
  <c r="D101" i="54"/>
  <c r="C101" i="54"/>
  <c r="B101" i="54"/>
  <c r="D100" i="54"/>
  <c r="C100" i="54"/>
  <c r="B100" i="54"/>
  <c r="D99" i="54"/>
  <c r="C99" i="54"/>
  <c r="B99" i="54"/>
  <c r="D98" i="54"/>
  <c r="C98" i="54"/>
  <c r="B98" i="54"/>
  <c r="D97" i="54"/>
  <c r="C97" i="54"/>
  <c r="B97" i="54"/>
  <c r="D96" i="54"/>
  <c r="C96" i="54"/>
  <c r="B96" i="54"/>
  <c r="D95" i="54"/>
  <c r="C95" i="54"/>
  <c r="B95" i="54"/>
  <c r="D94" i="54"/>
  <c r="C94" i="54"/>
  <c r="B94" i="54"/>
  <c r="D93" i="54"/>
  <c r="C93" i="54"/>
  <c r="B93" i="54"/>
  <c r="D92" i="54"/>
  <c r="C92" i="54"/>
  <c r="B92" i="54"/>
  <c r="D91" i="54"/>
  <c r="C91" i="54"/>
  <c r="B91" i="54"/>
  <c r="D90" i="54"/>
  <c r="C90" i="54"/>
  <c r="B90" i="54"/>
  <c r="D89" i="54"/>
  <c r="C89" i="54"/>
  <c r="B89" i="54"/>
  <c r="D88" i="54"/>
  <c r="C88" i="54"/>
  <c r="B88" i="54"/>
  <c r="D87" i="54"/>
  <c r="C87" i="54"/>
  <c r="B87" i="54"/>
  <c r="D86" i="54"/>
  <c r="C86" i="54"/>
  <c r="B86" i="54"/>
  <c r="D85" i="54"/>
  <c r="C85" i="54"/>
  <c r="B85" i="54"/>
  <c r="D84" i="54"/>
  <c r="C84" i="54"/>
  <c r="B84" i="54"/>
  <c r="D83" i="54"/>
  <c r="C83" i="54"/>
  <c r="B83" i="54"/>
  <c r="D82" i="54"/>
  <c r="C82" i="54"/>
  <c r="B82" i="54"/>
  <c r="D81" i="54"/>
  <c r="C81" i="54"/>
  <c r="B81" i="54"/>
  <c r="D80" i="54"/>
  <c r="C80" i="54"/>
  <c r="B80" i="54"/>
  <c r="D79" i="54"/>
  <c r="C79" i="54"/>
  <c r="B79" i="54"/>
  <c r="D78" i="54"/>
  <c r="C78" i="54"/>
  <c r="B78" i="54"/>
  <c r="D77" i="54"/>
  <c r="C77" i="54"/>
  <c r="B77" i="54"/>
  <c r="D76" i="54"/>
  <c r="C76" i="54"/>
  <c r="B76" i="54"/>
  <c r="D75" i="54"/>
  <c r="C75" i="54"/>
  <c r="B75" i="54"/>
  <c r="D74" i="54"/>
  <c r="C74" i="54"/>
  <c r="B74" i="54"/>
  <c r="D73" i="54"/>
  <c r="C73" i="54"/>
  <c r="B73" i="54"/>
  <c r="D72" i="54"/>
  <c r="C72" i="54"/>
  <c r="B72" i="54"/>
  <c r="D71" i="54"/>
  <c r="C71" i="54"/>
  <c r="B71" i="54"/>
  <c r="D70" i="54"/>
  <c r="C70" i="54"/>
  <c r="B70" i="54"/>
  <c r="D69" i="54"/>
  <c r="C69" i="54"/>
  <c r="B69" i="54"/>
  <c r="D68" i="54"/>
  <c r="C68" i="54"/>
  <c r="B68" i="54"/>
  <c r="D67" i="54"/>
  <c r="C67" i="54"/>
  <c r="B67" i="54"/>
  <c r="D66" i="54"/>
  <c r="C66" i="54"/>
  <c r="B66" i="54"/>
  <c r="D65" i="54"/>
  <c r="C65" i="54"/>
  <c r="B65" i="54"/>
  <c r="D64" i="54"/>
  <c r="C64" i="54"/>
  <c r="B64" i="54"/>
  <c r="D63" i="54"/>
  <c r="C63" i="54"/>
  <c r="B63" i="54"/>
  <c r="D62" i="54"/>
  <c r="C62" i="54"/>
  <c r="B62" i="54"/>
  <c r="D61" i="54"/>
  <c r="C61" i="54"/>
  <c r="B61" i="54"/>
  <c r="D60" i="54"/>
  <c r="C60" i="54"/>
  <c r="B60" i="54"/>
  <c r="D59" i="54"/>
  <c r="C59" i="54"/>
  <c r="B59" i="54"/>
  <c r="D58" i="54"/>
  <c r="C58" i="54"/>
  <c r="B58" i="54"/>
  <c r="D57" i="54"/>
  <c r="C57" i="54"/>
  <c r="B57" i="54"/>
  <c r="D56" i="54"/>
  <c r="C56" i="54"/>
  <c r="B56" i="54"/>
  <c r="D55" i="54"/>
  <c r="C55" i="54"/>
  <c r="B55" i="54"/>
  <c r="D54" i="54"/>
  <c r="C54" i="54"/>
  <c r="B54" i="54"/>
  <c r="D53" i="54"/>
  <c r="C53" i="54"/>
  <c r="B53" i="54"/>
  <c r="D52" i="54"/>
  <c r="C52" i="54"/>
  <c r="B52" i="54"/>
  <c r="D51" i="54"/>
  <c r="C51" i="54"/>
  <c r="B51" i="54"/>
  <c r="D50" i="54"/>
  <c r="C50" i="54"/>
  <c r="B50" i="54"/>
  <c r="D49" i="54"/>
  <c r="C49" i="54"/>
  <c r="B49" i="54"/>
  <c r="D48" i="54"/>
  <c r="C48" i="54"/>
  <c r="B48" i="54"/>
  <c r="D47" i="54"/>
  <c r="C47" i="54"/>
  <c r="B47" i="54"/>
  <c r="D46" i="54"/>
  <c r="C46" i="54"/>
  <c r="B46" i="54"/>
  <c r="D45" i="54"/>
  <c r="C45" i="54"/>
  <c r="B45" i="54"/>
  <c r="D44" i="54"/>
  <c r="C44" i="54"/>
  <c r="B44" i="54"/>
  <c r="D43" i="54"/>
  <c r="C43" i="54"/>
  <c r="B43" i="54"/>
  <c r="D42" i="54"/>
  <c r="C42" i="54"/>
  <c r="B42" i="54"/>
  <c r="D41" i="54"/>
  <c r="C41" i="54"/>
  <c r="B41" i="54"/>
  <c r="D40" i="54"/>
  <c r="C40" i="54"/>
  <c r="B40" i="54"/>
  <c r="D39" i="54"/>
  <c r="C39" i="54"/>
  <c r="B39" i="54"/>
  <c r="D38" i="54"/>
  <c r="C38" i="54"/>
  <c r="B38" i="54"/>
  <c r="D37" i="54"/>
  <c r="C37" i="54"/>
  <c r="B37" i="54"/>
  <c r="D36" i="54"/>
  <c r="C36" i="54"/>
  <c r="B36" i="54"/>
  <c r="D35" i="54"/>
  <c r="C35" i="54"/>
  <c r="B35" i="54"/>
  <c r="D34" i="54"/>
  <c r="C34" i="54"/>
  <c r="B34" i="54"/>
  <c r="D33" i="54"/>
  <c r="C33" i="54"/>
  <c r="B33" i="54"/>
  <c r="D32" i="54"/>
  <c r="C32" i="54"/>
  <c r="B32" i="54"/>
  <c r="D31" i="54"/>
  <c r="C31" i="54"/>
  <c r="B31" i="54"/>
  <c r="D30" i="54"/>
  <c r="C30" i="54"/>
  <c r="B30" i="54"/>
  <c r="D29" i="54"/>
  <c r="C29" i="54"/>
  <c r="B29" i="54"/>
  <c r="D28" i="54"/>
  <c r="C28" i="54"/>
  <c r="B28" i="54"/>
  <c r="D27" i="54"/>
  <c r="C27" i="54"/>
  <c r="B27" i="54"/>
  <c r="D26" i="54"/>
  <c r="C26" i="54"/>
  <c r="B26" i="54"/>
  <c r="D25" i="54"/>
  <c r="C25" i="54"/>
  <c r="B25" i="54"/>
  <c r="D24" i="54"/>
  <c r="C24" i="54"/>
  <c r="B24" i="54"/>
  <c r="D23" i="54"/>
  <c r="C23" i="54"/>
  <c r="B23" i="54"/>
  <c r="D22" i="54"/>
  <c r="C22" i="54"/>
  <c r="B22" i="54"/>
  <c r="D21" i="54"/>
  <c r="C21" i="54"/>
  <c r="B21" i="54"/>
  <c r="D20" i="54"/>
  <c r="C20" i="54"/>
  <c r="B20" i="54"/>
  <c r="D19" i="54"/>
  <c r="C19" i="54"/>
  <c r="B19" i="54"/>
  <c r="D18" i="54"/>
  <c r="C18" i="54"/>
  <c r="B18" i="54"/>
  <c r="D17" i="54"/>
  <c r="C17" i="54"/>
  <c r="B17" i="54"/>
  <c r="D16" i="54"/>
  <c r="C16" i="54"/>
  <c r="B16" i="54"/>
  <c r="D15" i="54"/>
  <c r="C15" i="54"/>
  <c r="B15" i="54"/>
  <c r="D14" i="54"/>
  <c r="C14" i="54"/>
  <c r="B14" i="54"/>
  <c r="D13" i="54"/>
  <c r="C13" i="54"/>
  <c r="B13" i="54"/>
  <c r="D12" i="54"/>
  <c r="C12" i="54"/>
  <c r="B12" i="54"/>
  <c r="D11" i="54"/>
  <c r="C11" i="54"/>
  <c r="B11" i="54"/>
  <c r="D10" i="54"/>
  <c r="C10" i="54"/>
  <c r="B10" i="54"/>
  <c r="D9" i="54"/>
  <c r="C9" i="54"/>
  <c r="B9" i="54"/>
  <c r="D8" i="54"/>
  <c r="C8" i="54"/>
  <c r="B8" i="54"/>
  <c r="D7" i="54"/>
  <c r="C7" i="54"/>
  <c r="B7" i="54"/>
  <c r="D6" i="54"/>
  <c r="C6" i="54"/>
  <c r="B6" i="54"/>
  <c r="D5" i="54"/>
  <c r="C5" i="54"/>
  <c r="B5" i="54"/>
  <c r="D4" i="54"/>
  <c r="C4" i="54"/>
  <c r="B4" i="54"/>
  <c r="D3" i="54"/>
  <c r="C3" i="54"/>
  <c r="B3" i="54"/>
  <c r="F4" i="37" l="1"/>
  <c r="A1" i="16"/>
  <c r="A1" i="19"/>
  <c r="A1" i="13"/>
  <c r="H2" i="51"/>
  <c r="D2" i="51"/>
  <c r="H2" i="50"/>
  <c r="D2" i="50"/>
  <c r="H2" i="49"/>
  <c r="D2" i="49"/>
  <c r="H2" i="48"/>
  <c r="D2" i="48"/>
  <c r="H2" i="47"/>
  <c r="D2" i="47"/>
  <c r="H2" i="46"/>
  <c r="D2" i="46"/>
  <c r="H2" i="45"/>
  <c r="D2" i="45"/>
  <c r="H2" i="43"/>
  <c r="D2" i="43"/>
  <c r="H2" i="41"/>
  <c r="D2" i="41"/>
  <c r="H2" i="40"/>
  <c r="D2" i="40"/>
  <c r="H2" i="39"/>
  <c r="D2" i="39"/>
  <c r="H2" i="29"/>
  <c r="D2" i="29"/>
  <c r="H2" i="28"/>
  <c r="D2" i="28"/>
  <c r="H2" i="27"/>
  <c r="D2" i="27"/>
  <c r="H2" i="26"/>
  <c r="D2" i="26"/>
  <c r="H2" i="25"/>
  <c r="D2" i="25"/>
  <c r="H2" i="24"/>
  <c r="D2" i="24"/>
  <c r="H2" i="23"/>
  <c r="D2" i="23"/>
  <c r="H2" i="22"/>
  <c r="D2" i="22"/>
  <c r="H2" i="21"/>
  <c r="D2" i="21"/>
  <c r="H2" i="20"/>
  <c r="D2" i="20"/>
  <c r="H2" i="19"/>
  <c r="D2" i="19"/>
  <c r="H2" i="18"/>
  <c r="D2" i="18"/>
  <c r="H2" i="17"/>
  <c r="D2" i="17"/>
  <c r="H2" i="13"/>
  <c r="D2" i="13"/>
  <c r="H2" i="16"/>
  <c r="D2" i="16"/>
  <c r="H2" i="15"/>
  <c r="D2" i="15"/>
  <c r="H2" i="14"/>
  <c r="D2" i="14"/>
  <c r="H2" i="12"/>
  <c r="D2" i="12"/>
  <c r="H2" i="11"/>
  <c r="D2" i="11"/>
  <c r="H2" i="35"/>
  <c r="D2" i="35"/>
  <c r="D3" i="40"/>
  <c r="D109" i="51"/>
  <c r="C109" i="51"/>
  <c r="B109" i="51"/>
  <c r="D108" i="51"/>
  <c r="C108" i="51"/>
  <c r="B108" i="51"/>
  <c r="D107" i="51"/>
  <c r="C107" i="51"/>
  <c r="B107" i="51"/>
  <c r="D106" i="51"/>
  <c r="C106" i="51"/>
  <c r="B106" i="51"/>
  <c r="D105" i="51"/>
  <c r="C105" i="51"/>
  <c r="B105" i="51"/>
  <c r="D104" i="51"/>
  <c r="C104" i="51"/>
  <c r="B104" i="51"/>
  <c r="D103" i="51"/>
  <c r="C103" i="51"/>
  <c r="B103" i="51"/>
  <c r="D102" i="51"/>
  <c r="C102" i="51"/>
  <c r="B102" i="51"/>
  <c r="D101" i="51"/>
  <c r="C101" i="51"/>
  <c r="B101" i="51"/>
  <c r="D100" i="51"/>
  <c r="C100" i="51"/>
  <c r="B100" i="51"/>
  <c r="D99" i="51"/>
  <c r="C99" i="51"/>
  <c r="B99" i="51"/>
  <c r="D98" i="51"/>
  <c r="C98" i="51"/>
  <c r="B98" i="51"/>
  <c r="D97" i="51"/>
  <c r="C97" i="51"/>
  <c r="B97" i="51"/>
  <c r="D96" i="51"/>
  <c r="C96" i="51"/>
  <c r="B96" i="51"/>
  <c r="D95" i="51"/>
  <c r="C95" i="51"/>
  <c r="B95" i="51"/>
  <c r="D94" i="51"/>
  <c r="C94" i="51"/>
  <c r="B94" i="51"/>
  <c r="D93" i="51"/>
  <c r="C93" i="51"/>
  <c r="B93" i="51"/>
  <c r="D92" i="51"/>
  <c r="C92" i="51"/>
  <c r="B92" i="51"/>
  <c r="D91" i="51"/>
  <c r="C91" i="51"/>
  <c r="B91" i="51"/>
  <c r="D90" i="51"/>
  <c r="C90" i="51"/>
  <c r="B90" i="51"/>
  <c r="D89" i="51"/>
  <c r="C89" i="51"/>
  <c r="B89" i="51"/>
  <c r="D88" i="51"/>
  <c r="C88" i="51"/>
  <c r="B88" i="51"/>
  <c r="D87" i="51"/>
  <c r="C87" i="51"/>
  <c r="B87" i="51"/>
  <c r="D86" i="51"/>
  <c r="C86" i="51"/>
  <c r="B86" i="51"/>
  <c r="D85" i="51"/>
  <c r="C85" i="51"/>
  <c r="B85" i="51"/>
  <c r="D84" i="51"/>
  <c r="C84" i="51"/>
  <c r="B84" i="51"/>
  <c r="D83" i="51"/>
  <c r="C83" i="51"/>
  <c r="B83" i="51"/>
  <c r="D82" i="51"/>
  <c r="C82" i="51"/>
  <c r="B82" i="51"/>
  <c r="D81" i="51"/>
  <c r="C81" i="51"/>
  <c r="B81" i="51"/>
  <c r="D80" i="51"/>
  <c r="C80" i="51"/>
  <c r="B80" i="51"/>
  <c r="D79" i="51"/>
  <c r="C79" i="51"/>
  <c r="B79" i="51"/>
  <c r="D78" i="51"/>
  <c r="C78" i="51"/>
  <c r="B78" i="51"/>
  <c r="D77" i="51"/>
  <c r="C77" i="51"/>
  <c r="B77" i="51"/>
  <c r="D76" i="51"/>
  <c r="C76" i="51"/>
  <c r="B76" i="51"/>
  <c r="D75" i="51"/>
  <c r="C75" i="51"/>
  <c r="B75" i="51"/>
  <c r="D74" i="51"/>
  <c r="C74" i="51"/>
  <c r="B74" i="51"/>
  <c r="D73" i="51"/>
  <c r="C73" i="51"/>
  <c r="B73" i="51"/>
  <c r="D72" i="51"/>
  <c r="C72" i="51"/>
  <c r="B72" i="51"/>
  <c r="D71" i="51"/>
  <c r="C71" i="51"/>
  <c r="B71" i="51"/>
  <c r="D70" i="51"/>
  <c r="C70" i="51"/>
  <c r="B70" i="51"/>
  <c r="D69" i="51"/>
  <c r="C69" i="51"/>
  <c r="B69" i="51"/>
  <c r="D68" i="51"/>
  <c r="C68" i="51"/>
  <c r="B68" i="51"/>
  <c r="D67" i="51"/>
  <c r="C67" i="51"/>
  <c r="B67" i="51"/>
  <c r="D66" i="51"/>
  <c r="C66" i="51"/>
  <c r="B66" i="51"/>
  <c r="D65" i="51"/>
  <c r="C65" i="51"/>
  <c r="B65" i="51"/>
  <c r="D64" i="51"/>
  <c r="C64" i="51"/>
  <c r="B64" i="51"/>
  <c r="D63" i="51"/>
  <c r="C63" i="51"/>
  <c r="B63" i="51"/>
  <c r="D62" i="51"/>
  <c r="C62" i="51"/>
  <c r="B62" i="51"/>
  <c r="D61" i="51"/>
  <c r="C61" i="51"/>
  <c r="B61" i="51"/>
  <c r="D60" i="51"/>
  <c r="C60" i="51"/>
  <c r="B60" i="51"/>
  <c r="D59" i="51"/>
  <c r="C59" i="51"/>
  <c r="B59" i="51"/>
  <c r="D58" i="51"/>
  <c r="C58" i="51"/>
  <c r="B58" i="51"/>
  <c r="D57" i="51"/>
  <c r="C57" i="51"/>
  <c r="B57" i="51"/>
  <c r="D56" i="51"/>
  <c r="C56" i="51"/>
  <c r="B56" i="51"/>
  <c r="D55" i="51"/>
  <c r="C55" i="51"/>
  <c r="B55" i="51"/>
  <c r="D54" i="51"/>
  <c r="C54" i="51"/>
  <c r="B54" i="51"/>
  <c r="D53" i="51"/>
  <c r="C53" i="51"/>
  <c r="B53" i="51"/>
  <c r="D52" i="51"/>
  <c r="C52" i="51"/>
  <c r="B52" i="51"/>
  <c r="D51" i="51"/>
  <c r="C51" i="51"/>
  <c r="B51" i="51"/>
  <c r="D50" i="51"/>
  <c r="C50" i="51"/>
  <c r="B50" i="51"/>
  <c r="D49" i="51"/>
  <c r="C49" i="51"/>
  <c r="B49" i="51"/>
  <c r="D48" i="51"/>
  <c r="C48" i="51"/>
  <c r="B48" i="51"/>
  <c r="D47" i="51"/>
  <c r="C47" i="51"/>
  <c r="B47" i="51"/>
  <c r="D46" i="51"/>
  <c r="C46" i="51"/>
  <c r="B46" i="51"/>
  <c r="D45" i="51"/>
  <c r="C45" i="51"/>
  <c r="B45" i="51"/>
  <c r="D44" i="51"/>
  <c r="C44" i="51"/>
  <c r="B44" i="51"/>
  <c r="D43" i="51"/>
  <c r="C43" i="51"/>
  <c r="B43" i="51"/>
  <c r="D42" i="51"/>
  <c r="C42" i="51"/>
  <c r="B42" i="51"/>
  <c r="D41" i="51"/>
  <c r="C41" i="51"/>
  <c r="B41" i="51"/>
  <c r="D40" i="51"/>
  <c r="C40" i="51"/>
  <c r="B40" i="51"/>
  <c r="D39" i="51"/>
  <c r="C39" i="51"/>
  <c r="B39" i="51"/>
  <c r="D38" i="51"/>
  <c r="C38" i="51"/>
  <c r="B38" i="51"/>
  <c r="D37" i="51"/>
  <c r="C37" i="51"/>
  <c r="B37" i="51"/>
  <c r="D36" i="51"/>
  <c r="C36" i="51"/>
  <c r="B36" i="51"/>
  <c r="D35" i="51"/>
  <c r="C35" i="51"/>
  <c r="B35" i="51"/>
  <c r="D34" i="51"/>
  <c r="C34" i="51"/>
  <c r="B34" i="51"/>
  <c r="D33" i="51"/>
  <c r="C33" i="51"/>
  <c r="B33" i="51"/>
  <c r="D32" i="51"/>
  <c r="C32" i="51"/>
  <c r="B32" i="51"/>
  <c r="D31" i="51"/>
  <c r="C31" i="51"/>
  <c r="B31" i="51"/>
  <c r="D30" i="51"/>
  <c r="C30" i="51"/>
  <c r="B30" i="51"/>
  <c r="D29" i="51"/>
  <c r="C29" i="51"/>
  <c r="B29" i="51"/>
  <c r="D28" i="51"/>
  <c r="C28" i="51"/>
  <c r="B28" i="51"/>
  <c r="D27" i="51"/>
  <c r="C27" i="51"/>
  <c r="B27" i="51"/>
  <c r="D26" i="51"/>
  <c r="C26" i="51"/>
  <c r="B26" i="51"/>
  <c r="D25" i="51"/>
  <c r="C25" i="51"/>
  <c r="B25" i="51"/>
  <c r="D24" i="51"/>
  <c r="C24" i="51"/>
  <c r="B24" i="51"/>
  <c r="D23" i="51"/>
  <c r="C23" i="51"/>
  <c r="B23" i="51"/>
  <c r="D22" i="51"/>
  <c r="C22" i="51"/>
  <c r="B22" i="51"/>
  <c r="D21" i="51"/>
  <c r="C21" i="51"/>
  <c r="B21" i="51"/>
  <c r="D20" i="51"/>
  <c r="C20" i="51"/>
  <c r="B20" i="51"/>
  <c r="D19" i="51"/>
  <c r="C19" i="51"/>
  <c r="B19" i="51"/>
  <c r="D18" i="51"/>
  <c r="C18" i="51"/>
  <c r="B18" i="51"/>
  <c r="D17" i="51"/>
  <c r="C17" i="51"/>
  <c r="B17" i="51"/>
  <c r="D16" i="51"/>
  <c r="C16" i="51"/>
  <c r="B16" i="51"/>
  <c r="D15" i="51"/>
  <c r="C15" i="51"/>
  <c r="B15" i="51"/>
  <c r="D14" i="51"/>
  <c r="C14" i="51"/>
  <c r="B14" i="51"/>
  <c r="D13" i="51"/>
  <c r="C13" i="51"/>
  <c r="B13" i="51"/>
  <c r="D12" i="51"/>
  <c r="C12" i="51"/>
  <c r="B12" i="51"/>
  <c r="D11" i="51"/>
  <c r="C11" i="51"/>
  <c r="B11" i="51"/>
  <c r="D10" i="51"/>
  <c r="C10" i="51"/>
  <c r="B10" i="51"/>
  <c r="D9" i="51"/>
  <c r="C9" i="51"/>
  <c r="B9" i="51"/>
  <c r="D8" i="51"/>
  <c r="C8" i="51"/>
  <c r="B8" i="51"/>
  <c r="D7" i="51"/>
  <c r="C7" i="51"/>
  <c r="B7" i="51"/>
  <c r="D6" i="51"/>
  <c r="C6" i="51"/>
  <c r="B6" i="51"/>
  <c r="D5" i="51"/>
  <c r="C5" i="51"/>
  <c r="B5" i="51"/>
  <c r="D4" i="51"/>
  <c r="C4" i="51"/>
  <c r="B4" i="51"/>
  <c r="D3" i="51"/>
  <c r="C3" i="51"/>
  <c r="B3" i="51"/>
  <c r="D109" i="50"/>
  <c r="C109" i="50"/>
  <c r="B109" i="50"/>
  <c r="D108" i="50"/>
  <c r="C108" i="50"/>
  <c r="B108" i="50"/>
  <c r="D107" i="50"/>
  <c r="C107" i="50"/>
  <c r="B107" i="50"/>
  <c r="D106" i="50"/>
  <c r="C106" i="50"/>
  <c r="B106" i="50"/>
  <c r="D105" i="50"/>
  <c r="C105" i="50"/>
  <c r="B105" i="50"/>
  <c r="D104" i="50"/>
  <c r="C104" i="50"/>
  <c r="B104" i="50"/>
  <c r="D103" i="50"/>
  <c r="C103" i="50"/>
  <c r="B103" i="50"/>
  <c r="D102" i="50"/>
  <c r="C102" i="50"/>
  <c r="B102" i="50"/>
  <c r="D101" i="50"/>
  <c r="C101" i="50"/>
  <c r="B101" i="50"/>
  <c r="D100" i="50"/>
  <c r="C100" i="50"/>
  <c r="B100" i="50"/>
  <c r="D99" i="50"/>
  <c r="C99" i="50"/>
  <c r="B99" i="50"/>
  <c r="D98" i="50"/>
  <c r="C98" i="50"/>
  <c r="B98" i="50"/>
  <c r="D97" i="50"/>
  <c r="C97" i="50"/>
  <c r="B97" i="50"/>
  <c r="D96" i="50"/>
  <c r="C96" i="50"/>
  <c r="B96" i="50"/>
  <c r="D95" i="50"/>
  <c r="C95" i="50"/>
  <c r="B95" i="50"/>
  <c r="D94" i="50"/>
  <c r="C94" i="50"/>
  <c r="B94" i="50"/>
  <c r="D93" i="50"/>
  <c r="C93" i="50"/>
  <c r="B93" i="50"/>
  <c r="D92" i="50"/>
  <c r="C92" i="50"/>
  <c r="B92" i="50"/>
  <c r="D91" i="50"/>
  <c r="C91" i="50"/>
  <c r="B91" i="50"/>
  <c r="D90" i="50"/>
  <c r="C90" i="50"/>
  <c r="B90" i="50"/>
  <c r="D89" i="50"/>
  <c r="C89" i="50"/>
  <c r="B89" i="50"/>
  <c r="D88" i="50"/>
  <c r="C88" i="50"/>
  <c r="B88" i="50"/>
  <c r="D87" i="50"/>
  <c r="C87" i="50"/>
  <c r="B87" i="50"/>
  <c r="D86" i="50"/>
  <c r="C86" i="50"/>
  <c r="B86" i="50"/>
  <c r="D85" i="50"/>
  <c r="C85" i="50"/>
  <c r="B85" i="50"/>
  <c r="D84" i="50"/>
  <c r="C84" i="50"/>
  <c r="B84" i="50"/>
  <c r="D83" i="50"/>
  <c r="C83" i="50"/>
  <c r="B83" i="50"/>
  <c r="D82" i="50"/>
  <c r="C82" i="50"/>
  <c r="B82" i="50"/>
  <c r="D81" i="50"/>
  <c r="C81" i="50"/>
  <c r="B81" i="50"/>
  <c r="D80" i="50"/>
  <c r="C80" i="50"/>
  <c r="B80" i="50"/>
  <c r="D79" i="50"/>
  <c r="C79" i="50"/>
  <c r="B79" i="50"/>
  <c r="D78" i="50"/>
  <c r="C78" i="50"/>
  <c r="B78" i="50"/>
  <c r="D77" i="50"/>
  <c r="C77" i="50"/>
  <c r="B77" i="50"/>
  <c r="D76" i="50"/>
  <c r="C76" i="50"/>
  <c r="B76" i="50"/>
  <c r="D75" i="50"/>
  <c r="C75" i="50"/>
  <c r="B75" i="50"/>
  <c r="D74" i="50"/>
  <c r="C74" i="50"/>
  <c r="B74" i="50"/>
  <c r="D73" i="50"/>
  <c r="C73" i="50"/>
  <c r="B73" i="50"/>
  <c r="D72" i="50"/>
  <c r="C72" i="50"/>
  <c r="B72" i="50"/>
  <c r="D71" i="50"/>
  <c r="C71" i="50"/>
  <c r="B71" i="50"/>
  <c r="D70" i="50"/>
  <c r="C70" i="50"/>
  <c r="B70" i="50"/>
  <c r="D69" i="50"/>
  <c r="C69" i="50"/>
  <c r="B69" i="50"/>
  <c r="D68" i="50"/>
  <c r="C68" i="50"/>
  <c r="B68" i="50"/>
  <c r="D67" i="50"/>
  <c r="C67" i="50"/>
  <c r="B67" i="50"/>
  <c r="D66" i="50"/>
  <c r="C66" i="50"/>
  <c r="B66" i="50"/>
  <c r="D65" i="50"/>
  <c r="C65" i="50"/>
  <c r="B65" i="50"/>
  <c r="D64" i="50"/>
  <c r="C64" i="50"/>
  <c r="B64" i="50"/>
  <c r="D63" i="50"/>
  <c r="C63" i="50"/>
  <c r="B63" i="50"/>
  <c r="D62" i="50"/>
  <c r="C62" i="50"/>
  <c r="B62" i="50"/>
  <c r="D61" i="50"/>
  <c r="C61" i="50"/>
  <c r="B61" i="50"/>
  <c r="D60" i="50"/>
  <c r="C60" i="50"/>
  <c r="B60" i="50"/>
  <c r="D59" i="50"/>
  <c r="C59" i="50"/>
  <c r="B59" i="50"/>
  <c r="D58" i="50"/>
  <c r="C58" i="50"/>
  <c r="B58" i="50"/>
  <c r="D57" i="50"/>
  <c r="C57" i="50"/>
  <c r="B57" i="50"/>
  <c r="D56" i="50"/>
  <c r="C56" i="50"/>
  <c r="B56" i="50"/>
  <c r="D55" i="50"/>
  <c r="C55" i="50"/>
  <c r="B55" i="50"/>
  <c r="D54" i="50"/>
  <c r="C54" i="50"/>
  <c r="B54" i="50"/>
  <c r="D53" i="50"/>
  <c r="C53" i="50"/>
  <c r="B53" i="50"/>
  <c r="D52" i="50"/>
  <c r="C52" i="50"/>
  <c r="B52" i="50"/>
  <c r="D51" i="50"/>
  <c r="C51" i="50"/>
  <c r="B51" i="50"/>
  <c r="D50" i="50"/>
  <c r="C50" i="50"/>
  <c r="B50" i="50"/>
  <c r="D49" i="50"/>
  <c r="C49" i="50"/>
  <c r="B49" i="50"/>
  <c r="D48" i="50"/>
  <c r="C48" i="50"/>
  <c r="B48" i="50"/>
  <c r="D47" i="50"/>
  <c r="C47" i="50"/>
  <c r="B47" i="50"/>
  <c r="D46" i="50"/>
  <c r="C46" i="50"/>
  <c r="B46" i="50"/>
  <c r="D45" i="50"/>
  <c r="C45" i="50"/>
  <c r="B45" i="50"/>
  <c r="D44" i="50"/>
  <c r="C44" i="50"/>
  <c r="B44" i="50"/>
  <c r="D43" i="50"/>
  <c r="C43" i="50"/>
  <c r="B43" i="50"/>
  <c r="D42" i="50"/>
  <c r="C42" i="50"/>
  <c r="B42" i="50"/>
  <c r="D41" i="50"/>
  <c r="C41" i="50"/>
  <c r="B41" i="50"/>
  <c r="D40" i="50"/>
  <c r="C40" i="50"/>
  <c r="B40" i="50"/>
  <c r="D39" i="50"/>
  <c r="C39" i="50"/>
  <c r="B39" i="50"/>
  <c r="D38" i="50"/>
  <c r="C38" i="50"/>
  <c r="B38" i="50"/>
  <c r="D37" i="50"/>
  <c r="C37" i="50"/>
  <c r="B37" i="50"/>
  <c r="D36" i="50"/>
  <c r="C36" i="50"/>
  <c r="B36" i="50"/>
  <c r="D35" i="50"/>
  <c r="C35" i="50"/>
  <c r="B35" i="50"/>
  <c r="D34" i="50"/>
  <c r="C34" i="50"/>
  <c r="B34" i="50"/>
  <c r="D33" i="50"/>
  <c r="C33" i="50"/>
  <c r="B33" i="50"/>
  <c r="D32" i="50"/>
  <c r="C32" i="50"/>
  <c r="B32" i="50"/>
  <c r="D31" i="50"/>
  <c r="C31" i="50"/>
  <c r="B31" i="50"/>
  <c r="D30" i="50"/>
  <c r="C30" i="50"/>
  <c r="B30" i="50"/>
  <c r="D29" i="50"/>
  <c r="C29" i="50"/>
  <c r="B29" i="50"/>
  <c r="D28" i="50"/>
  <c r="C28" i="50"/>
  <c r="B28" i="50"/>
  <c r="D27" i="50"/>
  <c r="C27" i="50"/>
  <c r="B27" i="50"/>
  <c r="D26" i="50"/>
  <c r="C26" i="50"/>
  <c r="B26" i="50"/>
  <c r="D25" i="50"/>
  <c r="C25" i="50"/>
  <c r="B25" i="50"/>
  <c r="D24" i="50"/>
  <c r="C24" i="50"/>
  <c r="B24" i="50"/>
  <c r="D23" i="50"/>
  <c r="C23" i="50"/>
  <c r="B23" i="50"/>
  <c r="D22" i="50"/>
  <c r="C22" i="50"/>
  <c r="B22" i="50"/>
  <c r="D21" i="50"/>
  <c r="C21" i="50"/>
  <c r="B21" i="50"/>
  <c r="D20" i="50"/>
  <c r="C20" i="50"/>
  <c r="B20" i="50"/>
  <c r="D19" i="50"/>
  <c r="C19" i="50"/>
  <c r="B19" i="50"/>
  <c r="D18" i="50"/>
  <c r="C18" i="50"/>
  <c r="B18" i="50"/>
  <c r="D17" i="50"/>
  <c r="C17" i="50"/>
  <c r="B17" i="50"/>
  <c r="D16" i="50"/>
  <c r="C16" i="50"/>
  <c r="B16" i="50"/>
  <c r="D15" i="50"/>
  <c r="C15" i="50"/>
  <c r="B15" i="50"/>
  <c r="D14" i="50"/>
  <c r="C14" i="50"/>
  <c r="B14" i="50"/>
  <c r="D13" i="50"/>
  <c r="C13" i="50"/>
  <c r="B13" i="50"/>
  <c r="D12" i="50"/>
  <c r="C12" i="50"/>
  <c r="B12" i="50"/>
  <c r="D11" i="50"/>
  <c r="C11" i="50"/>
  <c r="B11" i="50"/>
  <c r="D10" i="50"/>
  <c r="C10" i="50"/>
  <c r="B10" i="50"/>
  <c r="D9" i="50"/>
  <c r="C9" i="50"/>
  <c r="B9" i="50"/>
  <c r="D8" i="50"/>
  <c r="C8" i="50"/>
  <c r="B8" i="50"/>
  <c r="D7" i="50"/>
  <c r="C7" i="50"/>
  <c r="B7" i="50"/>
  <c r="D6" i="50"/>
  <c r="C6" i="50"/>
  <c r="B6" i="50"/>
  <c r="D5" i="50"/>
  <c r="C5" i="50"/>
  <c r="B5" i="50"/>
  <c r="D4" i="50"/>
  <c r="C4" i="50"/>
  <c r="B4" i="50"/>
  <c r="D3" i="50"/>
  <c r="C3" i="50"/>
  <c r="B3" i="50"/>
  <c r="D109" i="49"/>
  <c r="C109" i="49"/>
  <c r="B109" i="49"/>
  <c r="D108" i="49"/>
  <c r="C108" i="49"/>
  <c r="B108" i="49"/>
  <c r="D107" i="49"/>
  <c r="C107" i="49"/>
  <c r="B107" i="49"/>
  <c r="D106" i="49"/>
  <c r="C106" i="49"/>
  <c r="B106" i="49"/>
  <c r="D105" i="49"/>
  <c r="C105" i="49"/>
  <c r="B105" i="49"/>
  <c r="D104" i="49"/>
  <c r="C104" i="49"/>
  <c r="B104" i="49"/>
  <c r="D103" i="49"/>
  <c r="C103" i="49"/>
  <c r="B103" i="49"/>
  <c r="D102" i="49"/>
  <c r="C102" i="49"/>
  <c r="B102" i="49"/>
  <c r="D101" i="49"/>
  <c r="C101" i="49"/>
  <c r="B101" i="49"/>
  <c r="D100" i="49"/>
  <c r="C100" i="49"/>
  <c r="B100" i="49"/>
  <c r="D99" i="49"/>
  <c r="C99" i="49"/>
  <c r="B99" i="49"/>
  <c r="D98" i="49"/>
  <c r="C98" i="49"/>
  <c r="B98" i="49"/>
  <c r="D97" i="49"/>
  <c r="C97" i="49"/>
  <c r="B97" i="49"/>
  <c r="D96" i="49"/>
  <c r="C96" i="49"/>
  <c r="B96" i="49"/>
  <c r="D95" i="49"/>
  <c r="C95" i="49"/>
  <c r="B95" i="49"/>
  <c r="D94" i="49"/>
  <c r="C94" i="49"/>
  <c r="B94" i="49"/>
  <c r="D93" i="49"/>
  <c r="C93" i="49"/>
  <c r="B93" i="49"/>
  <c r="D92" i="49"/>
  <c r="C92" i="49"/>
  <c r="B92" i="49"/>
  <c r="D91" i="49"/>
  <c r="C91" i="49"/>
  <c r="B91" i="49"/>
  <c r="D90" i="49"/>
  <c r="C90" i="49"/>
  <c r="B90" i="49"/>
  <c r="D89" i="49"/>
  <c r="C89" i="49"/>
  <c r="B89" i="49"/>
  <c r="D88" i="49"/>
  <c r="C88" i="49"/>
  <c r="B88" i="49"/>
  <c r="D87" i="49"/>
  <c r="C87" i="49"/>
  <c r="B87" i="49"/>
  <c r="D86" i="49"/>
  <c r="C86" i="49"/>
  <c r="B86" i="49"/>
  <c r="D85" i="49"/>
  <c r="C85" i="49"/>
  <c r="B85" i="49"/>
  <c r="D84" i="49"/>
  <c r="C84" i="49"/>
  <c r="B84" i="49"/>
  <c r="D83" i="49"/>
  <c r="C83" i="49"/>
  <c r="B83" i="49"/>
  <c r="D82" i="49"/>
  <c r="C82" i="49"/>
  <c r="B82" i="49"/>
  <c r="D81" i="49"/>
  <c r="C81" i="49"/>
  <c r="B81" i="49"/>
  <c r="D80" i="49"/>
  <c r="C80" i="49"/>
  <c r="B80" i="49"/>
  <c r="D79" i="49"/>
  <c r="C79" i="49"/>
  <c r="B79" i="49"/>
  <c r="D78" i="49"/>
  <c r="C78" i="49"/>
  <c r="B78" i="49"/>
  <c r="D77" i="49"/>
  <c r="C77" i="49"/>
  <c r="B77" i="49"/>
  <c r="D76" i="49"/>
  <c r="C76" i="49"/>
  <c r="B76" i="49"/>
  <c r="D75" i="49"/>
  <c r="C75" i="49"/>
  <c r="B75" i="49"/>
  <c r="D74" i="49"/>
  <c r="C74" i="49"/>
  <c r="B74" i="49"/>
  <c r="D73" i="49"/>
  <c r="C73" i="49"/>
  <c r="B73" i="49"/>
  <c r="D72" i="49"/>
  <c r="C72" i="49"/>
  <c r="B72" i="49"/>
  <c r="D71" i="49"/>
  <c r="C71" i="49"/>
  <c r="B71" i="49"/>
  <c r="D70" i="49"/>
  <c r="C70" i="49"/>
  <c r="B70" i="49"/>
  <c r="D69" i="49"/>
  <c r="C69" i="49"/>
  <c r="B69" i="49"/>
  <c r="D68" i="49"/>
  <c r="C68" i="49"/>
  <c r="B68" i="49"/>
  <c r="D67" i="49"/>
  <c r="C67" i="49"/>
  <c r="B67" i="49"/>
  <c r="D66" i="49"/>
  <c r="C66" i="49"/>
  <c r="B66" i="49"/>
  <c r="D65" i="49"/>
  <c r="C65" i="49"/>
  <c r="B65" i="49"/>
  <c r="D64" i="49"/>
  <c r="C64" i="49"/>
  <c r="B64" i="49"/>
  <c r="D63" i="49"/>
  <c r="C63" i="49"/>
  <c r="B63" i="49"/>
  <c r="D62" i="49"/>
  <c r="C62" i="49"/>
  <c r="B62" i="49"/>
  <c r="D61" i="49"/>
  <c r="C61" i="49"/>
  <c r="B61" i="49"/>
  <c r="D60" i="49"/>
  <c r="C60" i="49"/>
  <c r="B60" i="49"/>
  <c r="D59" i="49"/>
  <c r="C59" i="49"/>
  <c r="B59" i="49"/>
  <c r="D58" i="49"/>
  <c r="C58" i="49"/>
  <c r="B58" i="49"/>
  <c r="D57" i="49"/>
  <c r="C57" i="49"/>
  <c r="B57" i="49"/>
  <c r="D56" i="49"/>
  <c r="C56" i="49"/>
  <c r="B56" i="49"/>
  <c r="D55" i="49"/>
  <c r="C55" i="49"/>
  <c r="B55" i="49"/>
  <c r="D54" i="49"/>
  <c r="C54" i="49"/>
  <c r="B54" i="49"/>
  <c r="D53" i="49"/>
  <c r="C53" i="49"/>
  <c r="B53" i="49"/>
  <c r="D52" i="49"/>
  <c r="C52" i="49"/>
  <c r="B52" i="49"/>
  <c r="D51" i="49"/>
  <c r="C51" i="49"/>
  <c r="B51" i="49"/>
  <c r="D50" i="49"/>
  <c r="C50" i="49"/>
  <c r="B50" i="49"/>
  <c r="D49" i="49"/>
  <c r="C49" i="49"/>
  <c r="B49" i="49"/>
  <c r="D48" i="49"/>
  <c r="C48" i="49"/>
  <c r="B48" i="49"/>
  <c r="D47" i="49"/>
  <c r="C47" i="49"/>
  <c r="B47" i="49"/>
  <c r="D46" i="49"/>
  <c r="C46" i="49"/>
  <c r="B46" i="49"/>
  <c r="D45" i="49"/>
  <c r="C45" i="49"/>
  <c r="B45" i="49"/>
  <c r="D44" i="49"/>
  <c r="C44" i="49"/>
  <c r="B44" i="49"/>
  <c r="D43" i="49"/>
  <c r="C43" i="49"/>
  <c r="B43" i="49"/>
  <c r="D42" i="49"/>
  <c r="C42" i="49"/>
  <c r="B42" i="49"/>
  <c r="D41" i="49"/>
  <c r="C41" i="49"/>
  <c r="B41" i="49"/>
  <c r="D40" i="49"/>
  <c r="C40" i="49"/>
  <c r="B40" i="49"/>
  <c r="D39" i="49"/>
  <c r="C39" i="49"/>
  <c r="B39" i="49"/>
  <c r="D38" i="49"/>
  <c r="C38" i="49"/>
  <c r="B38" i="49"/>
  <c r="D37" i="49"/>
  <c r="C37" i="49"/>
  <c r="B37" i="49"/>
  <c r="D36" i="49"/>
  <c r="C36" i="49"/>
  <c r="B36" i="49"/>
  <c r="D35" i="49"/>
  <c r="C35" i="49"/>
  <c r="B35" i="49"/>
  <c r="D34" i="49"/>
  <c r="C34" i="49"/>
  <c r="B34" i="49"/>
  <c r="D33" i="49"/>
  <c r="C33" i="49"/>
  <c r="B33" i="49"/>
  <c r="D32" i="49"/>
  <c r="C32" i="49"/>
  <c r="B32" i="49"/>
  <c r="D31" i="49"/>
  <c r="C31" i="49"/>
  <c r="B31" i="49"/>
  <c r="D30" i="49"/>
  <c r="C30" i="49"/>
  <c r="B30" i="49"/>
  <c r="D29" i="49"/>
  <c r="C29" i="49"/>
  <c r="B29" i="49"/>
  <c r="D28" i="49"/>
  <c r="C28" i="49"/>
  <c r="B28" i="49"/>
  <c r="D27" i="49"/>
  <c r="C27" i="49"/>
  <c r="B27" i="49"/>
  <c r="D26" i="49"/>
  <c r="C26" i="49"/>
  <c r="B26" i="49"/>
  <c r="D25" i="49"/>
  <c r="C25" i="49"/>
  <c r="B25" i="49"/>
  <c r="D24" i="49"/>
  <c r="C24" i="49"/>
  <c r="B24" i="49"/>
  <c r="D23" i="49"/>
  <c r="C23" i="49"/>
  <c r="B23" i="49"/>
  <c r="D22" i="49"/>
  <c r="C22" i="49"/>
  <c r="B22" i="49"/>
  <c r="D21" i="49"/>
  <c r="C21" i="49"/>
  <c r="B21" i="49"/>
  <c r="D20" i="49"/>
  <c r="C20" i="49"/>
  <c r="B20" i="49"/>
  <c r="D19" i="49"/>
  <c r="C19" i="49"/>
  <c r="B19" i="49"/>
  <c r="D18" i="49"/>
  <c r="C18" i="49"/>
  <c r="B18" i="49"/>
  <c r="D17" i="49"/>
  <c r="C17" i="49"/>
  <c r="B17" i="49"/>
  <c r="D16" i="49"/>
  <c r="C16" i="49"/>
  <c r="B16" i="49"/>
  <c r="D15" i="49"/>
  <c r="C15" i="49"/>
  <c r="B15" i="49"/>
  <c r="D14" i="49"/>
  <c r="C14" i="49"/>
  <c r="B14" i="49"/>
  <c r="D13" i="49"/>
  <c r="C13" i="49"/>
  <c r="B13" i="49"/>
  <c r="D12" i="49"/>
  <c r="C12" i="49"/>
  <c r="B12" i="49"/>
  <c r="D11" i="49"/>
  <c r="C11" i="49"/>
  <c r="B11" i="49"/>
  <c r="D10" i="49"/>
  <c r="C10" i="49"/>
  <c r="B10" i="49"/>
  <c r="D9" i="49"/>
  <c r="C9" i="49"/>
  <c r="B9" i="49"/>
  <c r="D8" i="49"/>
  <c r="C8" i="49"/>
  <c r="B8" i="49"/>
  <c r="D7" i="49"/>
  <c r="C7" i="49"/>
  <c r="B7" i="49"/>
  <c r="D6" i="49"/>
  <c r="C6" i="49"/>
  <c r="B6" i="49"/>
  <c r="D5" i="49"/>
  <c r="C5" i="49"/>
  <c r="B5" i="49"/>
  <c r="D4" i="49"/>
  <c r="C4" i="49"/>
  <c r="B4" i="49"/>
  <c r="D3" i="49"/>
  <c r="C3" i="49"/>
  <c r="B3" i="49"/>
  <c r="D109" i="48"/>
  <c r="C109" i="48"/>
  <c r="B109" i="48"/>
  <c r="D108" i="48"/>
  <c r="C108" i="48"/>
  <c r="B108" i="48"/>
  <c r="D107" i="48"/>
  <c r="C107" i="48"/>
  <c r="B107" i="48"/>
  <c r="D106" i="48"/>
  <c r="C106" i="48"/>
  <c r="B106" i="48"/>
  <c r="D105" i="48"/>
  <c r="C105" i="48"/>
  <c r="B105" i="48"/>
  <c r="D104" i="48"/>
  <c r="C104" i="48"/>
  <c r="B104" i="48"/>
  <c r="D103" i="48"/>
  <c r="C103" i="48"/>
  <c r="B103" i="48"/>
  <c r="D102" i="48"/>
  <c r="C102" i="48"/>
  <c r="B102" i="48"/>
  <c r="D101" i="48"/>
  <c r="C101" i="48"/>
  <c r="B101" i="48"/>
  <c r="D100" i="48"/>
  <c r="C100" i="48"/>
  <c r="B100" i="48"/>
  <c r="D99" i="48"/>
  <c r="C99" i="48"/>
  <c r="B99" i="48"/>
  <c r="D98" i="48"/>
  <c r="C98" i="48"/>
  <c r="B98" i="48"/>
  <c r="D97" i="48"/>
  <c r="C97" i="48"/>
  <c r="B97" i="48"/>
  <c r="D96" i="48"/>
  <c r="C96" i="48"/>
  <c r="B96" i="48"/>
  <c r="D95" i="48"/>
  <c r="C95" i="48"/>
  <c r="B95" i="48"/>
  <c r="D94" i="48"/>
  <c r="C94" i="48"/>
  <c r="B94" i="48"/>
  <c r="D93" i="48"/>
  <c r="C93" i="48"/>
  <c r="B93" i="48"/>
  <c r="D92" i="48"/>
  <c r="C92" i="48"/>
  <c r="B92" i="48"/>
  <c r="D91" i="48"/>
  <c r="C91" i="48"/>
  <c r="B91" i="48"/>
  <c r="D90" i="48"/>
  <c r="C90" i="48"/>
  <c r="B90" i="48"/>
  <c r="D89" i="48"/>
  <c r="C89" i="48"/>
  <c r="B89" i="48"/>
  <c r="D88" i="48"/>
  <c r="C88" i="48"/>
  <c r="B88" i="48"/>
  <c r="D87" i="48"/>
  <c r="C87" i="48"/>
  <c r="B87" i="48"/>
  <c r="D86" i="48"/>
  <c r="C86" i="48"/>
  <c r="B86" i="48"/>
  <c r="D85" i="48"/>
  <c r="C85" i="48"/>
  <c r="B85" i="48"/>
  <c r="D84" i="48"/>
  <c r="C84" i="48"/>
  <c r="B84" i="48"/>
  <c r="D83" i="48"/>
  <c r="C83" i="48"/>
  <c r="B83" i="48"/>
  <c r="D82" i="48"/>
  <c r="C82" i="48"/>
  <c r="B82" i="48"/>
  <c r="D81" i="48"/>
  <c r="C81" i="48"/>
  <c r="B81" i="48"/>
  <c r="D80" i="48"/>
  <c r="C80" i="48"/>
  <c r="B80" i="48"/>
  <c r="D79" i="48"/>
  <c r="C79" i="48"/>
  <c r="B79" i="48"/>
  <c r="D78" i="48"/>
  <c r="C78" i="48"/>
  <c r="B78" i="48"/>
  <c r="D77" i="48"/>
  <c r="C77" i="48"/>
  <c r="B77" i="48"/>
  <c r="D76" i="48"/>
  <c r="C76" i="48"/>
  <c r="B76" i="48"/>
  <c r="D75" i="48"/>
  <c r="C75" i="48"/>
  <c r="B75" i="48"/>
  <c r="D74" i="48"/>
  <c r="C74" i="48"/>
  <c r="B74" i="48"/>
  <c r="D73" i="48"/>
  <c r="C73" i="48"/>
  <c r="B73" i="48"/>
  <c r="D72" i="48"/>
  <c r="C72" i="48"/>
  <c r="B72" i="48"/>
  <c r="D71" i="48"/>
  <c r="C71" i="48"/>
  <c r="B71" i="48"/>
  <c r="D70" i="48"/>
  <c r="C70" i="48"/>
  <c r="B70" i="48"/>
  <c r="D69" i="48"/>
  <c r="C69" i="48"/>
  <c r="B69" i="48"/>
  <c r="D68" i="48"/>
  <c r="C68" i="48"/>
  <c r="B68" i="48"/>
  <c r="D67" i="48"/>
  <c r="C67" i="48"/>
  <c r="B67" i="48"/>
  <c r="D66" i="48"/>
  <c r="C66" i="48"/>
  <c r="B66" i="48"/>
  <c r="D65" i="48"/>
  <c r="C65" i="48"/>
  <c r="B65" i="48"/>
  <c r="D64" i="48"/>
  <c r="C64" i="48"/>
  <c r="B64" i="48"/>
  <c r="D63" i="48"/>
  <c r="C63" i="48"/>
  <c r="B63" i="48"/>
  <c r="D62" i="48"/>
  <c r="C62" i="48"/>
  <c r="B62" i="48"/>
  <c r="D61" i="48"/>
  <c r="C61" i="48"/>
  <c r="B61" i="48"/>
  <c r="D60" i="48"/>
  <c r="C60" i="48"/>
  <c r="B60" i="48"/>
  <c r="D59" i="48"/>
  <c r="C59" i="48"/>
  <c r="B59" i="48"/>
  <c r="D58" i="48"/>
  <c r="C58" i="48"/>
  <c r="B58" i="48"/>
  <c r="D57" i="48"/>
  <c r="C57" i="48"/>
  <c r="B57" i="48"/>
  <c r="D56" i="48"/>
  <c r="C56" i="48"/>
  <c r="B56" i="48"/>
  <c r="D55" i="48"/>
  <c r="C55" i="48"/>
  <c r="B55" i="48"/>
  <c r="D54" i="48"/>
  <c r="C54" i="48"/>
  <c r="B54" i="48"/>
  <c r="D53" i="48"/>
  <c r="C53" i="48"/>
  <c r="B53" i="48"/>
  <c r="D52" i="48"/>
  <c r="C52" i="48"/>
  <c r="B52" i="48"/>
  <c r="D51" i="48"/>
  <c r="C51" i="48"/>
  <c r="B51" i="48"/>
  <c r="D50" i="48"/>
  <c r="C50" i="48"/>
  <c r="B50" i="48"/>
  <c r="D49" i="48"/>
  <c r="C49" i="48"/>
  <c r="B49" i="48"/>
  <c r="D48" i="48"/>
  <c r="C48" i="48"/>
  <c r="B48" i="48"/>
  <c r="D47" i="48"/>
  <c r="C47" i="48"/>
  <c r="B47" i="48"/>
  <c r="D46" i="48"/>
  <c r="C46" i="48"/>
  <c r="B46" i="48"/>
  <c r="D45" i="48"/>
  <c r="C45" i="48"/>
  <c r="B45" i="48"/>
  <c r="D44" i="48"/>
  <c r="C44" i="48"/>
  <c r="B44" i="48"/>
  <c r="D43" i="48"/>
  <c r="C43" i="48"/>
  <c r="B43" i="48"/>
  <c r="D42" i="48"/>
  <c r="C42" i="48"/>
  <c r="B42" i="48"/>
  <c r="D41" i="48"/>
  <c r="C41" i="48"/>
  <c r="B41" i="48"/>
  <c r="D40" i="48"/>
  <c r="C40" i="48"/>
  <c r="B40" i="48"/>
  <c r="D39" i="48"/>
  <c r="C39" i="48"/>
  <c r="B39" i="48"/>
  <c r="D38" i="48"/>
  <c r="C38" i="48"/>
  <c r="B38" i="48"/>
  <c r="D37" i="48"/>
  <c r="C37" i="48"/>
  <c r="B37" i="48"/>
  <c r="D36" i="48"/>
  <c r="C36" i="48"/>
  <c r="B36" i="48"/>
  <c r="D35" i="48"/>
  <c r="C35" i="48"/>
  <c r="B35" i="48"/>
  <c r="D34" i="48"/>
  <c r="C34" i="48"/>
  <c r="B34" i="48"/>
  <c r="D33" i="48"/>
  <c r="C33" i="48"/>
  <c r="B33" i="48"/>
  <c r="D32" i="48"/>
  <c r="C32" i="48"/>
  <c r="B32" i="48"/>
  <c r="D31" i="48"/>
  <c r="C31" i="48"/>
  <c r="B31" i="48"/>
  <c r="D30" i="48"/>
  <c r="C30" i="48"/>
  <c r="B30" i="48"/>
  <c r="D29" i="48"/>
  <c r="C29" i="48"/>
  <c r="B29" i="48"/>
  <c r="D28" i="48"/>
  <c r="C28" i="48"/>
  <c r="B28" i="48"/>
  <c r="D27" i="48"/>
  <c r="C27" i="48"/>
  <c r="B27" i="48"/>
  <c r="D26" i="48"/>
  <c r="C26" i="48"/>
  <c r="B26" i="48"/>
  <c r="D25" i="48"/>
  <c r="C25" i="48"/>
  <c r="B25" i="48"/>
  <c r="D24" i="48"/>
  <c r="C24" i="48"/>
  <c r="B24" i="48"/>
  <c r="D23" i="48"/>
  <c r="C23" i="48"/>
  <c r="B23" i="48"/>
  <c r="D22" i="48"/>
  <c r="C22" i="48"/>
  <c r="B22" i="48"/>
  <c r="D21" i="48"/>
  <c r="C21" i="48"/>
  <c r="B21" i="48"/>
  <c r="D20" i="48"/>
  <c r="C20" i="48"/>
  <c r="B20" i="48"/>
  <c r="D19" i="48"/>
  <c r="C19" i="48"/>
  <c r="B19" i="48"/>
  <c r="D18" i="48"/>
  <c r="C18" i="48"/>
  <c r="B18" i="48"/>
  <c r="D17" i="48"/>
  <c r="C17" i="48"/>
  <c r="B17" i="48"/>
  <c r="D16" i="48"/>
  <c r="C16" i="48"/>
  <c r="B16" i="48"/>
  <c r="D15" i="48"/>
  <c r="C15" i="48"/>
  <c r="B15" i="48"/>
  <c r="D14" i="48"/>
  <c r="C14" i="48"/>
  <c r="B14" i="48"/>
  <c r="D13" i="48"/>
  <c r="C13" i="48"/>
  <c r="B13" i="48"/>
  <c r="D12" i="48"/>
  <c r="C12" i="48"/>
  <c r="B12" i="48"/>
  <c r="D11" i="48"/>
  <c r="C11" i="48"/>
  <c r="B11" i="48"/>
  <c r="D10" i="48"/>
  <c r="C10" i="48"/>
  <c r="B10" i="48"/>
  <c r="D9" i="48"/>
  <c r="C9" i="48"/>
  <c r="B9" i="48"/>
  <c r="D8" i="48"/>
  <c r="C8" i="48"/>
  <c r="B8" i="48"/>
  <c r="D7" i="48"/>
  <c r="C7" i="48"/>
  <c r="B7" i="48"/>
  <c r="D6" i="48"/>
  <c r="C6" i="48"/>
  <c r="B6" i="48"/>
  <c r="D5" i="48"/>
  <c r="C5" i="48"/>
  <c r="B5" i="48"/>
  <c r="D4" i="48"/>
  <c r="C4" i="48"/>
  <c r="B4" i="48"/>
  <c r="D3" i="48"/>
  <c r="C3" i="48"/>
  <c r="B3" i="48"/>
  <c r="D109" i="47"/>
  <c r="C109" i="47"/>
  <c r="B109" i="47"/>
  <c r="D108" i="47"/>
  <c r="C108" i="47"/>
  <c r="B108" i="47"/>
  <c r="D107" i="47"/>
  <c r="C107" i="47"/>
  <c r="B107" i="47"/>
  <c r="D106" i="47"/>
  <c r="C106" i="47"/>
  <c r="B106" i="47"/>
  <c r="D105" i="47"/>
  <c r="C105" i="47"/>
  <c r="B105" i="47"/>
  <c r="D104" i="47"/>
  <c r="C104" i="47"/>
  <c r="B104" i="47"/>
  <c r="D103" i="47"/>
  <c r="C103" i="47"/>
  <c r="B103" i="47"/>
  <c r="D102" i="47"/>
  <c r="C102" i="47"/>
  <c r="B102" i="47"/>
  <c r="D101" i="47"/>
  <c r="C101" i="47"/>
  <c r="B101" i="47"/>
  <c r="D100" i="47"/>
  <c r="C100" i="47"/>
  <c r="B100" i="47"/>
  <c r="D99" i="47"/>
  <c r="C99" i="47"/>
  <c r="B99" i="47"/>
  <c r="D98" i="47"/>
  <c r="C98" i="47"/>
  <c r="B98" i="47"/>
  <c r="D97" i="47"/>
  <c r="C97" i="47"/>
  <c r="B97" i="47"/>
  <c r="D96" i="47"/>
  <c r="C96" i="47"/>
  <c r="B96" i="47"/>
  <c r="D95" i="47"/>
  <c r="C95" i="47"/>
  <c r="B95" i="47"/>
  <c r="D94" i="47"/>
  <c r="C94" i="47"/>
  <c r="B94" i="47"/>
  <c r="D93" i="47"/>
  <c r="C93" i="47"/>
  <c r="B93" i="47"/>
  <c r="D92" i="47"/>
  <c r="C92" i="47"/>
  <c r="B92" i="47"/>
  <c r="D91" i="47"/>
  <c r="C91" i="47"/>
  <c r="B91" i="47"/>
  <c r="D90" i="47"/>
  <c r="C90" i="47"/>
  <c r="B90" i="47"/>
  <c r="D89" i="47"/>
  <c r="C89" i="47"/>
  <c r="B89" i="47"/>
  <c r="D88" i="47"/>
  <c r="C88" i="47"/>
  <c r="B88" i="47"/>
  <c r="D87" i="47"/>
  <c r="C87" i="47"/>
  <c r="B87" i="47"/>
  <c r="D86" i="47"/>
  <c r="C86" i="47"/>
  <c r="B86" i="47"/>
  <c r="D85" i="47"/>
  <c r="C85" i="47"/>
  <c r="B85" i="47"/>
  <c r="D84" i="47"/>
  <c r="C84" i="47"/>
  <c r="B84" i="47"/>
  <c r="D83" i="47"/>
  <c r="C83" i="47"/>
  <c r="B83" i="47"/>
  <c r="D82" i="47"/>
  <c r="C82" i="47"/>
  <c r="B82" i="47"/>
  <c r="D81" i="47"/>
  <c r="C81" i="47"/>
  <c r="B81" i="47"/>
  <c r="D80" i="47"/>
  <c r="C80" i="47"/>
  <c r="B80" i="47"/>
  <c r="D79" i="47"/>
  <c r="C79" i="47"/>
  <c r="B79" i="47"/>
  <c r="D78" i="47"/>
  <c r="C78" i="47"/>
  <c r="B78" i="47"/>
  <c r="D77" i="47"/>
  <c r="C77" i="47"/>
  <c r="B77" i="47"/>
  <c r="D76" i="47"/>
  <c r="C76" i="47"/>
  <c r="B76" i="47"/>
  <c r="D75" i="47"/>
  <c r="C75" i="47"/>
  <c r="B75" i="47"/>
  <c r="D74" i="47"/>
  <c r="C74" i="47"/>
  <c r="B74" i="47"/>
  <c r="D73" i="47"/>
  <c r="C73" i="47"/>
  <c r="B73" i="47"/>
  <c r="D72" i="47"/>
  <c r="C72" i="47"/>
  <c r="B72" i="47"/>
  <c r="D71" i="47"/>
  <c r="C71" i="47"/>
  <c r="B71" i="47"/>
  <c r="D70" i="47"/>
  <c r="C70" i="47"/>
  <c r="B70" i="47"/>
  <c r="D69" i="47"/>
  <c r="C69" i="47"/>
  <c r="B69" i="47"/>
  <c r="D68" i="47"/>
  <c r="C68" i="47"/>
  <c r="B68" i="47"/>
  <c r="D67" i="47"/>
  <c r="C67" i="47"/>
  <c r="B67" i="47"/>
  <c r="D66" i="47"/>
  <c r="C66" i="47"/>
  <c r="B66" i="47"/>
  <c r="D65" i="47"/>
  <c r="C65" i="47"/>
  <c r="B65" i="47"/>
  <c r="D64" i="47"/>
  <c r="C64" i="47"/>
  <c r="B64" i="47"/>
  <c r="D63" i="47"/>
  <c r="C63" i="47"/>
  <c r="B63" i="47"/>
  <c r="D62" i="47"/>
  <c r="C62" i="47"/>
  <c r="B62" i="47"/>
  <c r="D61" i="47"/>
  <c r="C61" i="47"/>
  <c r="B61" i="47"/>
  <c r="D60" i="47"/>
  <c r="C60" i="47"/>
  <c r="B60" i="47"/>
  <c r="D59" i="47"/>
  <c r="C59" i="47"/>
  <c r="B59" i="47"/>
  <c r="D58" i="47"/>
  <c r="C58" i="47"/>
  <c r="B58" i="47"/>
  <c r="D57" i="47"/>
  <c r="C57" i="47"/>
  <c r="B57" i="47"/>
  <c r="D56" i="47"/>
  <c r="C56" i="47"/>
  <c r="B56" i="47"/>
  <c r="D55" i="47"/>
  <c r="C55" i="47"/>
  <c r="B55" i="47"/>
  <c r="D54" i="47"/>
  <c r="C54" i="47"/>
  <c r="B54" i="47"/>
  <c r="D53" i="47"/>
  <c r="C53" i="47"/>
  <c r="B53" i="47"/>
  <c r="D52" i="47"/>
  <c r="C52" i="47"/>
  <c r="B52" i="47"/>
  <c r="D51" i="47"/>
  <c r="C51" i="47"/>
  <c r="B51" i="47"/>
  <c r="D50" i="47"/>
  <c r="C50" i="47"/>
  <c r="B50" i="47"/>
  <c r="D49" i="47"/>
  <c r="C49" i="47"/>
  <c r="B49" i="47"/>
  <c r="D48" i="47"/>
  <c r="C48" i="47"/>
  <c r="B48" i="47"/>
  <c r="D47" i="47"/>
  <c r="C47" i="47"/>
  <c r="B47" i="47"/>
  <c r="D46" i="47"/>
  <c r="C46" i="47"/>
  <c r="B46" i="47"/>
  <c r="D45" i="47"/>
  <c r="C45" i="47"/>
  <c r="B45" i="47"/>
  <c r="D44" i="47"/>
  <c r="C44" i="47"/>
  <c r="B44" i="47"/>
  <c r="D43" i="47"/>
  <c r="C43" i="47"/>
  <c r="B43" i="47"/>
  <c r="D42" i="47"/>
  <c r="C42" i="47"/>
  <c r="B42" i="47"/>
  <c r="D41" i="47"/>
  <c r="C41" i="47"/>
  <c r="B41" i="47"/>
  <c r="D40" i="47"/>
  <c r="C40" i="47"/>
  <c r="B40" i="47"/>
  <c r="D39" i="47"/>
  <c r="C39" i="47"/>
  <c r="B39" i="47"/>
  <c r="D38" i="47"/>
  <c r="C38" i="47"/>
  <c r="B38" i="47"/>
  <c r="D37" i="47"/>
  <c r="C37" i="47"/>
  <c r="B37" i="47"/>
  <c r="D36" i="47"/>
  <c r="C36" i="47"/>
  <c r="B36" i="47"/>
  <c r="D35" i="47"/>
  <c r="C35" i="47"/>
  <c r="B35" i="47"/>
  <c r="D34" i="47"/>
  <c r="C34" i="47"/>
  <c r="B34" i="47"/>
  <c r="D33" i="47"/>
  <c r="C33" i="47"/>
  <c r="B33" i="47"/>
  <c r="D32" i="47"/>
  <c r="C32" i="47"/>
  <c r="B32" i="47"/>
  <c r="D31" i="47"/>
  <c r="C31" i="47"/>
  <c r="B31" i="47"/>
  <c r="D30" i="47"/>
  <c r="C30" i="47"/>
  <c r="B30" i="47"/>
  <c r="D29" i="47"/>
  <c r="C29" i="47"/>
  <c r="B29" i="47"/>
  <c r="D28" i="47"/>
  <c r="C28" i="47"/>
  <c r="B28" i="47"/>
  <c r="D27" i="47"/>
  <c r="C27" i="47"/>
  <c r="B27" i="47"/>
  <c r="D26" i="47"/>
  <c r="C26" i="47"/>
  <c r="B26" i="47"/>
  <c r="D25" i="47"/>
  <c r="C25" i="47"/>
  <c r="B25" i="47"/>
  <c r="D24" i="47"/>
  <c r="C24" i="47"/>
  <c r="B24" i="47"/>
  <c r="D23" i="47"/>
  <c r="C23" i="47"/>
  <c r="B23" i="47"/>
  <c r="D22" i="47"/>
  <c r="C22" i="47"/>
  <c r="B22" i="47"/>
  <c r="D21" i="47"/>
  <c r="C21" i="47"/>
  <c r="B21" i="47"/>
  <c r="D20" i="47"/>
  <c r="C20" i="47"/>
  <c r="B20" i="47"/>
  <c r="D19" i="47"/>
  <c r="C19" i="47"/>
  <c r="B19" i="47"/>
  <c r="D18" i="47"/>
  <c r="C18" i="47"/>
  <c r="B18" i="47"/>
  <c r="D17" i="47"/>
  <c r="C17" i="47"/>
  <c r="B17" i="47"/>
  <c r="D16" i="47"/>
  <c r="C16" i="47"/>
  <c r="B16" i="47"/>
  <c r="D15" i="47"/>
  <c r="C15" i="47"/>
  <c r="B15" i="47"/>
  <c r="D14" i="47"/>
  <c r="C14" i="47"/>
  <c r="B14" i="47"/>
  <c r="D13" i="47"/>
  <c r="C13" i="47"/>
  <c r="B13" i="47"/>
  <c r="D12" i="47"/>
  <c r="C12" i="47"/>
  <c r="B12" i="47"/>
  <c r="D11" i="47"/>
  <c r="C11" i="47"/>
  <c r="B11" i="47"/>
  <c r="D10" i="47"/>
  <c r="C10" i="47"/>
  <c r="B10" i="47"/>
  <c r="D9" i="47"/>
  <c r="C9" i="47"/>
  <c r="B9" i="47"/>
  <c r="D8" i="47"/>
  <c r="C8" i="47"/>
  <c r="B8" i="47"/>
  <c r="D7" i="47"/>
  <c r="C7" i="47"/>
  <c r="B7" i="47"/>
  <c r="D6" i="47"/>
  <c r="C6" i="47"/>
  <c r="B6" i="47"/>
  <c r="D5" i="47"/>
  <c r="C5" i="47"/>
  <c r="B5" i="47"/>
  <c r="D4" i="47"/>
  <c r="C4" i="47"/>
  <c r="B4" i="47"/>
  <c r="D3" i="47"/>
  <c r="C3" i="47"/>
  <c r="B3" i="47"/>
  <c r="D109" i="46"/>
  <c r="C109" i="46"/>
  <c r="B109" i="46"/>
  <c r="D108" i="46"/>
  <c r="C108" i="46"/>
  <c r="B108" i="46"/>
  <c r="D107" i="46"/>
  <c r="C107" i="46"/>
  <c r="B107" i="46"/>
  <c r="D106" i="46"/>
  <c r="C106" i="46"/>
  <c r="B106" i="46"/>
  <c r="D105" i="46"/>
  <c r="C105" i="46"/>
  <c r="B105" i="46"/>
  <c r="D104" i="46"/>
  <c r="C104" i="46"/>
  <c r="B104" i="46"/>
  <c r="D103" i="46"/>
  <c r="C103" i="46"/>
  <c r="B103" i="46"/>
  <c r="D102" i="46"/>
  <c r="C102" i="46"/>
  <c r="B102" i="46"/>
  <c r="D101" i="46"/>
  <c r="C101" i="46"/>
  <c r="B101" i="46"/>
  <c r="D100" i="46"/>
  <c r="C100" i="46"/>
  <c r="B100" i="46"/>
  <c r="D99" i="46"/>
  <c r="C99" i="46"/>
  <c r="B99" i="46"/>
  <c r="D98" i="46"/>
  <c r="C98" i="46"/>
  <c r="B98" i="46"/>
  <c r="D97" i="46"/>
  <c r="C97" i="46"/>
  <c r="B97" i="46"/>
  <c r="D96" i="46"/>
  <c r="C96" i="46"/>
  <c r="B96" i="46"/>
  <c r="D95" i="46"/>
  <c r="C95" i="46"/>
  <c r="B95" i="46"/>
  <c r="D94" i="46"/>
  <c r="C94" i="46"/>
  <c r="B94" i="46"/>
  <c r="D93" i="46"/>
  <c r="C93" i="46"/>
  <c r="B93" i="46"/>
  <c r="D92" i="46"/>
  <c r="C92" i="46"/>
  <c r="B92" i="46"/>
  <c r="D91" i="46"/>
  <c r="C91" i="46"/>
  <c r="B91" i="46"/>
  <c r="D90" i="46"/>
  <c r="C90" i="46"/>
  <c r="B90" i="46"/>
  <c r="D89" i="46"/>
  <c r="C89" i="46"/>
  <c r="B89" i="46"/>
  <c r="D88" i="46"/>
  <c r="C88" i="46"/>
  <c r="B88" i="46"/>
  <c r="D87" i="46"/>
  <c r="C87" i="46"/>
  <c r="B87" i="46"/>
  <c r="D86" i="46"/>
  <c r="C86" i="46"/>
  <c r="B86" i="46"/>
  <c r="D85" i="46"/>
  <c r="C85" i="46"/>
  <c r="B85" i="46"/>
  <c r="D84" i="46"/>
  <c r="C84" i="46"/>
  <c r="B84" i="46"/>
  <c r="D83" i="46"/>
  <c r="C83" i="46"/>
  <c r="B83" i="46"/>
  <c r="D82" i="46"/>
  <c r="C82" i="46"/>
  <c r="B82" i="46"/>
  <c r="D81" i="46"/>
  <c r="C81" i="46"/>
  <c r="B81" i="46"/>
  <c r="D80" i="46"/>
  <c r="C80" i="46"/>
  <c r="B80" i="46"/>
  <c r="D79" i="46"/>
  <c r="C79" i="46"/>
  <c r="B79" i="46"/>
  <c r="D78" i="46"/>
  <c r="C78" i="46"/>
  <c r="B78" i="46"/>
  <c r="D77" i="46"/>
  <c r="C77" i="46"/>
  <c r="B77" i="46"/>
  <c r="D76" i="46"/>
  <c r="C76" i="46"/>
  <c r="B76" i="46"/>
  <c r="D75" i="46"/>
  <c r="C75" i="46"/>
  <c r="B75" i="46"/>
  <c r="D74" i="46"/>
  <c r="C74" i="46"/>
  <c r="B74" i="46"/>
  <c r="D73" i="46"/>
  <c r="C73" i="46"/>
  <c r="B73" i="46"/>
  <c r="D72" i="46"/>
  <c r="C72" i="46"/>
  <c r="B72" i="46"/>
  <c r="D71" i="46"/>
  <c r="C71" i="46"/>
  <c r="B71" i="46"/>
  <c r="D70" i="46"/>
  <c r="C70" i="46"/>
  <c r="B70" i="46"/>
  <c r="D69" i="46"/>
  <c r="C69" i="46"/>
  <c r="B69" i="46"/>
  <c r="D68" i="46"/>
  <c r="C68" i="46"/>
  <c r="B68" i="46"/>
  <c r="D67" i="46"/>
  <c r="C67" i="46"/>
  <c r="B67" i="46"/>
  <c r="D66" i="46"/>
  <c r="C66" i="46"/>
  <c r="B66" i="46"/>
  <c r="D65" i="46"/>
  <c r="C65" i="46"/>
  <c r="B65" i="46"/>
  <c r="D64" i="46"/>
  <c r="C64" i="46"/>
  <c r="B64" i="46"/>
  <c r="D63" i="46"/>
  <c r="C63" i="46"/>
  <c r="B63" i="46"/>
  <c r="D62" i="46"/>
  <c r="C62" i="46"/>
  <c r="B62" i="46"/>
  <c r="D61" i="46"/>
  <c r="C61" i="46"/>
  <c r="B61" i="46"/>
  <c r="D60" i="46"/>
  <c r="C60" i="46"/>
  <c r="B60" i="46"/>
  <c r="D59" i="46"/>
  <c r="C59" i="46"/>
  <c r="B59" i="46"/>
  <c r="D58" i="46"/>
  <c r="C58" i="46"/>
  <c r="B58" i="46"/>
  <c r="D57" i="46"/>
  <c r="C57" i="46"/>
  <c r="B57" i="46"/>
  <c r="D56" i="46"/>
  <c r="C56" i="46"/>
  <c r="B56" i="46"/>
  <c r="D55" i="46"/>
  <c r="C55" i="46"/>
  <c r="B55" i="46"/>
  <c r="D54" i="46"/>
  <c r="C54" i="46"/>
  <c r="B54" i="46"/>
  <c r="D53" i="46"/>
  <c r="C53" i="46"/>
  <c r="B53" i="46"/>
  <c r="D52" i="46"/>
  <c r="C52" i="46"/>
  <c r="B52" i="46"/>
  <c r="D51" i="46"/>
  <c r="C51" i="46"/>
  <c r="B51" i="46"/>
  <c r="D50" i="46"/>
  <c r="C50" i="46"/>
  <c r="B50" i="46"/>
  <c r="D49" i="46"/>
  <c r="C49" i="46"/>
  <c r="B49" i="46"/>
  <c r="D48" i="46"/>
  <c r="C48" i="46"/>
  <c r="B48" i="46"/>
  <c r="D47" i="46"/>
  <c r="C47" i="46"/>
  <c r="B47" i="46"/>
  <c r="D46" i="46"/>
  <c r="C46" i="46"/>
  <c r="B46" i="46"/>
  <c r="D45" i="46"/>
  <c r="C45" i="46"/>
  <c r="B45" i="46"/>
  <c r="D44" i="46"/>
  <c r="C44" i="46"/>
  <c r="B44" i="46"/>
  <c r="D43" i="46"/>
  <c r="C43" i="46"/>
  <c r="B43" i="46"/>
  <c r="D42" i="46"/>
  <c r="C42" i="46"/>
  <c r="B42" i="46"/>
  <c r="D41" i="46"/>
  <c r="C41" i="46"/>
  <c r="B41" i="46"/>
  <c r="D40" i="46"/>
  <c r="C40" i="46"/>
  <c r="B40" i="46"/>
  <c r="D39" i="46"/>
  <c r="C39" i="46"/>
  <c r="B39" i="46"/>
  <c r="D38" i="46"/>
  <c r="C38" i="46"/>
  <c r="B38" i="46"/>
  <c r="D37" i="46"/>
  <c r="C37" i="46"/>
  <c r="B37" i="46"/>
  <c r="D36" i="46"/>
  <c r="C36" i="46"/>
  <c r="B36" i="46"/>
  <c r="D35" i="46"/>
  <c r="C35" i="46"/>
  <c r="B35" i="46"/>
  <c r="D34" i="46"/>
  <c r="C34" i="46"/>
  <c r="B34" i="46"/>
  <c r="D33" i="46"/>
  <c r="C33" i="46"/>
  <c r="B33" i="46"/>
  <c r="D32" i="46"/>
  <c r="C32" i="46"/>
  <c r="B32" i="46"/>
  <c r="D31" i="46"/>
  <c r="C31" i="46"/>
  <c r="B31" i="46"/>
  <c r="D30" i="46"/>
  <c r="C30" i="46"/>
  <c r="B30" i="46"/>
  <c r="D29" i="46"/>
  <c r="C29" i="46"/>
  <c r="B29" i="46"/>
  <c r="D28" i="46"/>
  <c r="C28" i="46"/>
  <c r="B28" i="46"/>
  <c r="D27" i="46"/>
  <c r="C27" i="46"/>
  <c r="B27" i="46"/>
  <c r="D26" i="46"/>
  <c r="C26" i="46"/>
  <c r="B26" i="46"/>
  <c r="D25" i="46"/>
  <c r="C25" i="46"/>
  <c r="B25" i="46"/>
  <c r="D24" i="46"/>
  <c r="C24" i="46"/>
  <c r="B24" i="46"/>
  <c r="D23" i="46"/>
  <c r="C23" i="46"/>
  <c r="B23" i="46"/>
  <c r="D22" i="46"/>
  <c r="C22" i="46"/>
  <c r="B22" i="46"/>
  <c r="D21" i="46"/>
  <c r="C21" i="46"/>
  <c r="B21" i="46"/>
  <c r="D20" i="46"/>
  <c r="C20" i="46"/>
  <c r="B20" i="46"/>
  <c r="D19" i="46"/>
  <c r="C19" i="46"/>
  <c r="B19" i="46"/>
  <c r="D18" i="46"/>
  <c r="C18" i="46"/>
  <c r="B18" i="46"/>
  <c r="D17" i="46"/>
  <c r="C17" i="46"/>
  <c r="B17" i="46"/>
  <c r="D16" i="46"/>
  <c r="C16" i="46"/>
  <c r="B16" i="46"/>
  <c r="D15" i="46"/>
  <c r="C15" i="46"/>
  <c r="B15" i="46"/>
  <c r="D14" i="46"/>
  <c r="C14" i="46"/>
  <c r="B14" i="46"/>
  <c r="D13" i="46"/>
  <c r="C13" i="46"/>
  <c r="B13" i="46"/>
  <c r="D12" i="46"/>
  <c r="C12" i="46"/>
  <c r="B12" i="46"/>
  <c r="D11" i="46"/>
  <c r="C11" i="46"/>
  <c r="B11" i="46"/>
  <c r="D10" i="46"/>
  <c r="C10" i="46"/>
  <c r="B10" i="46"/>
  <c r="D9" i="46"/>
  <c r="C9" i="46"/>
  <c r="B9" i="46"/>
  <c r="D8" i="46"/>
  <c r="C8" i="46"/>
  <c r="B8" i="46"/>
  <c r="D7" i="46"/>
  <c r="C7" i="46"/>
  <c r="B7" i="46"/>
  <c r="D6" i="46"/>
  <c r="C6" i="46"/>
  <c r="B6" i="46"/>
  <c r="D5" i="46"/>
  <c r="C5" i="46"/>
  <c r="B5" i="46"/>
  <c r="D4" i="46"/>
  <c r="C4" i="46"/>
  <c r="B4" i="46"/>
  <c r="D3" i="46"/>
  <c r="C3" i="46"/>
  <c r="B3" i="46"/>
  <c r="D109" i="45"/>
  <c r="C109" i="45"/>
  <c r="B109" i="45"/>
  <c r="D108" i="45"/>
  <c r="C108" i="45"/>
  <c r="B108" i="45"/>
  <c r="D107" i="45"/>
  <c r="C107" i="45"/>
  <c r="B107" i="45"/>
  <c r="D106" i="45"/>
  <c r="C106" i="45"/>
  <c r="B106" i="45"/>
  <c r="D105" i="45"/>
  <c r="C105" i="45"/>
  <c r="B105" i="45"/>
  <c r="D104" i="45"/>
  <c r="C104" i="45"/>
  <c r="B104" i="45"/>
  <c r="D103" i="45"/>
  <c r="C103" i="45"/>
  <c r="B103" i="45"/>
  <c r="D102" i="45"/>
  <c r="C102" i="45"/>
  <c r="B102" i="45"/>
  <c r="D101" i="45"/>
  <c r="C101" i="45"/>
  <c r="B101" i="45"/>
  <c r="D100" i="45"/>
  <c r="C100" i="45"/>
  <c r="B100" i="45"/>
  <c r="D99" i="45"/>
  <c r="C99" i="45"/>
  <c r="B99" i="45"/>
  <c r="D98" i="45"/>
  <c r="C98" i="45"/>
  <c r="B98" i="45"/>
  <c r="D97" i="45"/>
  <c r="C97" i="45"/>
  <c r="B97" i="45"/>
  <c r="D96" i="45"/>
  <c r="C96" i="45"/>
  <c r="B96" i="45"/>
  <c r="D95" i="45"/>
  <c r="C95" i="45"/>
  <c r="B95" i="45"/>
  <c r="D94" i="45"/>
  <c r="C94" i="45"/>
  <c r="B94" i="45"/>
  <c r="D93" i="45"/>
  <c r="C93" i="45"/>
  <c r="B93" i="45"/>
  <c r="D92" i="45"/>
  <c r="C92" i="45"/>
  <c r="B92" i="45"/>
  <c r="D91" i="45"/>
  <c r="C91" i="45"/>
  <c r="B91" i="45"/>
  <c r="D90" i="45"/>
  <c r="C90" i="45"/>
  <c r="B90" i="45"/>
  <c r="D89" i="45"/>
  <c r="C89" i="45"/>
  <c r="B89" i="45"/>
  <c r="D88" i="45"/>
  <c r="C88" i="45"/>
  <c r="B88" i="45"/>
  <c r="D87" i="45"/>
  <c r="C87" i="45"/>
  <c r="B87" i="45"/>
  <c r="D86" i="45"/>
  <c r="C86" i="45"/>
  <c r="B86" i="45"/>
  <c r="D85" i="45"/>
  <c r="C85" i="45"/>
  <c r="B85" i="45"/>
  <c r="D84" i="45"/>
  <c r="C84" i="45"/>
  <c r="B84" i="45"/>
  <c r="D83" i="45"/>
  <c r="C83" i="45"/>
  <c r="B83" i="45"/>
  <c r="D82" i="45"/>
  <c r="C82" i="45"/>
  <c r="B82" i="45"/>
  <c r="D81" i="45"/>
  <c r="C81" i="45"/>
  <c r="B81" i="45"/>
  <c r="D80" i="45"/>
  <c r="C80" i="45"/>
  <c r="B80" i="45"/>
  <c r="D79" i="45"/>
  <c r="C79" i="45"/>
  <c r="B79" i="45"/>
  <c r="D78" i="45"/>
  <c r="C78" i="45"/>
  <c r="B78" i="45"/>
  <c r="D77" i="45"/>
  <c r="C77" i="45"/>
  <c r="B77" i="45"/>
  <c r="D76" i="45"/>
  <c r="C76" i="45"/>
  <c r="B76" i="45"/>
  <c r="D75" i="45"/>
  <c r="C75" i="45"/>
  <c r="B75" i="45"/>
  <c r="D74" i="45"/>
  <c r="C74" i="45"/>
  <c r="B74" i="45"/>
  <c r="D73" i="45"/>
  <c r="C73" i="45"/>
  <c r="B73" i="45"/>
  <c r="D72" i="45"/>
  <c r="C72" i="45"/>
  <c r="B72" i="45"/>
  <c r="D71" i="45"/>
  <c r="C71" i="45"/>
  <c r="B71" i="45"/>
  <c r="D70" i="45"/>
  <c r="C70" i="45"/>
  <c r="B70" i="45"/>
  <c r="D69" i="45"/>
  <c r="C69" i="45"/>
  <c r="B69" i="45"/>
  <c r="D68" i="45"/>
  <c r="C68" i="45"/>
  <c r="B68" i="45"/>
  <c r="D67" i="45"/>
  <c r="C67" i="45"/>
  <c r="B67" i="45"/>
  <c r="D66" i="45"/>
  <c r="C66" i="45"/>
  <c r="B66" i="45"/>
  <c r="D65" i="45"/>
  <c r="C65" i="45"/>
  <c r="B65" i="45"/>
  <c r="D64" i="45"/>
  <c r="C64" i="45"/>
  <c r="B64" i="45"/>
  <c r="D63" i="45"/>
  <c r="C63" i="45"/>
  <c r="B63" i="45"/>
  <c r="D62" i="45"/>
  <c r="C62" i="45"/>
  <c r="B62" i="45"/>
  <c r="D61" i="45"/>
  <c r="C61" i="45"/>
  <c r="B61" i="45"/>
  <c r="D60" i="45"/>
  <c r="C60" i="45"/>
  <c r="B60" i="45"/>
  <c r="D59" i="45"/>
  <c r="C59" i="45"/>
  <c r="B59" i="45"/>
  <c r="D58" i="45"/>
  <c r="C58" i="45"/>
  <c r="B58" i="45"/>
  <c r="D57" i="45"/>
  <c r="C57" i="45"/>
  <c r="B57" i="45"/>
  <c r="D56" i="45"/>
  <c r="C56" i="45"/>
  <c r="B56" i="45"/>
  <c r="D55" i="45"/>
  <c r="C55" i="45"/>
  <c r="B55" i="45"/>
  <c r="D54" i="45"/>
  <c r="C54" i="45"/>
  <c r="B54" i="45"/>
  <c r="D53" i="45"/>
  <c r="C53" i="45"/>
  <c r="B53" i="45"/>
  <c r="D52" i="45"/>
  <c r="C52" i="45"/>
  <c r="B52" i="45"/>
  <c r="D51" i="45"/>
  <c r="C51" i="45"/>
  <c r="B51" i="45"/>
  <c r="D50" i="45"/>
  <c r="C50" i="45"/>
  <c r="B50" i="45"/>
  <c r="D49" i="45"/>
  <c r="C49" i="45"/>
  <c r="B49" i="45"/>
  <c r="D48" i="45"/>
  <c r="C48" i="45"/>
  <c r="B48" i="45"/>
  <c r="D47" i="45"/>
  <c r="C47" i="45"/>
  <c r="B47" i="45"/>
  <c r="D46" i="45"/>
  <c r="C46" i="45"/>
  <c r="B46" i="45"/>
  <c r="D45" i="45"/>
  <c r="C45" i="45"/>
  <c r="B45" i="45"/>
  <c r="D44" i="45"/>
  <c r="C44" i="45"/>
  <c r="B44" i="45"/>
  <c r="D43" i="45"/>
  <c r="C43" i="45"/>
  <c r="B43" i="45"/>
  <c r="D42" i="45"/>
  <c r="C42" i="45"/>
  <c r="B42" i="45"/>
  <c r="D41" i="45"/>
  <c r="C41" i="45"/>
  <c r="B41" i="45"/>
  <c r="D40" i="45"/>
  <c r="C40" i="45"/>
  <c r="B40" i="45"/>
  <c r="D39" i="45"/>
  <c r="C39" i="45"/>
  <c r="B39" i="45"/>
  <c r="D38" i="45"/>
  <c r="C38" i="45"/>
  <c r="B38" i="45"/>
  <c r="D37" i="45"/>
  <c r="C37" i="45"/>
  <c r="B37" i="45"/>
  <c r="D36" i="45"/>
  <c r="C36" i="45"/>
  <c r="B36" i="45"/>
  <c r="D35" i="45"/>
  <c r="C35" i="45"/>
  <c r="B35" i="45"/>
  <c r="D34" i="45"/>
  <c r="C34" i="45"/>
  <c r="B34" i="45"/>
  <c r="D33" i="45"/>
  <c r="C33" i="45"/>
  <c r="B33" i="45"/>
  <c r="D32" i="45"/>
  <c r="C32" i="45"/>
  <c r="B32" i="45"/>
  <c r="D31" i="45"/>
  <c r="C31" i="45"/>
  <c r="B31" i="45"/>
  <c r="D30" i="45"/>
  <c r="C30" i="45"/>
  <c r="B30" i="45"/>
  <c r="D29" i="45"/>
  <c r="C29" i="45"/>
  <c r="B29" i="45"/>
  <c r="D28" i="45"/>
  <c r="C28" i="45"/>
  <c r="B28" i="45"/>
  <c r="D27" i="45"/>
  <c r="C27" i="45"/>
  <c r="B27" i="45"/>
  <c r="D26" i="45"/>
  <c r="C26" i="45"/>
  <c r="B26" i="45"/>
  <c r="D25" i="45"/>
  <c r="C25" i="45"/>
  <c r="B25" i="45"/>
  <c r="D24" i="45"/>
  <c r="C24" i="45"/>
  <c r="B24" i="45"/>
  <c r="D23" i="45"/>
  <c r="C23" i="45"/>
  <c r="B23" i="45"/>
  <c r="D22" i="45"/>
  <c r="C22" i="45"/>
  <c r="B22" i="45"/>
  <c r="D21" i="45"/>
  <c r="C21" i="45"/>
  <c r="B21" i="45"/>
  <c r="D20" i="45"/>
  <c r="C20" i="45"/>
  <c r="B20" i="45"/>
  <c r="D19" i="45"/>
  <c r="C19" i="45"/>
  <c r="B19" i="45"/>
  <c r="D18" i="45"/>
  <c r="C18" i="45"/>
  <c r="B18" i="45"/>
  <c r="D17" i="45"/>
  <c r="C17" i="45"/>
  <c r="B17" i="45"/>
  <c r="D16" i="45"/>
  <c r="C16" i="45"/>
  <c r="B16" i="45"/>
  <c r="D15" i="45"/>
  <c r="C15" i="45"/>
  <c r="B15" i="45"/>
  <c r="D14" i="45"/>
  <c r="C14" i="45"/>
  <c r="B14" i="45"/>
  <c r="D13" i="45"/>
  <c r="C13" i="45"/>
  <c r="B13" i="45"/>
  <c r="D12" i="45"/>
  <c r="C12" i="45"/>
  <c r="B12" i="45"/>
  <c r="D11" i="45"/>
  <c r="C11" i="45"/>
  <c r="B11" i="45"/>
  <c r="D10" i="45"/>
  <c r="C10" i="45"/>
  <c r="B10" i="45"/>
  <c r="D9" i="45"/>
  <c r="C9" i="45"/>
  <c r="B9" i="45"/>
  <c r="D8" i="45"/>
  <c r="C8" i="45"/>
  <c r="B8" i="45"/>
  <c r="D7" i="45"/>
  <c r="C7" i="45"/>
  <c r="B7" i="45"/>
  <c r="D6" i="45"/>
  <c r="C6" i="45"/>
  <c r="B6" i="45"/>
  <c r="D5" i="45"/>
  <c r="C5" i="45"/>
  <c r="B5" i="45"/>
  <c r="D4" i="45"/>
  <c r="C4" i="45"/>
  <c r="B4" i="45"/>
  <c r="D3" i="45"/>
  <c r="C3" i="45"/>
  <c r="B3" i="45"/>
  <c r="D109" i="44"/>
  <c r="C109" i="44"/>
  <c r="B109" i="44"/>
  <c r="D108" i="44"/>
  <c r="C108" i="44"/>
  <c r="B108" i="44"/>
  <c r="D107" i="44"/>
  <c r="C107" i="44"/>
  <c r="B107" i="44"/>
  <c r="D106" i="44"/>
  <c r="C106" i="44"/>
  <c r="B106" i="44"/>
  <c r="D105" i="44"/>
  <c r="C105" i="44"/>
  <c r="B105" i="44"/>
  <c r="D104" i="44"/>
  <c r="C104" i="44"/>
  <c r="B104" i="44"/>
  <c r="D103" i="44"/>
  <c r="C103" i="44"/>
  <c r="B103" i="44"/>
  <c r="D102" i="44"/>
  <c r="C102" i="44"/>
  <c r="B102" i="44"/>
  <c r="D101" i="44"/>
  <c r="C101" i="44"/>
  <c r="B101" i="44"/>
  <c r="D100" i="44"/>
  <c r="C100" i="44"/>
  <c r="B100" i="44"/>
  <c r="D99" i="44"/>
  <c r="C99" i="44"/>
  <c r="B99" i="44"/>
  <c r="D98" i="44"/>
  <c r="C98" i="44"/>
  <c r="B98" i="44"/>
  <c r="D97" i="44"/>
  <c r="C97" i="44"/>
  <c r="B97" i="44"/>
  <c r="D96" i="44"/>
  <c r="C96" i="44"/>
  <c r="B96" i="44"/>
  <c r="D95" i="44"/>
  <c r="C95" i="44"/>
  <c r="B95" i="44"/>
  <c r="D94" i="44"/>
  <c r="C94" i="44"/>
  <c r="B94" i="44"/>
  <c r="D93" i="44"/>
  <c r="C93" i="44"/>
  <c r="B93" i="44"/>
  <c r="D92" i="44"/>
  <c r="C92" i="44"/>
  <c r="B92" i="44"/>
  <c r="D91" i="44"/>
  <c r="C91" i="44"/>
  <c r="B91" i="44"/>
  <c r="D90" i="44"/>
  <c r="C90" i="44"/>
  <c r="B90" i="44"/>
  <c r="D89" i="44"/>
  <c r="C89" i="44"/>
  <c r="B89" i="44"/>
  <c r="D88" i="44"/>
  <c r="C88" i="44"/>
  <c r="B88" i="44"/>
  <c r="D87" i="44"/>
  <c r="C87" i="44"/>
  <c r="B87" i="44"/>
  <c r="D86" i="44"/>
  <c r="C86" i="44"/>
  <c r="B86" i="44"/>
  <c r="D85" i="44"/>
  <c r="C85" i="44"/>
  <c r="B85" i="44"/>
  <c r="D84" i="44"/>
  <c r="C84" i="44"/>
  <c r="B84" i="44"/>
  <c r="D83" i="44"/>
  <c r="C83" i="44"/>
  <c r="B83" i="44"/>
  <c r="D82" i="44"/>
  <c r="C82" i="44"/>
  <c r="B82" i="44"/>
  <c r="D81" i="44"/>
  <c r="C81" i="44"/>
  <c r="B81" i="44"/>
  <c r="D80" i="44"/>
  <c r="C80" i="44"/>
  <c r="B80" i="44"/>
  <c r="D79" i="44"/>
  <c r="C79" i="44"/>
  <c r="B79" i="44"/>
  <c r="D78" i="44"/>
  <c r="C78" i="44"/>
  <c r="B78" i="44"/>
  <c r="D77" i="44"/>
  <c r="C77" i="44"/>
  <c r="B77" i="44"/>
  <c r="D76" i="44"/>
  <c r="C76" i="44"/>
  <c r="B76" i="44"/>
  <c r="D75" i="44"/>
  <c r="C75" i="44"/>
  <c r="B75" i="44"/>
  <c r="D74" i="44"/>
  <c r="C74" i="44"/>
  <c r="B74" i="44"/>
  <c r="D73" i="44"/>
  <c r="C73" i="44"/>
  <c r="B73" i="44"/>
  <c r="D72" i="44"/>
  <c r="C72" i="44"/>
  <c r="B72" i="44"/>
  <c r="D71" i="44"/>
  <c r="C71" i="44"/>
  <c r="B71" i="44"/>
  <c r="D70" i="44"/>
  <c r="C70" i="44"/>
  <c r="B70" i="44"/>
  <c r="D69" i="44"/>
  <c r="C69" i="44"/>
  <c r="B69" i="44"/>
  <c r="D68" i="44"/>
  <c r="C68" i="44"/>
  <c r="B68" i="44"/>
  <c r="D67" i="44"/>
  <c r="C67" i="44"/>
  <c r="B67" i="44"/>
  <c r="D66" i="44"/>
  <c r="C66" i="44"/>
  <c r="B66" i="44"/>
  <c r="D65" i="44"/>
  <c r="C65" i="44"/>
  <c r="B65" i="44"/>
  <c r="D64" i="44"/>
  <c r="C64" i="44"/>
  <c r="B64" i="44"/>
  <c r="D63" i="44"/>
  <c r="C63" i="44"/>
  <c r="B63" i="44"/>
  <c r="D62" i="44"/>
  <c r="C62" i="44"/>
  <c r="B62" i="44"/>
  <c r="D61" i="44"/>
  <c r="C61" i="44"/>
  <c r="B61" i="44"/>
  <c r="D60" i="44"/>
  <c r="C60" i="44"/>
  <c r="B60" i="44"/>
  <c r="D59" i="44"/>
  <c r="C59" i="44"/>
  <c r="B59" i="44"/>
  <c r="D58" i="44"/>
  <c r="C58" i="44"/>
  <c r="B58" i="44"/>
  <c r="D57" i="44"/>
  <c r="C57" i="44"/>
  <c r="B57" i="44"/>
  <c r="D56" i="44"/>
  <c r="C56" i="44"/>
  <c r="B56" i="44"/>
  <c r="D55" i="44"/>
  <c r="C55" i="44"/>
  <c r="B55" i="44"/>
  <c r="D54" i="44"/>
  <c r="C54" i="44"/>
  <c r="B54" i="44"/>
  <c r="D53" i="44"/>
  <c r="C53" i="44"/>
  <c r="B53" i="44"/>
  <c r="D52" i="44"/>
  <c r="C52" i="44"/>
  <c r="B52" i="44"/>
  <c r="D51" i="44"/>
  <c r="C51" i="44"/>
  <c r="B51" i="44"/>
  <c r="D50" i="44"/>
  <c r="C50" i="44"/>
  <c r="B50" i="44"/>
  <c r="D49" i="44"/>
  <c r="C49" i="44"/>
  <c r="B49" i="44"/>
  <c r="D48" i="44"/>
  <c r="C48" i="44"/>
  <c r="B48" i="44"/>
  <c r="D47" i="44"/>
  <c r="C47" i="44"/>
  <c r="B47" i="44"/>
  <c r="D46" i="44"/>
  <c r="C46" i="44"/>
  <c r="B46" i="44"/>
  <c r="D45" i="44"/>
  <c r="C45" i="44"/>
  <c r="B45" i="44"/>
  <c r="D44" i="44"/>
  <c r="C44" i="44"/>
  <c r="B44" i="44"/>
  <c r="D43" i="44"/>
  <c r="C43" i="44"/>
  <c r="B43" i="44"/>
  <c r="D42" i="44"/>
  <c r="C42" i="44"/>
  <c r="B42" i="44"/>
  <c r="D41" i="44"/>
  <c r="C41" i="44"/>
  <c r="B41" i="44"/>
  <c r="D40" i="44"/>
  <c r="C40" i="44"/>
  <c r="B40" i="44"/>
  <c r="D39" i="44"/>
  <c r="C39" i="44"/>
  <c r="B39" i="44"/>
  <c r="D38" i="44"/>
  <c r="C38" i="44"/>
  <c r="B38" i="44"/>
  <c r="D37" i="44"/>
  <c r="C37" i="44"/>
  <c r="B37" i="44"/>
  <c r="D36" i="44"/>
  <c r="C36" i="44"/>
  <c r="B36" i="44"/>
  <c r="D35" i="44"/>
  <c r="C35" i="44"/>
  <c r="B35" i="44"/>
  <c r="D34" i="44"/>
  <c r="C34" i="44"/>
  <c r="B34" i="44"/>
  <c r="D33" i="44"/>
  <c r="C33" i="44"/>
  <c r="B33" i="44"/>
  <c r="D32" i="44"/>
  <c r="C32" i="44"/>
  <c r="B32" i="44"/>
  <c r="D31" i="44"/>
  <c r="C31" i="44"/>
  <c r="B31" i="44"/>
  <c r="D30" i="44"/>
  <c r="C30" i="44"/>
  <c r="B30" i="44"/>
  <c r="D29" i="44"/>
  <c r="C29" i="44"/>
  <c r="B29" i="44"/>
  <c r="D28" i="44"/>
  <c r="C28" i="44"/>
  <c r="B28" i="44"/>
  <c r="D27" i="44"/>
  <c r="C27" i="44"/>
  <c r="B27" i="44"/>
  <c r="D26" i="44"/>
  <c r="C26" i="44"/>
  <c r="B26" i="44"/>
  <c r="D25" i="44"/>
  <c r="C25" i="44"/>
  <c r="B25" i="44"/>
  <c r="D24" i="44"/>
  <c r="C24" i="44"/>
  <c r="B24" i="44"/>
  <c r="D23" i="44"/>
  <c r="C23" i="44"/>
  <c r="B23" i="44"/>
  <c r="D22" i="44"/>
  <c r="C22" i="44"/>
  <c r="B22" i="44"/>
  <c r="D21" i="44"/>
  <c r="C21" i="44"/>
  <c r="B21" i="44"/>
  <c r="D20" i="44"/>
  <c r="C20" i="44"/>
  <c r="B20" i="44"/>
  <c r="D19" i="44"/>
  <c r="C19" i="44"/>
  <c r="B19" i="44"/>
  <c r="D18" i="44"/>
  <c r="C18" i="44"/>
  <c r="B18" i="44"/>
  <c r="D17" i="44"/>
  <c r="C17" i="44"/>
  <c r="B17" i="44"/>
  <c r="D16" i="44"/>
  <c r="C16" i="44"/>
  <c r="B16" i="44"/>
  <c r="D15" i="44"/>
  <c r="C15" i="44"/>
  <c r="B15" i="44"/>
  <c r="D14" i="44"/>
  <c r="C14" i="44"/>
  <c r="B14" i="44"/>
  <c r="D13" i="44"/>
  <c r="C13" i="44"/>
  <c r="B13" i="44"/>
  <c r="D12" i="44"/>
  <c r="C12" i="44"/>
  <c r="B12" i="44"/>
  <c r="D11" i="44"/>
  <c r="C11" i="44"/>
  <c r="B11" i="44"/>
  <c r="D10" i="44"/>
  <c r="C10" i="44"/>
  <c r="B10" i="44"/>
  <c r="D9" i="44"/>
  <c r="C9" i="44"/>
  <c r="B9" i="44"/>
  <c r="D8" i="44"/>
  <c r="C8" i="44"/>
  <c r="B8" i="44"/>
  <c r="D7" i="44"/>
  <c r="C7" i="44"/>
  <c r="B7" i="44"/>
  <c r="D6" i="44"/>
  <c r="C6" i="44"/>
  <c r="B6" i="44"/>
  <c r="D5" i="44"/>
  <c r="C5" i="44"/>
  <c r="B5" i="44"/>
  <c r="D4" i="44"/>
  <c r="C4" i="44"/>
  <c r="B4" i="44"/>
  <c r="D3" i="44"/>
  <c r="C3" i="44"/>
  <c r="B3" i="44"/>
  <c r="D109" i="43"/>
  <c r="C109" i="43"/>
  <c r="B109" i="43"/>
  <c r="D108" i="43"/>
  <c r="C108" i="43"/>
  <c r="B108" i="43"/>
  <c r="D107" i="43"/>
  <c r="C107" i="43"/>
  <c r="B107" i="43"/>
  <c r="D106" i="43"/>
  <c r="C106" i="43"/>
  <c r="B106" i="43"/>
  <c r="D105" i="43"/>
  <c r="C105" i="43"/>
  <c r="B105" i="43"/>
  <c r="D104" i="43"/>
  <c r="C104" i="43"/>
  <c r="B104" i="43"/>
  <c r="D103" i="43"/>
  <c r="C103" i="43"/>
  <c r="B103" i="43"/>
  <c r="D102" i="43"/>
  <c r="C102" i="43"/>
  <c r="B102" i="43"/>
  <c r="D101" i="43"/>
  <c r="C101" i="43"/>
  <c r="B101" i="43"/>
  <c r="D100" i="43"/>
  <c r="C100" i="43"/>
  <c r="B100" i="43"/>
  <c r="D99" i="43"/>
  <c r="C99" i="43"/>
  <c r="B99" i="43"/>
  <c r="D98" i="43"/>
  <c r="C98" i="43"/>
  <c r="B98" i="43"/>
  <c r="D97" i="43"/>
  <c r="C97" i="43"/>
  <c r="B97" i="43"/>
  <c r="D96" i="43"/>
  <c r="C96" i="43"/>
  <c r="B96" i="43"/>
  <c r="D95" i="43"/>
  <c r="C95" i="43"/>
  <c r="B95" i="43"/>
  <c r="D94" i="43"/>
  <c r="C94" i="43"/>
  <c r="B94" i="43"/>
  <c r="D93" i="43"/>
  <c r="C93" i="43"/>
  <c r="B93" i="43"/>
  <c r="D92" i="43"/>
  <c r="C92" i="43"/>
  <c r="B92" i="43"/>
  <c r="D91" i="43"/>
  <c r="C91" i="43"/>
  <c r="B91" i="43"/>
  <c r="D90" i="43"/>
  <c r="C90" i="43"/>
  <c r="B90" i="43"/>
  <c r="D89" i="43"/>
  <c r="C89" i="43"/>
  <c r="B89" i="43"/>
  <c r="D88" i="43"/>
  <c r="C88" i="43"/>
  <c r="B88" i="43"/>
  <c r="D87" i="43"/>
  <c r="C87" i="43"/>
  <c r="B87" i="43"/>
  <c r="D86" i="43"/>
  <c r="C86" i="43"/>
  <c r="B86" i="43"/>
  <c r="D85" i="43"/>
  <c r="C85" i="43"/>
  <c r="B85" i="43"/>
  <c r="D84" i="43"/>
  <c r="C84" i="43"/>
  <c r="B84" i="43"/>
  <c r="D83" i="43"/>
  <c r="C83" i="43"/>
  <c r="B83" i="43"/>
  <c r="D82" i="43"/>
  <c r="C82" i="43"/>
  <c r="B82" i="43"/>
  <c r="D81" i="43"/>
  <c r="C81" i="43"/>
  <c r="B81" i="43"/>
  <c r="D80" i="43"/>
  <c r="C80" i="43"/>
  <c r="B80" i="43"/>
  <c r="D79" i="43"/>
  <c r="C79" i="43"/>
  <c r="B79" i="43"/>
  <c r="D78" i="43"/>
  <c r="C78" i="43"/>
  <c r="B78" i="43"/>
  <c r="D77" i="43"/>
  <c r="C77" i="43"/>
  <c r="B77" i="43"/>
  <c r="D76" i="43"/>
  <c r="C76" i="43"/>
  <c r="B76" i="43"/>
  <c r="D75" i="43"/>
  <c r="C75" i="43"/>
  <c r="B75" i="43"/>
  <c r="D74" i="43"/>
  <c r="C74" i="43"/>
  <c r="B74" i="43"/>
  <c r="D73" i="43"/>
  <c r="C73" i="43"/>
  <c r="B73" i="43"/>
  <c r="D72" i="43"/>
  <c r="C72" i="43"/>
  <c r="B72" i="43"/>
  <c r="D71" i="43"/>
  <c r="C71" i="43"/>
  <c r="B71" i="43"/>
  <c r="D70" i="43"/>
  <c r="C70" i="43"/>
  <c r="B70" i="43"/>
  <c r="D69" i="43"/>
  <c r="C69" i="43"/>
  <c r="B69" i="43"/>
  <c r="D68" i="43"/>
  <c r="C68" i="43"/>
  <c r="B68" i="43"/>
  <c r="D67" i="43"/>
  <c r="C67" i="43"/>
  <c r="B67" i="43"/>
  <c r="D66" i="43"/>
  <c r="C66" i="43"/>
  <c r="B66" i="43"/>
  <c r="D65" i="43"/>
  <c r="C65" i="43"/>
  <c r="B65" i="43"/>
  <c r="D64" i="43"/>
  <c r="C64" i="43"/>
  <c r="B64" i="43"/>
  <c r="D63" i="43"/>
  <c r="C63" i="43"/>
  <c r="B63" i="43"/>
  <c r="D62" i="43"/>
  <c r="C62" i="43"/>
  <c r="B62" i="43"/>
  <c r="D61" i="43"/>
  <c r="C61" i="43"/>
  <c r="B61" i="43"/>
  <c r="D60" i="43"/>
  <c r="C60" i="43"/>
  <c r="B60" i="43"/>
  <c r="D59" i="43"/>
  <c r="C59" i="43"/>
  <c r="B59" i="43"/>
  <c r="D58" i="43"/>
  <c r="C58" i="43"/>
  <c r="B58" i="43"/>
  <c r="D57" i="43"/>
  <c r="C57" i="43"/>
  <c r="B57" i="43"/>
  <c r="D56" i="43"/>
  <c r="C56" i="43"/>
  <c r="B56" i="43"/>
  <c r="D55" i="43"/>
  <c r="C55" i="43"/>
  <c r="B55" i="43"/>
  <c r="D54" i="43"/>
  <c r="C54" i="43"/>
  <c r="B54" i="43"/>
  <c r="D53" i="43"/>
  <c r="C53" i="43"/>
  <c r="B53" i="43"/>
  <c r="D52" i="43"/>
  <c r="C52" i="43"/>
  <c r="B52" i="43"/>
  <c r="D51" i="43"/>
  <c r="C51" i="43"/>
  <c r="B51" i="43"/>
  <c r="D50" i="43"/>
  <c r="C50" i="43"/>
  <c r="B50" i="43"/>
  <c r="D49" i="43"/>
  <c r="C49" i="43"/>
  <c r="B49" i="43"/>
  <c r="D48" i="43"/>
  <c r="C48" i="43"/>
  <c r="B48" i="43"/>
  <c r="D47" i="43"/>
  <c r="C47" i="43"/>
  <c r="B47" i="43"/>
  <c r="D46" i="43"/>
  <c r="C46" i="43"/>
  <c r="B46" i="43"/>
  <c r="D45" i="43"/>
  <c r="C45" i="43"/>
  <c r="B45" i="43"/>
  <c r="D44" i="43"/>
  <c r="C44" i="43"/>
  <c r="B44" i="43"/>
  <c r="D43" i="43"/>
  <c r="C43" i="43"/>
  <c r="B43" i="43"/>
  <c r="D42" i="43"/>
  <c r="C42" i="43"/>
  <c r="B42" i="43"/>
  <c r="D41" i="43"/>
  <c r="C41" i="43"/>
  <c r="B41" i="43"/>
  <c r="D40" i="43"/>
  <c r="C40" i="43"/>
  <c r="B40" i="43"/>
  <c r="D39" i="43"/>
  <c r="C39" i="43"/>
  <c r="B39" i="43"/>
  <c r="D38" i="43"/>
  <c r="C38" i="43"/>
  <c r="B38" i="43"/>
  <c r="D37" i="43"/>
  <c r="C37" i="43"/>
  <c r="B37" i="43"/>
  <c r="D36" i="43"/>
  <c r="C36" i="43"/>
  <c r="B36" i="43"/>
  <c r="D35" i="43"/>
  <c r="C35" i="43"/>
  <c r="B35" i="43"/>
  <c r="D34" i="43"/>
  <c r="C34" i="43"/>
  <c r="B34" i="43"/>
  <c r="D33" i="43"/>
  <c r="C33" i="43"/>
  <c r="B33" i="43"/>
  <c r="D32" i="43"/>
  <c r="C32" i="43"/>
  <c r="B32" i="43"/>
  <c r="D31" i="43"/>
  <c r="C31" i="43"/>
  <c r="B31" i="43"/>
  <c r="D30" i="43"/>
  <c r="C30" i="43"/>
  <c r="B30" i="43"/>
  <c r="D29" i="43"/>
  <c r="C29" i="43"/>
  <c r="B29" i="43"/>
  <c r="D28" i="43"/>
  <c r="C28" i="43"/>
  <c r="B28" i="43"/>
  <c r="D27" i="43"/>
  <c r="C27" i="43"/>
  <c r="B27" i="43"/>
  <c r="D26" i="43"/>
  <c r="C26" i="43"/>
  <c r="B26" i="43"/>
  <c r="D25" i="43"/>
  <c r="C25" i="43"/>
  <c r="B25" i="43"/>
  <c r="D24" i="43"/>
  <c r="C24" i="43"/>
  <c r="B24" i="43"/>
  <c r="D23" i="43"/>
  <c r="C23" i="43"/>
  <c r="B23" i="43"/>
  <c r="D22" i="43"/>
  <c r="C22" i="43"/>
  <c r="B22" i="43"/>
  <c r="D21" i="43"/>
  <c r="C21" i="43"/>
  <c r="B21" i="43"/>
  <c r="D20" i="43"/>
  <c r="C20" i="43"/>
  <c r="B20" i="43"/>
  <c r="D19" i="43"/>
  <c r="C19" i="43"/>
  <c r="B19" i="43"/>
  <c r="D18" i="43"/>
  <c r="C18" i="43"/>
  <c r="B18" i="43"/>
  <c r="D17" i="43"/>
  <c r="C17" i="43"/>
  <c r="B17" i="43"/>
  <c r="D16" i="43"/>
  <c r="C16" i="43"/>
  <c r="B16" i="43"/>
  <c r="D15" i="43"/>
  <c r="C15" i="43"/>
  <c r="B15" i="43"/>
  <c r="D14" i="43"/>
  <c r="C14" i="43"/>
  <c r="B14" i="43"/>
  <c r="D13" i="43"/>
  <c r="C13" i="43"/>
  <c r="B13" i="43"/>
  <c r="D12" i="43"/>
  <c r="C12" i="43"/>
  <c r="B12" i="43"/>
  <c r="D11" i="43"/>
  <c r="C11" i="43"/>
  <c r="B11" i="43"/>
  <c r="D10" i="43"/>
  <c r="C10" i="43"/>
  <c r="B10" i="43"/>
  <c r="D9" i="43"/>
  <c r="C9" i="43"/>
  <c r="B9" i="43"/>
  <c r="D8" i="43"/>
  <c r="C8" i="43"/>
  <c r="B8" i="43"/>
  <c r="D7" i="43"/>
  <c r="C7" i="43"/>
  <c r="B7" i="43"/>
  <c r="D6" i="43"/>
  <c r="C6" i="43"/>
  <c r="B6" i="43"/>
  <c r="D5" i="43"/>
  <c r="C5" i="43"/>
  <c r="B5" i="43"/>
  <c r="D4" i="43"/>
  <c r="C4" i="43"/>
  <c r="B4" i="43"/>
  <c r="D3" i="43"/>
  <c r="C3" i="43"/>
  <c r="B3" i="43"/>
  <c r="D109" i="42"/>
  <c r="C109" i="42"/>
  <c r="B109" i="42"/>
  <c r="D108" i="42"/>
  <c r="C108" i="42"/>
  <c r="B108" i="42"/>
  <c r="D107" i="42"/>
  <c r="C107" i="42"/>
  <c r="B107" i="42"/>
  <c r="D106" i="42"/>
  <c r="C106" i="42"/>
  <c r="B106" i="42"/>
  <c r="D105" i="42"/>
  <c r="C105" i="42"/>
  <c r="B105" i="42"/>
  <c r="D104" i="42"/>
  <c r="C104" i="42"/>
  <c r="B104" i="42"/>
  <c r="D103" i="42"/>
  <c r="C103" i="42"/>
  <c r="B103" i="42"/>
  <c r="D102" i="42"/>
  <c r="C102" i="42"/>
  <c r="B102" i="42"/>
  <c r="D101" i="42"/>
  <c r="C101" i="42"/>
  <c r="B101" i="42"/>
  <c r="D100" i="42"/>
  <c r="C100" i="42"/>
  <c r="B100" i="42"/>
  <c r="D99" i="42"/>
  <c r="C99" i="42"/>
  <c r="B99" i="42"/>
  <c r="D98" i="42"/>
  <c r="C98" i="42"/>
  <c r="B98" i="42"/>
  <c r="D97" i="42"/>
  <c r="C97" i="42"/>
  <c r="B97" i="42"/>
  <c r="D96" i="42"/>
  <c r="C96" i="42"/>
  <c r="B96" i="42"/>
  <c r="D95" i="42"/>
  <c r="C95" i="42"/>
  <c r="B95" i="42"/>
  <c r="D94" i="42"/>
  <c r="C94" i="42"/>
  <c r="B94" i="42"/>
  <c r="D93" i="42"/>
  <c r="C93" i="42"/>
  <c r="B93" i="42"/>
  <c r="D92" i="42"/>
  <c r="C92" i="42"/>
  <c r="B92" i="42"/>
  <c r="D91" i="42"/>
  <c r="C91" i="42"/>
  <c r="B91" i="42"/>
  <c r="D90" i="42"/>
  <c r="C90" i="42"/>
  <c r="B90" i="42"/>
  <c r="D89" i="42"/>
  <c r="C89" i="42"/>
  <c r="B89" i="42"/>
  <c r="D88" i="42"/>
  <c r="C88" i="42"/>
  <c r="B88" i="42"/>
  <c r="D87" i="42"/>
  <c r="C87" i="42"/>
  <c r="B87" i="42"/>
  <c r="D86" i="42"/>
  <c r="C86" i="42"/>
  <c r="B86" i="42"/>
  <c r="D85" i="42"/>
  <c r="C85" i="42"/>
  <c r="B85" i="42"/>
  <c r="D84" i="42"/>
  <c r="C84" i="42"/>
  <c r="B84" i="42"/>
  <c r="D83" i="42"/>
  <c r="C83" i="42"/>
  <c r="B83" i="42"/>
  <c r="D82" i="42"/>
  <c r="C82" i="42"/>
  <c r="B82" i="42"/>
  <c r="D81" i="42"/>
  <c r="C81" i="42"/>
  <c r="B81" i="42"/>
  <c r="D80" i="42"/>
  <c r="C80" i="42"/>
  <c r="B80" i="42"/>
  <c r="D79" i="42"/>
  <c r="C79" i="42"/>
  <c r="B79" i="42"/>
  <c r="D78" i="42"/>
  <c r="C78" i="42"/>
  <c r="B78" i="42"/>
  <c r="D77" i="42"/>
  <c r="C77" i="42"/>
  <c r="B77" i="42"/>
  <c r="D76" i="42"/>
  <c r="C76" i="42"/>
  <c r="B76" i="42"/>
  <c r="D75" i="42"/>
  <c r="C75" i="42"/>
  <c r="B75" i="42"/>
  <c r="D74" i="42"/>
  <c r="C74" i="42"/>
  <c r="B74" i="42"/>
  <c r="D73" i="42"/>
  <c r="C73" i="42"/>
  <c r="B73" i="42"/>
  <c r="D72" i="42"/>
  <c r="C72" i="42"/>
  <c r="B72" i="42"/>
  <c r="D71" i="42"/>
  <c r="C71" i="42"/>
  <c r="B71" i="42"/>
  <c r="D70" i="42"/>
  <c r="C70" i="42"/>
  <c r="B70" i="42"/>
  <c r="D69" i="42"/>
  <c r="C69" i="42"/>
  <c r="B69" i="42"/>
  <c r="D68" i="42"/>
  <c r="C68" i="42"/>
  <c r="B68" i="42"/>
  <c r="D67" i="42"/>
  <c r="C67" i="42"/>
  <c r="B67" i="42"/>
  <c r="D66" i="42"/>
  <c r="C66" i="42"/>
  <c r="B66" i="42"/>
  <c r="D65" i="42"/>
  <c r="C65" i="42"/>
  <c r="B65" i="42"/>
  <c r="D64" i="42"/>
  <c r="C64" i="42"/>
  <c r="B64" i="42"/>
  <c r="D63" i="42"/>
  <c r="C63" i="42"/>
  <c r="B63" i="42"/>
  <c r="D62" i="42"/>
  <c r="C62" i="42"/>
  <c r="B62" i="42"/>
  <c r="D61" i="42"/>
  <c r="C61" i="42"/>
  <c r="B61" i="42"/>
  <c r="D60" i="42"/>
  <c r="C60" i="42"/>
  <c r="B60" i="42"/>
  <c r="D59" i="42"/>
  <c r="C59" i="42"/>
  <c r="B59" i="42"/>
  <c r="D58" i="42"/>
  <c r="C58" i="42"/>
  <c r="B58" i="42"/>
  <c r="D57" i="42"/>
  <c r="C57" i="42"/>
  <c r="B57" i="42"/>
  <c r="D56" i="42"/>
  <c r="C56" i="42"/>
  <c r="B56" i="42"/>
  <c r="D55" i="42"/>
  <c r="C55" i="42"/>
  <c r="B55" i="42"/>
  <c r="D54" i="42"/>
  <c r="C54" i="42"/>
  <c r="B54" i="42"/>
  <c r="D53" i="42"/>
  <c r="C53" i="42"/>
  <c r="B53" i="42"/>
  <c r="D52" i="42"/>
  <c r="C52" i="42"/>
  <c r="B52" i="42"/>
  <c r="D51" i="42"/>
  <c r="C51" i="42"/>
  <c r="B51" i="42"/>
  <c r="D50" i="42"/>
  <c r="C50" i="42"/>
  <c r="B50" i="42"/>
  <c r="D49" i="42"/>
  <c r="C49" i="42"/>
  <c r="B49" i="42"/>
  <c r="D48" i="42"/>
  <c r="C48" i="42"/>
  <c r="B48" i="42"/>
  <c r="D47" i="42"/>
  <c r="C47" i="42"/>
  <c r="B47" i="42"/>
  <c r="D46" i="42"/>
  <c r="C46" i="42"/>
  <c r="B46" i="42"/>
  <c r="D45" i="42"/>
  <c r="C45" i="42"/>
  <c r="B45" i="42"/>
  <c r="D44" i="42"/>
  <c r="C44" i="42"/>
  <c r="B44" i="42"/>
  <c r="D43" i="42"/>
  <c r="C43" i="42"/>
  <c r="B43" i="42"/>
  <c r="D42" i="42"/>
  <c r="C42" i="42"/>
  <c r="B42" i="42"/>
  <c r="D41" i="42"/>
  <c r="C41" i="42"/>
  <c r="B41" i="42"/>
  <c r="D40" i="42"/>
  <c r="C40" i="42"/>
  <c r="B40" i="42"/>
  <c r="D39" i="42"/>
  <c r="C39" i="42"/>
  <c r="B39" i="42"/>
  <c r="D38" i="42"/>
  <c r="C38" i="42"/>
  <c r="B38" i="42"/>
  <c r="D37" i="42"/>
  <c r="C37" i="42"/>
  <c r="B37" i="42"/>
  <c r="D36" i="42"/>
  <c r="C36" i="42"/>
  <c r="B36" i="42"/>
  <c r="D35" i="42"/>
  <c r="C35" i="42"/>
  <c r="B35" i="42"/>
  <c r="D34" i="42"/>
  <c r="C34" i="42"/>
  <c r="B34" i="42"/>
  <c r="D33" i="42"/>
  <c r="C33" i="42"/>
  <c r="B33" i="42"/>
  <c r="D32" i="42"/>
  <c r="C32" i="42"/>
  <c r="B32" i="42"/>
  <c r="D31" i="42"/>
  <c r="C31" i="42"/>
  <c r="B31" i="42"/>
  <c r="D30" i="42"/>
  <c r="C30" i="42"/>
  <c r="B30" i="42"/>
  <c r="D29" i="42"/>
  <c r="C29" i="42"/>
  <c r="B29" i="42"/>
  <c r="D28" i="42"/>
  <c r="C28" i="42"/>
  <c r="B28" i="42"/>
  <c r="D27" i="42"/>
  <c r="C27" i="42"/>
  <c r="B27" i="42"/>
  <c r="D26" i="42"/>
  <c r="C26" i="42"/>
  <c r="B26" i="42"/>
  <c r="D25" i="42"/>
  <c r="C25" i="42"/>
  <c r="B25" i="42"/>
  <c r="D24" i="42"/>
  <c r="C24" i="42"/>
  <c r="B24" i="42"/>
  <c r="D23" i="42"/>
  <c r="C23" i="42"/>
  <c r="B23" i="42"/>
  <c r="D22" i="42"/>
  <c r="C22" i="42"/>
  <c r="B22" i="42"/>
  <c r="D21" i="42"/>
  <c r="C21" i="42"/>
  <c r="B21" i="42"/>
  <c r="D20" i="42"/>
  <c r="C20" i="42"/>
  <c r="B20" i="42"/>
  <c r="D19" i="42"/>
  <c r="C19" i="42"/>
  <c r="B19" i="42"/>
  <c r="D18" i="42"/>
  <c r="C18" i="42"/>
  <c r="B18" i="42"/>
  <c r="D17" i="42"/>
  <c r="C17" i="42"/>
  <c r="B17" i="42"/>
  <c r="D16" i="42"/>
  <c r="C16" i="42"/>
  <c r="B16" i="42"/>
  <c r="D15" i="42"/>
  <c r="C15" i="42"/>
  <c r="B15" i="42"/>
  <c r="D14" i="42"/>
  <c r="C14" i="42"/>
  <c r="B14" i="42"/>
  <c r="D13" i="42"/>
  <c r="C13" i="42"/>
  <c r="B13" i="42"/>
  <c r="D12" i="42"/>
  <c r="C12" i="42"/>
  <c r="B12" i="42"/>
  <c r="D11" i="42"/>
  <c r="C11" i="42"/>
  <c r="B11" i="42"/>
  <c r="D10" i="42"/>
  <c r="C10" i="42"/>
  <c r="B10" i="42"/>
  <c r="D9" i="42"/>
  <c r="C9" i="42"/>
  <c r="B9" i="42"/>
  <c r="D8" i="42"/>
  <c r="C8" i="42"/>
  <c r="B8" i="42"/>
  <c r="D7" i="42"/>
  <c r="C7" i="42"/>
  <c r="B7" i="42"/>
  <c r="D6" i="42"/>
  <c r="C6" i="42"/>
  <c r="B6" i="42"/>
  <c r="D5" i="42"/>
  <c r="C5" i="42"/>
  <c r="B5" i="42"/>
  <c r="D4" i="42"/>
  <c r="C4" i="42"/>
  <c r="B4" i="42"/>
  <c r="D3" i="42"/>
  <c r="C3" i="42"/>
  <c r="B3" i="42"/>
  <c r="D109" i="41"/>
  <c r="C109" i="41"/>
  <c r="B109" i="41"/>
  <c r="D108" i="41"/>
  <c r="C108" i="41"/>
  <c r="B108" i="41"/>
  <c r="D107" i="41"/>
  <c r="C107" i="41"/>
  <c r="B107" i="41"/>
  <c r="D106" i="41"/>
  <c r="C106" i="41"/>
  <c r="B106" i="41"/>
  <c r="D105" i="41"/>
  <c r="C105" i="41"/>
  <c r="B105" i="41"/>
  <c r="D104" i="41"/>
  <c r="C104" i="41"/>
  <c r="B104" i="41"/>
  <c r="D103" i="41"/>
  <c r="C103" i="41"/>
  <c r="B103" i="41"/>
  <c r="D102" i="41"/>
  <c r="C102" i="41"/>
  <c r="B102" i="41"/>
  <c r="D101" i="41"/>
  <c r="C101" i="41"/>
  <c r="B101" i="41"/>
  <c r="D100" i="41"/>
  <c r="C100" i="41"/>
  <c r="B100" i="41"/>
  <c r="D99" i="41"/>
  <c r="C99" i="41"/>
  <c r="B99" i="41"/>
  <c r="D98" i="41"/>
  <c r="C98" i="41"/>
  <c r="B98" i="41"/>
  <c r="D97" i="41"/>
  <c r="C97" i="41"/>
  <c r="B97" i="41"/>
  <c r="D96" i="41"/>
  <c r="C96" i="41"/>
  <c r="B96" i="41"/>
  <c r="D95" i="41"/>
  <c r="C95" i="41"/>
  <c r="B95" i="41"/>
  <c r="D94" i="41"/>
  <c r="C94" i="41"/>
  <c r="B94" i="41"/>
  <c r="D93" i="41"/>
  <c r="C93" i="41"/>
  <c r="B93" i="41"/>
  <c r="D92" i="41"/>
  <c r="C92" i="41"/>
  <c r="B92" i="41"/>
  <c r="D91" i="41"/>
  <c r="C91" i="41"/>
  <c r="B91" i="41"/>
  <c r="D90" i="41"/>
  <c r="C90" i="41"/>
  <c r="B90" i="41"/>
  <c r="D89" i="41"/>
  <c r="C89" i="41"/>
  <c r="B89" i="41"/>
  <c r="D88" i="41"/>
  <c r="C88" i="41"/>
  <c r="B88" i="41"/>
  <c r="D87" i="41"/>
  <c r="C87" i="41"/>
  <c r="B87" i="41"/>
  <c r="D86" i="41"/>
  <c r="C86" i="41"/>
  <c r="B86" i="41"/>
  <c r="D85" i="41"/>
  <c r="C85" i="41"/>
  <c r="B85" i="41"/>
  <c r="D84" i="41"/>
  <c r="C84" i="41"/>
  <c r="B84" i="41"/>
  <c r="D83" i="41"/>
  <c r="C83" i="41"/>
  <c r="B83" i="41"/>
  <c r="D82" i="41"/>
  <c r="C82" i="41"/>
  <c r="B82" i="41"/>
  <c r="D81" i="41"/>
  <c r="C81" i="41"/>
  <c r="B81" i="41"/>
  <c r="D80" i="41"/>
  <c r="C80" i="41"/>
  <c r="B80" i="41"/>
  <c r="D79" i="41"/>
  <c r="C79" i="41"/>
  <c r="B79" i="41"/>
  <c r="D78" i="41"/>
  <c r="C78" i="41"/>
  <c r="B78" i="41"/>
  <c r="D77" i="41"/>
  <c r="C77" i="41"/>
  <c r="B77" i="41"/>
  <c r="D76" i="41"/>
  <c r="C76" i="41"/>
  <c r="B76" i="41"/>
  <c r="D75" i="41"/>
  <c r="C75" i="41"/>
  <c r="B75" i="41"/>
  <c r="D74" i="41"/>
  <c r="C74" i="41"/>
  <c r="B74" i="41"/>
  <c r="D73" i="41"/>
  <c r="C73" i="41"/>
  <c r="B73" i="41"/>
  <c r="D72" i="41"/>
  <c r="C72" i="41"/>
  <c r="B72" i="41"/>
  <c r="D71" i="41"/>
  <c r="C71" i="41"/>
  <c r="B71" i="41"/>
  <c r="D70" i="41"/>
  <c r="C70" i="41"/>
  <c r="B70" i="41"/>
  <c r="D69" i="41"/>
  <c r="C69" i="41"/>
  <c r="B69" i="41"/>
  <c r="D68" i="41"/>
  <c r="C68" i="41"/>
  <c r="B68" i="41"/>
  <c r="D67" i="41"/>
  <c r="C67" i="41"/>
  <c r="B67" i="41"/>
  <c r="D66" i="41"/>
  <c r="C66" i="41"/>
  <c r="B66" i="41"/>
  <c r="D65" i="41"/>
  <c r="C65" i="41"/>
  <c r="B65" i="41"/>
  <c r="D64" i="41"/>
  <c r="C64" i="41"/>
  <c r="B64" i="41"/>
  <c r="D63" i="41"/>
  <c r="C63" i="41"/>
  <c r="B63" i="41"/>
  <c r="D62" i="41"/>
  <c r="C62" i="41"/>
  <c r="B62" i="41"/>
  <c r="D61" i="41"/>
  <c r="C61" i="41"/>
  <c r="B61" i="41"/>
  <c r="D60" i="41"/>
  <c r="C60" i="41"/>
  <c r="B60" i="41"/>
  <c r="D59" i="41"/>
  <c r="C59" i="41"/>
  <c r="B59" i="41"/>
  <c r="D58" i="41"/>
  <c r="C58" i="41"/>
  <c r="B58" i="41"/>
  <c r="D57" i="41"/>
  <c r="C57" i="41"/>
  <c r="B57" i="41"/>
  <c r="D56" i="41"/>
  <c r="C56" i="41"/>
  <c r="B56" i="41"/>
  <c r="D55" i="41"/>
  <c r="C55" i="41"/>
  <c r="B55" i="41"/>
  <c r="D54" i="41"/>
  <c r="C54" i="41"/>
  <c r="B54" i="41"/>
  <c r="D53" i="41"/>
  <c r="C53" i="41"/>
  <c r="B53" i="41"/>
  <c r="D52" i="41"/>
  <c r="C52" i="41"/>
  <c r="B52" i="41"/>
  <c r="D51" i="41"/>
  <c r="C51" i="41"/>
  <c r="B51" i="41"/>
  <c r="D50" i="41"/>
  <c r="C50" i="41"/>
  <c r="B50" i="41"/>
  <c r="D49" i="41"/>
  <c r="C49" i="41"/>
  <c r="B49" i="41"/>
  <c r="D48" i="41"/>
  <c r="C48" i="41"/>
  <c r="B48" i="41"/>
  <c r="D47" i="41"/>
  <c r="C47" i="41"/>
  <c r="B47" i="41"/>
  <c r="D46" i="41"/>
  <c r="C46" i="41"/>
  <c r="B46" i="41"/>
  <c r="D45" i="41"/>
  <c r="C45" i="41"/>
  <c r="B45" i="41"/>
  <c r="D44" i="41"/>
  <c r="C44" i="41"/>
  <c r="B44" i="41"/>
  <c r="D43" i="41"/>
  <c r="C43" i="41"/>
  <c r="B43" i="41"/>
  <c r="D42" i="41"/>
  <c r="C42" i="41"/>
  <c r="B42" i="41"/>
  <c r="D41" i="41"/>
  <c r="C41" i="41"/>
  <c r="B41" i="41"/>
  <c r="D40" i="41"/>
  <c r="C40" i="41"/>
  <c r="B40" i="41"/>
  <c r="D39" i="41"/>
  <c r="C39" i="41"/>
  <c r="B39" i="41"/>
  <c r="D38" i="41"/>
  <c r="C38" i="41"/>
  <c r="B38" i="41"/>
  <c r="D37" i="41"/>
  <c r="C37" i="41"/>
  <c r="B37" i="41"/>
  <c r="D36" i="41"/>
  <c r="C36" i="41"/>
  <c r="B36" i="41"/>
  <c r="D35" i="41"/>
  <c r="C35" i="41"/>
  <c r="B35" i="41"/>
  <c r="D34" i="41"/>
  <c r="C34" i="41"/>
  <c r="B34" i="41"/>
  <c r="D33" i="41"/>
  <c r="C33" i="41"/>
  <c r="B33" i="41"/>
  <c r="D32" i="41"/>
  <c r="C32" i="41"/>
  <c r="B32" i="41"/>
  <c r="D31" i="41"/>
  <c r="C31" i="41"/>
  <c r="B31" i="41"/>
  <c r="D30" i="41"/>
  <c r="C30" i="41"/>
  <c r="B30" i="41"/>
  <c r="D29" i="41"/>
  <c r="C29" i="41"/>
  <c r="B29" i="41"/>
  <c r="D28" i="41"/>
  <c r="C28" i="41"/>
  <c r="B28" i="41"/>
  <c r="D27" i="41"/>
  <c r="C27" i="41"/>
  <c r="B27" i="41"/>
  <c r="D26" i="41"/>
  <c r="C26" i="41"/>
  <c r="B26" i="41"/>
  <c r="D25" i="41"/>
  <c r="C25" i="41"/>
  <c r="B25" i="41"/>
  <c r="D24" i="41"/>
  <c r="C24" i="41"/>
  <c r="B24" i="41"/>
  <c r="D23" i="41"/>
  <c r="C23" i="41"/>
  <c r="B23" i="41"/>
  <c r="D22" i="41"/>
  <c r="C22" i="41"/>
  <c r="B22" i="41"/>
  <c r="D21" i="41"/>
  <c r="C21" i="41"/>
  <c r="B21" i="41"/>
  <c r="D20" i="41"/>
  <c r="C20" i="41"/>
  <c r="B20" i="41"/>
  <c r="D19" i="41"/>
  <c r="C19" i="41"/>
  <c r="B19" i="41"/>
  <c r="D18" i="41"/>
  <c r="C18" i="41"/>
  <c r="B18" i="41"/>
  <c r="D17" i="41"/>
  <c r="C17" i="41"/>
  <c r="B17" i="41"/>
  <c r="D16" i="41"/>
  <c r="C16" i="41"/>
  <c r="B16" i="41"/>
  <c r="D15" i="41"/>
  <c r="C15" i="41"/>
  <c r="B15" i="41"/>
  <c r="D14" i="41"/>
  <c r="C14" i="41"/>
  <c r="B14" i="41"/>
  <c r="D13" i="41"/>
  <c r="C13" i="41"/>
  <c r="B13" i="41"/>
  <c r="D12" i="41"/>
  <c r="C12" i="41"/>
  <c r="B12" i="41"/>
  <c r="D11" i="41"/>
  <c r="C11" i="41"/>
  <c r="B11" i="41"/>
  <c r="D10" i="41"/>
  <c r="C10" i="41"/>
  <c r="B10" i="41"/>
  <c r="D9" i="41"/>
  <c r="C9" i="41"/>
  <c r="B9" i="41"/>
  <c r="D8" i="41"/>
  <c r="C8" i="41"/>
  <c r="B8" i="41"/>
  <c r="D7" i="41"/>
  <c r="C7" i="41"/>
  <c r="B7" i="41"/>
  <c r="D6" i="41"/>
  <c r="C6" i="41"/>
  <c r="B6" i="41"/>
  <c r="D5" i="41"/>
  <c r="C5" i="41"/>
  <c r="B5" i="41"/>
  <c r="D4" i="41"/>
  <c r="C4" i="41"/>
  <c r="B4" i="41"/>
  <c r="D3" i="41"/>
  <c r="C3" i="41"/>
  <c r="B3" i="41"/>
  <c r="D109" i="40"/>
  <c r="C109" i="40"/>
  <c r="B109" i="40"/>
  <c r="D108" i="40"/>
  <c r="C108" i="40"/>
  <c r="B108" i="40"/>
  <c r="D107" i="40"/>
  <c r="C107" i="40"/>
  <c r="B107" i="40"/>
  <c r="D106" i="40"/>
  <c r="C106" i="40"/>
  <c r="B106" i="40"/>
  <c r="D105" i="40"/>
  <c r="C105" i="40"/>
  <c r="B105" i="40"/>
  <c r="D104" i="40"/>
  <c r="C104" i="40"/>
  <c r="B104" i="40"/>
  <c r="D103" i="40"/>
  <c r="C103" i="40"/>
  <c r="B103" i="40"/>
  <c r="D102" i="40"/>
  <c r="C102" i="40"/>
  <c r="B102" i="40"/>
  <c r="D101" i="40"/>
  <c r="C101" i="40"/>
  <c r="B101" i="40"/>
  <c r="D100" i="40"/>
  <c r="C100" i="40"/>
  <c r="B100" i="40"/>
  <c r="D99" i="40"/>
  <c r="C99" i="40"/>
  <c r="B99" i="40"/>
  <c r="D98" i="40"/>
  <c r="C98" i="40"/>
  <c r="B98" i="40"/>
  <c r="D97" i="40"/>
  <c r="C97" i="40"/>
  <c r="B97" i="40"/>
  <c r="D96" i="40"/>
  <c r="C96" i="40"/>
  <c r="B96" i="40"/>
  <c r="D95" i="40"/>
  <c r="C95" i="40"/>
  <c r="B95" i="40"/>
  <c r="D94" i="40"/>
  <c r="C94" i="40"/>
  <c r="B94" i="40"/>
  <c r="D93" i="40"/>
  <c r="C93" i="40"/>
  <c r="B93" i="40"/>
  <c r="D92" i="40"/>
  <c r="C92" i="40"/>
  <c r="B92" i="40"/>
  <c r="D91" i="40"/>
  <c r="C91" i="40"/>
  <c r="B91" i="40"/>
  <c r="D90" i="40"/>
  <c r="C90" i="40"/>
  <c r="B90" i="40"/>
  <c r="D89" i="40"/>
  <c r="C89" i="40"/>
  <c r="B89" i="40"/>
  <c r="D88" i="40"/>
  <c r="C88" i="40"/>
  <c r="B88" i="40"/>
  <c r="D87" i="40"/>
  <c r="C87" i="40"/>
  <c r="B87" i="40"/>
  <c r="D86" i="40"/>
  <c r="C86" i="40"/>
  <c r="B86" i="40"/>
  <c r="D85" i="40"/>
  <c r="C85" i="40"/>
  <c r="B85" i="40"/>
  <c r="D84" i="40"/>
  <c r="C84" i="40"/>
  <c r="B84" i="40"/>
  <c r="D83" i="40"/>
  <c r="C83" i="40"/>
  <c r="B83" i="40"/>
  <c r="D82" i="40"/>
  <c r="C82" i="40"/>
  <c r="B82" i="40"/>
  <c r="D81" i="40"/>
  <c r="C81" i="40"/>
  <c r="B81" i="40"/>
  <c r="D80" i="40"/>
  <c r="C80" i="40"/>
  <c r="B80" i="40"/>
  <c r="D79" i="40"/>
  <c r="C79" i="40"/>
  <c r="B79" i="40"/>
  <c r="D78" i="40"/>
  <c r="C78" i="40"/>
  <c r="B78" i="40"/>
  <c r="D77" i="40"/>
  <c r="C77" i="40"/>
  <c r="B77" i="40"/>
  <c r="D76" i="40"/>
  <c r="C76" i="40"/>
  <c r="B76" i="40"/>
  <c r="D75" i="40"/>
  <c r="C75" i="40"/>
  <c r="B75" i="40"/>
  <c r="D74" i="40"/>
  <c r="C74" i="40"/>
  <c r="B74" i="40"/>
  <c r="D73" i="40"/>
  <c r="C73" i="40"/>
  <c r="B73" i="40"/>
  <c r="D72" i="40"/>
  <c r="C72" i="40"/>
  <c r="B72" i="40"/>
  <c r="D71" i="40"/>
  <c r="C71" i="40"/>
  <c r="B71" i="40"/>
  <c r="D70" i="40"/>
  <c r="C70" i="40"/>
  <c r="B70" i="40"/>
  <c r="D69" i="40"/>
  <c r="C69" i="40"/>
  <c r="B69" i="40"/>
  <c r="D68" i="40"/>
  <c r="C68" i="40"/>
  <c r="B68" i="40"/>
  <c r="D67" i="40"/>
  <c r="C67" i="40"/>
  <c r="B67" i="40"/>
  <c r="D66" i="40"/>
  <c r="C66" i="40"/>
  <c r="B66" i="40"/>
  <c r="D65" i="40"/>
  <c r="C65" i="40"/>
  <c r="B65" i="40"/>
  <c r="D64" i="40"/>
  <c r="C64" i="40"/>
  <c r="B64" i="40"/>
  <c r="D63" i="40"/>
  <c r="C63" i="40"/>
  <c r="B63" i="40"/>
  <c r="D62" i="40"/>
  <c r="C62" i="40"/>
  <c r="B62" i="40"/>
  <c r="D61" i="40"/>
  <c r="C61" i="40"/>
  <c r="B61" i="40"/>
  <c r="D60" i="40"/>
  <c r="C60" i="40"/>
  <c r="B60" i="40"/>
  <c r="D59" i="40"/>
  <c r="C59" i="40"/>
  <c r="B59" i="40"/>
  <c r="D58" i="40"/>
  <c r="C58" i="40"/>
  <c r="B58" i="40"/>
  <c r="D57" i="40"/>
  <c r="C57" i="40"/>
  <c r="B57" i="40"/>
  <c r="D56" i="40"/>
  <c r="C56" i="40"/>
  <c r="B56" i="40"/>
  <c r="D55" i="40"/>
  <c r="C55" i="40"/>
  <c r="B55" i="40"/>
  <c r="D54" i="40"/>
  <c r="C54" i="40"/>
  <c r="B54" i="40"/>
  <c r="D53" i="40"/>
  <c r="C53" i="40"/>
  <c r="B53" i="40"/>
  <c r="D52" i="40"/>
  <c r="C52" i="40"/>
  <c r="B52" i="40"/>
  <c r="D51" i="40"/>
  <c r="C51" i="40"/>
  <c r="B51" i="40"/>
  <c r="D50" i="40"/>
  <c r="C50" i="40"/>
  <c r="B50" i="40"/>
  <c r="D49" i="40"/>
  <c r="C49" i="40"/>
  <c r="B49" i="40"/>
  <c r="D48" i="40"/>
  <c r="C48" i="40"/>
  <c r="B48" i="40"/>
  <c r="D47" i="40"/>
  <c r="C47" i="40"/>
  <c r="B47" i="40"/>
  <c r="D46" i="40"/>
  <c r="C46" i="40"/>
  <c r="B46" i="40"/>
  <c r="D45" i="40"/>
  <c r="C45" i="40"/>
  <c r="B45" i="40"/>
  <c r="D44" i="40"/>
  <c r="C44" i="40"/>
  <c r="B44" i="40"/>
  <c r="D43" i="40"/>
  <c r="C43" i="40"/>
  <c r="B43" i="40"/>
  <c r="D42" i="40"/>
  <c r="C42" i="40"/>
  <c r="B42" i="40"/>
  <c r="D41" i="40"/>
  <c r="C41" i="40"/>
  <c r="B41" i="40"/>
  <c r="D40" i="40"/>
  <c r="C40" i="40"/>
  <c r="B40" i="40"/>
  <c r="D39" i="40"/>
  <c r="C39" i="40"/>
  <c r="B39" i="40"/>
  <c r="D38" i="40"/>
  <c r="C38" i="40"/>
  <c r="B38" i="40"/>
  <c r="D37" i="40"/>
  <c r="C37" i="40"/>
  <c r="B37" i="40"/>
  <c r="D36" i="40"/>
  <c r="C36" i="40"/>
  <c r="B36" i="40"/>
  <c r="D35" i="40"/>
  <c r="C35" i="40"/>
  <c r="B35" i="40"/>
  <c r="D34" i="40"/>
  <c r="C34" i="40"/>
  <c r="B34" i="40"/>
  <c r="D33" i="40"/>
  <c r="C33" i="40"/>
  <c r="B33" i="40"/>
  <c r="D32" i="40"/>
  <c r="C32" i="40"/>
  <c r="B32" i="40"/>
  <c r="D31" i="40"/>
  <c r="C31" i="40"/>
  <c r="B31" i="40"/>
  <c r="D30" i="40"/>
  <c r="C30" i="40"/>
  <c r="B30" i="40"/>
  <c r="D29" i="40"/>
  <c r="C29" i="40"/>
  <c r="B29" i="40"/>
  <c r="D28" i="40"/>
  <c r="C28" i="40"/>
  <c r="B28" i="40"/>
  <c r="D27" i="40"/>
  <c r="C27" i="40"/>
  <c r="B27" i="40"/>
  <c r="D26" i="40"/>
  <c r="C26" i="40"/>
  <c r="B26" i="40"/>
  <c r="D25" i="40"/>
  <c r="C25" i="40"/>
  <c r="B25" i="40"/>
  <c r="D24" i="40"/>
  <c r="C24" i="40"/>
  <c r="B24" i="40"/>
  <c r="D23" i="40"/>
  <c r="C23" i="40"/>
  <c r="B23" i="40"/>
  <c r="D22" i="40"/>
  <c r="C22" i="40"/>
  <c r="B22" i="40"/>
  <c r="D21" i="40"/>
  <c r="C21" i="40"/>
  <c r="B21" i="40"/>
  <c r="D20" i="40"/>
  <c r="C20" i="40"/>
  <c r="B20" i="40"/>
  <c r="D19" i="40"/>
  <c r="C19" i="40"/>
  <c r="B19" i="40"/>
  <c r="D18" i="40"/>
  <c r="C18" i="40"/>
  <c r="B18" i="40"/>
  <c r="D17" i="40"/>
  <c r="C17" i="40"/>
  <c r="B17" i="40"/>
  <c r="D16" i="40"/>
  <c r="C16" i="40"/>
  <c r="B16" i="40"/>
  <c r="D15" i="40"/>
  <c r="C15" i="40"/>
  <c r="B15" i="40"/>
  <c r="D14" i="40"/>
  <c r="C14" i="40"/>
  <c r="B14" i="40"/>
  <c r="D13" i="40"/>
  <c r="C13" i="40"/>
  <c r="B13" i="40"/>
  <c r="D12" i="40"/>
  <c r="C12" i="40"/>
  <c r="B12" i="40"/>
  <c r="D11" i="40"/>
  <c r="C11" i="40"/>
  <c r="B11" i="40"/>
  <c r="D10" i="40"/>
  <c r="C10" i="40"/>
  <c r="B10" i="40"/>
  <c r="D9" i="40"/>
  <c r="C9" i="40"/>
  <c r="B9" i="40"/>
  <c r="D8" i="40"/>
  <c r="C8" i="40"/>
  <c r="B8" i="40"/>
  <c r="D7" i="40"/>
  <c r="C7" i="40"/>
  <c r="B7" i="40"/>
  <c r="D6" i="40"/>
  <c r="C6" i="40"/>
  <c r="B6" i="40"/>
  <c r="D5" i="40"/>
  <c r="C5" i="40"/>
  <c r="B5" i="40"/>
  <c r="D4" i="40"/>
  <c r="C4" i="40"/>
  <c r="B4" i="40"/>
  <c r="C3" i="40"/>
  <c r="B3" i="40"/>
  <c r="D109" i="39"/>
  <c r="C109" i="39"/>
  <c r="B109" i="39"/>
  <c r="D108" i="39"/>
  <c r="C108" i="39"/>
  <c r="B108" i="39"/>
  <c r="D107" i="39"/>
  <c r="C107" i="39"/>
  <c r="B107" i="39"/>
  <c r="D106" i="39"/>
  <c r="C106" i="39"/>
  <c r="B106" i="39"/>
  <c r="D105" i="39"/>
  <c r="C105" i="39"/>
  <c r="B105" i="39"/>
  <c r="D104" i="39"/>
  <c r="C104" i="39"/>
  <c r="B104" i="39"/>
  <c r="D103" i="39"/>
  <c r="C103" i="39"/>
  <c r="B103" i="39"/>
  <c r="D102" i="39"/>
  <c r="C102" i="39"/>
  <c r="B102" i="39"/>
  <c r="D101" i="39"/>
  <c r="C101" i="39"/>
  <c r="B101" i="39"/>
  <c r="D100" i="39"/>
  <c r="C100" i="39"/>
  <c r="B100" i="39"/>
  <c r="D99" i="39"/>
  <c r="C99" i="39"/>
  <c r="B99" i="39"/>
  <c r="D98" i="39"/>
  <c r="C98" i="39"/>
  <c r="B98" i="39"/>
  <c r="D97" i="39"/>
  <c r="C97" i="39"/>
  <c r="B97" i="39"/>
  <c r="D96" i="39"/>
  <c r="C96" i="39"/>
  <c r="B96" i="39"/>
  <c r="D95" i="39"/>
  <c r="C95" i="39"/>
  <c r="B95" i="39"/>
  <c r="D94" i="39"/>
  <c r="C94" i="39"/>
  <c r="B94" i="39"/>
  <c r="D93" i="39"/>
  <c r="C93" i="39"/>
  <c r="B93" i="39"/>
  <c r="D92" i="39"/>
  <c r="C92" i="39"/>
  <c r="B92" i="39"/>
  <c r="D91" i="39"/>
  <c r="C91" i="39"/>
  <c r="B91" i="39"/>
  <c r="D90" i="39"/>
  <c r="C90" i="39"/>
  <c r="B90" i="39"/>
  <c r="D89" i="39"/>
  <c r="C89" i="39"/>
  <c r="B89" i="39"/>
  <c r="D88" i="39"/>
  <c r="C88" i="39"/>
  <c r="B88" i="39"/>
  <c r="D87" i="39"/>
  <c r="C87" i="39"/>
  <c r="B87" i="39"/>
  <c r="D86" i="39"/>
  <c r="C86" i="39"/>
  <c r="B86" i="39"/>
  <c r="D85" i="39"/>
  <c r="C85" i="39"/>
  <c r="B85" i="39"/>
  <c r="D84" i="39"/>
  <c r="C84" i="39"/>
  <c r="B84" i="39"/>
  <c r="D83" i="39"/>
  <c r="C83" i="39"/>
  <c r="B83" i="39"/>
  <c r="D82" i="39"/>
  <c r="C82" i="39"/>
  <c r="B82" i="39"/>
  <c r="D81" i="39"/>
  <c r="C81" i="39"/>
  <c r="B81" i="39"/>
  <c r="D80" i="39"/>
  <c r="C80" i="39"/>
  <c r="B80" i="39"/>
  <c r="D79" i="39"/>
  <c r="C79" i="39"/>
  <c r="B79" i="39"/>
  <c r="D78" i="39"/>
  <c r="C78" i="39"/>
  <c r="B78" i="39"/>
  <c r="D77" i="39"/>
  <c r="C77" i="39"/>
  <c r="B77" i="39"/>
  <c r="D76" i="39"/>
  <c r="C76" i="39"/>
  <c r="B76" i="39"/>
  <c r="D75" i="39"/>
  <c r="C75" i="39"/>
  <c r="B75" i="39"/>
  <c r="D74" i="39"/>
  <c r="C74" i="39"/>
  <c r="B74" i="39"/>
  <c r="D73" i="39"/>
  <c r="C73" i="39"/>
  <c r="B73" i="39"/>
  <c r="D72" i="39"/>
  <c r="C72" i="39"/>
  <c r="B72" i="39"/>
  <c r="D71" i="39"/>
  <c r="C71" i="39"/>
  <c r="B71" i="39"/>
  <c r="D70" i="39"/>
  <c r="C70" i="39"/>
  <c r="B70" i="39"/>
  <c r="D69" i="39"/>
  <c r="C69" i="39"/>
  <c r="B69" i="39"/>
  <c r="D68" i="39"/>
  <c r="C68" i="39"/>
  <c r="B68" i="39"/>
  <c r="D67" i="39"/>
  <c r="C67" i="39"/>
  <c r="B67" i="39"/>
  <c r="D66" i="39"/>
  <c r="C66" i="39"/>
  <c r="B66" i="39"/>
  <c r="D65" i="39"/>
  <c r="C65" i="39"/>
  <c r="B65" i="39"/>
  <c r="D64" i="39"/>
  <c r="C64" i="39"/>
  <c r="B64" i="39"/>
  <c r="D63" i="39"/>
  <c r="C63" i="39"/>
  <c r="B63" i="39"/>
  <c r="D62" i="39"/>
  <c r="C62" i="39"/>
  <c r="B62" i="39"/>
  <c r="D61" i="39"/>
  <c r="C61" i="39"/>
  <c r="B61" i="39"/>
  <c r="D60" i="39"/>
  <c r="C60" i="39"/>
  <c r="B60" i="39"/>
  <c r="D59" i="39"/>
  <c r="C59" i="39"/>
  <c r="B59" i="39"/>
  <c r="D58" i="39"/>
  <c r="C58" i="39"/>
  <c r="B58" i="39"/>
  <c r="D57" i="39"/>
  <c r="C57" i="39"/>
  <c r="B57" i="39"/>
  <c r="D56" i="39"/>
  <c r="C56" i="39"/>
  <c r="B56" i="39"/>
  <c r="D55" i="39"/>
  <c r="C55" i="39"/>
  <c r="B55" i="39"/>
  <c r="D54" i="39"/>
  <c r="C54" i="39"/>
  <c r="B54" i="39"/>
  <c r="D53" i="39"/>
  <c r="C53" i="39"/>
  <c r="B53" i="39"/>
  <c r="D52" i="39"/>
  <c r="C52" i="39"/>
  <c r="B52" i="39"/>
  <c r="D51" i="39"/>
  <c r="C51" i="39"/>
  <c r="B51" i="39"/>
  <c r="D50" i="39"/>
  <c r="C50" i="39"/>
  <c r="B50" i="39"/>
  <c r="D49" i="39"/>
  <c r="C49" i="39"/>
  <c r="B49" i="39"/>
  <c r="D48" i="39"/>
  <c r="C48" i="39"/>
  <c r="B48" i="39"/>
  <c r="D47" i="39"/>
  <c r="C47" i="39"/>
  <c r="B47" i="39"/>
  <c r="D46" i="39"/>
  <c r="C46" i="39"/>
  <c r="B46" i="39"/>
  <c r="D45" i="39"/>
  <c r="C45" i="39"/>
  <c r="B45" i="39"/>
  <c r="D44" i="39"/>
  <c r="C44" i="39"/>
  <c r="B44" i="39"/>
  <c r="D43" i="39"/>
  <c r="C43" i="39"/>
  <c r="B43" i="39"/>
  <c r="D42" i="39"/>
  <c r="C42" i="39"/>
  <c r="B42" i="39"/>
  <c r="D41" i="39"/>
  <c r="C41" i="39"/>
  <c r="B41" i="39"/>
  <c r="D40" i="39"/>
  <c r="C40" i="39"/>
  <c r="B40" i="39"/>
  <c r="D39" i="39"/>
  <c r="C39" i="39"/>
  <c r="B39" i="39"/>
  <c r="D38" i="39"/>
  <c r="C38" i="39"/>
  <c r="B38" i="39"/>
  <c r="D37" i="39"/>
  <c r="C37" i="39"/>
  <c r="B37" i="39"/>
  <c r="D36" i="39"/>
  <c r="C36" i="39"/>
  <c r="B36" i="39"/>
  <c r="D35" i="39"/>
  <c r="C35" i="39"/>
  <c r="B35" i="39"/>
  <c r="D34" i="39"/>
  <c r="C34" i="39"/>
  <c r="B34" i="39"/>
  <c r="D33" i="39"/>
  <c r="C33" i="39"/>
  <c r="B33" i="39"/>
  <c r="D32" i="39"/>
  <c r="C32" i="39"/>
  <c r="B32" i="39"/>
  <c r="D31" i="39"/>
  <c r="C31" i="39"/>
  <c r="B31" i="39"/>
  <c r="D30" i="39"/>
  <c r="C30" i="39"/>
  <c r="B30" i="39"/>
  <c r="D29" i="39"/>
  <c r="C29" i="39"/>
  <c r="B29" i="39"/>
  <c r="D28" i="39"/>
  <c r="C28" i="39"/>
  <c r="B28" i="39"/>
  <c r="D27" i="39"/>
  <c r="C27" i="39"/>
  <c r="B27" i="39"/>
  <c r="D26" i="39"/>
  <c r="C26" i="39"/>
  <c r="B26" i="39"/>
  <c r="D25" i="39"/>
  <c r="C25" i="39"/>
  <c r="B25" i="39"/>
  <c r="D24" i="39"/>
  <c r="C24" i="39"/>
  <c r="B24" i="39"/>
  <c r="D23" i="39"/>
  <c r="C23" i="39"/>
  <c r="B23" i="39"/>
  <c r="D22" i="39"/>
  <c r="C22" i="39"/>
  <c r="B22" i="39"/>
  <c r="D21" i="39"/>
  <c r="C21" i="39"/>
  <c r="B21" i="39"/>
  <c r="D20" i="39"/>
  <c r="C20" i="39"/>
  <c r="B20" i="39"/>
  <c r="D19" i="39"/>
  <c r="C19" i="39"/>
  <c r="B19" i="39"/>
  <c r="D18" i="39"/>
  <c r="C18" i="39"/>
  <c r="B18" i="39"/>
  <c r="D17" i="39"/>
  <c r="C17" i="39"/>
  <c r="B17" i="39"/>
  <c r="D16" i="39"/>
  <c r="C16" i="39"/>
  <c r="B16" i="39"/>
  <c r="D15" i="39"/>
  <c r="C15" i="39"/>
  <c r="B15" i="39"/>
  <c r="D14" i="39"/>
  <c r="C14" i="39"/>
  <c r="B14" i="39"/>
  <c r="D13" i="39"/>
  <c r="C13" i="39"/>
  <c r="B13" i="39"/>
  <c r="D12" i="39"/>
  <c r="C12" i="39"/>
  <c r="B12" i="39"/>
  <c r="D11" i="39"/>
  <c r="C11" i="39"/>
  <c r="B11" i="39"/>
  <c r="D10" i="39"/>
  <c r="C10" i="39"/>
  <c r="B10" i="39"/>
  <c r="D9" i="39"/>
  <c r="C9" i="39"/>
  <c r="B9" i="39"/>
  <c r="D8" i="39"/>
  <c r="C8" i="39"/>
  <c r="B8" i="39"/>
  <c r="D7" i="39"/>
  <c r="C7" i="39"/>
  <c r="B7" i="39"/>
  <c r="D6" i="39"/>
  <c r="C6" i="39"/>
  <c r="B6" i="39"/>
  <c r="D5" i="39"/>
  <c r="C5" i="39"/>
  <c r="B5" i="39"/>
  <c r="D4" i="39"/>
  <c r="C4" i="39"/>
  <c r="B4" i="39"/>
  <c r="D3" i="39"/>
  <c r="C3" i="39"/>
  <c r="B3" i="39"/>
  <c r="F6" i="37" l="1"/>
  <c r="AU9" i="37"/>
  <c r="D3" i="11"/>
  <c r="C3" i="11"/>
  <c r="B3" i="11"/>
  <c r="D113" i="37" l="1"/>
  <c r="B113" i="37"/>
  <c r="C113" i="37" s="1"/>
  <c r="D112" i="37"/>
  <c r="B112" i="37"/>
  <c r="C112" i="37" s="1"/>
  <c r="D111" i="37"/>
  <c r="B111" i="37"/>
  <c r="C111" i="37" s="1"/>
  <c r="D110" i="37"/>
  <c r="B110" i="37"/>
  <c r="C110" i="37" s="1"/>
  <c r="D109" i="37"/>
  <c r="B109" i="37"/>
  <c r="C109" i="37" s="1"/>
  <c r="D108" i="37"/>
  <c r="B108" i="37"/>
  <c r="C108" i="37" s="1"/>
  <c r="D107" i="37"/>
  <c r="B107" i="37"/>
  <c r="C107" i="37" s="1"/>
  <c r="D106" i="37"/>
  <c r="B106" i="37"/>
  <c r="C106" i="37" s="1"/>
  <c r="D105" i="37"/>
  <c r="B105" i="37"/>
  <c r="C105" i="37" s="1"/>
  <c r="D104" i="37"/>
  <c r="B104" i="37"/>
  <c r="C104" i="37" s="1"/>
  <c r="D103" i="37"/>
  <c r="B103" i="37"/>
  <c r="C103" i="37" s="1"/>
  <c r="D102" i="37"/>
  <c r="B102" i="37"/>
  <c r="C102" i="37" s="1"/>
  <c r="D101" i="37"/>
  <c r="B101" i="37"/>
  <c r="C101" i="37" s="1"/>
  <c r="D100" i="37"/>
  <c r="B100" i="37"/>
  <c r="C100" i="37" s="1"/>
  <c r="D99" i="37"/>
  <c r="B99" i="37"/>
  <c r="C99" i="37" s="1"/>
  <c r="D98" i="37"/>
  <c r="B98" i="37"/>
  <c r="C98" i="37" s="1"/>
  <c r="D97" i="37"/>
  <c r="B97" i="37"/>
  <c r="C97" i="37" s="1"/>
  <c r="D96" i="37"/>
  <c r="B96" i="37"/>
  <c r="C96" i="37" s="1"/>
  <c r="D95" i="37"/>
  <c r="B95" i="37"/>
  <c r="C95" i="37" s="1"/>
  <c r="D94" i="37"/>
  <c r="B94" i="37"/>
  <c r="C94" i="37" s="1"/>
  <c r="D93" i="37"/>
  <c r="B93" i="37"/>
  <c r="C93" i="37" s="1"/>
  <c r="D92" i="37"/>
  <c r="B92" i="37"/>
  <c r="C92" i="37" s="1"/>
  <c r="D91" i="37"/>
  <c r="B91" i="37"/>
  <c r="C91" i="37" s="1"/>
  <c r="D90" i="37"/>
  <c r="B90" i="37"/>
  <c r="C90" i="37" s="1"/>
  <c r="D89" i="37"/>
  <c r="B89" i="37"/>
  <c r="C89" i="37" s="1"/>
  <c r="D88" i="37"/>
  <c r="B88" i="37"/>
  <c r="C88" i="37" s="1"/>
  <c r="D87" i="37"/>
  <c r="B87" i="37"/>
  <c r="C87" i="37" s="1"/>
  <c r="D86" i="37"/>
  <c r="B86" i="37"/>
  <c r="C86" i="37" s="1"/>
  <c r="D85" i="37"/>
  <c r="B85" i="37"/>
  <c r="C85" i="37" s="1"/>
  <c r="D84" i="37"/>
  <c r="B84" i="37"/>
  <c r="C84" i="37" s="1"/>
  <c r="D83" i="37"/>
  <c r="B83" i="37"/>
  <c r="C83" i="37" s="1"/>
  <c r="D82" i="37"/>
  <c r="B82" i="37"/>
  <c r="C82" i="37" s="1"/>
  <c r="D81" i="37"/>
  <c r="B81" i="37"/>
  <c r="C81" i="37" s="1"/>
  <c r="D80" i="37"/>
  <c r="B80" i="37"/>
  <c r="C80" i="37" s="1"/>
  <c r="D79" i="37"/>
  <c r="B79" i="37"/>
  <c r="C79" i="37" s="1"/>
  <c r="D78" i="37"/>
  <c r="B78" i="37"/>
  <c r="C78" i="37" s="1"/>
  <c r="D77" i="37"/>
  <c r="B77" i="37"/>
  <c r="C77" i="37" s="1"/>
  <c r="D76" i="37"/>
  <c r="B76" i="37"/>
  <c r="C76" i="37" s="1"/>
  <c r="D75" i="37"/>
  <c r="B75" i="37"/>
  <c r="C75" i="37" s="1"/>
  <c r="D74" i="37"/>
  <c r="B74" i="37"/>
  <c r="C74" i="37" s="1"/>
  <c r="D73" i="37"/>
  <c r="B73" i="37"/>
  <c r="C73" i="37" s="1"/>
  <c r="D72" i="37"/>
  <c r="B72" i="37"/>
  <c r="C72" i="37" s="1"/>
  <c r="D71" i="37"/>
  <c r="B71" i="37"/>
  <c r="C71" i="37" s="1"/>
  <c r="D70" i="37"/>
  <c r="B70" i="37"/>
  <c r="C70" i="37" s="1"/>
  <c r="D69" i="37"/>
  <c r="B69" i="37"/>
  <c r="C69" i="37" s="1"/>
  <c r="D68" i="37"/>
  <c r="B68" i="37"/>
  <c r="C68" i="37" s="1"/>
  <c r="D67" i="37"/>
  <c r="B67" i="37"/>
  <c r="C67" i="37" s="1"/>
  <c r="D66" i="37"/>
  <c r="B66" i="37"/>
  <c r="C66" i="37" s="1"/>
  <c r="D65" i="37"/>
  <c r="B65" i="37"/>
  <c r="C65" i="37" s="1"/>
  <c r="D64" i="37"/>
  <c r="B64" i="37"/>
  <c r="C64" i="37" s="1"/>
  <c r="D63" i="37"/>
  <c r="B63" i="37"/>
  <c r="C63" i="37" s="1"/>
  <c r="D62" i="37"/>
  <c r="B62" i="37"/>
  <c r="C62" i="37" s="1"/>
  <c r="D61" i="37"/>
  <c r="B61" i="37"/>
  <c r="C61" i="37" s="1"/>
  <c r="D60" i="37"/>
  <c r="B60" i="37"/>
  <c r="C60" i="37" s="1"/>
  <c r="D59" i="37"/>
  <c r="B59" i="37"/>
  <c r="C59" i="37" s="1"/>
  <c r="D58" i="37"/>
  <c r="B58" i="37"/>
  <c r="C58" i="37" s="1"/>
  <c r="D57" i="37"/>
  <c r="B57" i="37"/>
  <c r="C57" i="37" s="1"/>
  <c r="D56" i="37"/>
  <c r="B56" i="37"/>
  <c r="C56" i="37" s="1"/>
  <c r="D55" i="37"/>
  <c r="B55" i="37"/>
  <c r="C55" i="37" s="1"/>
  <c r="D54" i="37"/>
  <c r="B54" i="37"/>
  <c r="C54" i="37" s="1"/>
  <c r="D53" i="37"/>
  <c r="B53" i="37"/>
  <c r="C53" i="37" s="1"/>
  <c r="D52" i="37"/>
  <c r="B52" i="37"/>
  <c r="C52" i="37" s="1"/>
  <c r="D51" i="37"/>
  <c r="B51" i="37"/>
  <c r="C51" i="37" s="1"/>
  <c r="D50" i="37"/>
  <c r="B50" i="37"/>
  <c r="C50" i="37" s="1"/>
  <c r="D49" i="37"/>
  <c r="B49" i="37"/>
  <c r="C49" i="37" s="1"/>
  <c r="D48" i="37"/>
  <c r="B48" i="37"/>
  <c r="C48" i="37" s="1"/>
  <c r="D47" i="37"/>
  <c r="B47" i="37"/>
  <c r="C47" i="37" s="1"/>
  <c r="D46" i="37"/>
  <c r="B46" i="37"/>
  <c r="C46" i="37" s="1"/>
  <c r="D45" i="37"/>
  <c r="B45" i="37"/>
  <c r="C45" i="37" s="1"/>
  <c r="D44" i="37"/>
  <c r="B44" i="37"/>
  <c r="C44" i="37" s="1"/>
  <c r="D43" i="37"/>
  <c r="B43" i="37"/>
  <c r="C43" i="37" s="1"/>
  <c r="D42" i="37"/>
  <c r="B42" i="37"/>
  <c r="C42" i="37" s="1"/>
  <c r="D41" i="37"/>
  <c r="B41" i="37"/>
  <c r="C41" i="37" s="1"/>
  <c r="D40" i="37"/>
  <c r="B40" i="37"/>
  <c r="C40" i="37" s="1"/>
  <c r="D39" i="37"/>
  <c r="B39" i="37"/>
  <c r="C39" i="37" s="1"/>
  <c r="D38" i="37"/>
  <c r="B38" i="37"/>
  <c r="C38" i="37" s="1"/>
  <c r="D37" i="37"/>
  <c r="B37" i="37"/>
  <c r="C37" i="37" s="1"/>
  <c r="D36" i="37"/>
  <c r="B36" i="37"/>
  <c r="C36" i="37" s="1"/>
  <c r="D35" i="37"/>
  <c r="B35" i="37"/>
  <c r="C35" i="37" s="1"/>
  <c r="D34" i="37"/>
  <c r="B34" i="37"/>
  <c r="C34" i="37" s="1"/>
  <c r="D33" i="37"/>
  <c r="B33" i="37"/>
  <c r="C33" i="37" s="1"/>
  <c r="D32" i="37"/>
  <c r="B32" i="37"/>
  <c r="C32" i="37" s="1"/>
  <c r="D31" i="37"/>
  <c r="B31" i="37"/>
  <c r="C31" i="37" s="1"/>
  <c r="D30" i="37"/>
  <c r="B30" i="37"/>
  <c r="C30" i="37" s="1"/>
  <c r="D29" i="37"/>
  <c r="B29" i="37"/>
  <c r="C29" i="37" s="1"/>
  <c r="D28" i="37"/>
  <c r="B28" i="37"/>
  <c r="C28" i="37" s="1"/>
  <c r="D27" i="37"/>
  <c r="B27" i="37"/>
  <c r="C27" i="37" s="1"/>
  <c r="D26" i="37"/>
  <c r="B26" i="37"/>
  <c r="C26" i="37" s="1"/>
  <c r="D25" i="37"/>
  <c r="B25" i="37"/>
  <c r="C25" i="37" s="1"/>
  <c r="D24" i="37"/>
  <c r="B24" i="37"/>
  <c r="C24" i="37" s="1"/>
  <c r="D23" i="37"/>
  <c r="B23" i="37"/>
  <c r="C23" i="37" s="1"/>
  <c r="D22" i="37"/>
  <c r="B22" i="37"/>
  <c r="C22" i="37" s="1"/>
  <c r="D21" i="37"/>
  <c r="B21" i="37"/>
  <c r="C21" i="37" s="1"/>
  <c r="D20" i="37"/>
  <c r="B20" i="37"/>
  <c r="C20" i="37" s="1"/>
  <c r="D19" i="37"/>
  <c r="B19" i="37"/>
  <c r="C19" i="37" s="1"/>
  <c r="D18" i="37"/>
  <c r="B18" i="37"/>
  <c r="C18" i="37" s="1"/>
  <c r="D17" i="37"/>
  <c r="B17" i="37"/>
  <c r="C17" i="37" s="1"/>
  <c r="D16" i="37"/>
  <c r="B16" i="37"/>
  <c r="C16" i="37" s="1"/>
  <c r="D15" i="37"/>
  <c r="B15" i="37"/>
  <c r="C15" i="37" s="1"/>
  <c r="D14" i="37"/>
  <c r="B14" i="37"/>
  <c r="C14" i="37" s="1"/>
  <c r="D13" i="37"/>
  <c r="B13" i="37"/>
  <c r="C13" i="37" s="1"/>
  <c r="D12" i="37"/>
  <c r="B12" i="37"/>
  <c r="C12" i="37" s="1"/>
  <c r="D11" i="37"/>
  <c r="B11" i="37"/>
  <c r="C11" i="37" s="1"/>
  <c r="D10" i="37"/>
  <c r="B10" i="37"/>
  <c r="C10" i="37" s="1"/>
  <c r="D9" i="37"/>
  <c r="B9" i="37"/>
  <c r="C9" i="37" s="1"/>
  <c r="D8" i="37"/>
  <c r="B8" i="37"/>
  <c r="C8" i="37" s="1"/>
  <c r="D7" i="37"/>
  <c r="B7" i="37"/>
  <c r="D3" i="12"/>
  <c r="C3" i="12"/>
  <c r="B3" i="12"/>
  <c r="D3" i="14"/>
  <c r="C3" i="14"/>
  <c r="B3" i="14"/>
  <c r="D3" i="15"/>
  <c r="C3" i="15"/>
  <c r="B3" i="15"/>
  <c r="D3" i="16"/>
  <c r="C3" i="16"/>
  <c r="B3" i="16"/>
  <c r="D3" i="13"/>
  <c r="C3" i="13"/>
  <c r="B3" i="13"/>
  <c r="D3" i="17"/>
  <c r="C3" i="17"/>
  <c r="B3" i="17"/>
  <c r="D3" i="18"/>
  <c r="C3" i="18"/>
  <c r="B3" i="18"/>
  <c r="D3" i="19"/>
  <c r="C3" i="19"/>
  <c r="B3" i="19"/>
  <c r="D3" i="20"/>
  <c r="C3" i="20"/>
  <c r="B3" i="20"/>
  <c r="D3" i="21"/>
  <c r="C3" i="21"/>
  <c r="B3" i="21"/>
  <c r="D3" i="22"/>
  <c r="C3" i="22"/>
  <c r="B3" i="22"/>
  <c r="D3" i="23"/>
  <c r="C3" i="23"/>
  <c r="B3" i="23"/>
  <c r="D3" i="24"/>
  <c r="C3" i="24"/>
  <c r="B3" i="24"/>
  <c r="D3" i="25"/>
  <c r="C3" i="25"/>
  <c r="B3" i="25"/>
  <c r="D3" i="26"/>
  <c r="C3" i="26"/>
  <c r="B3" i="26"/>
  <c r="D3" i="27"/>
  <c r="C3" i="27"/>
  <c r="B3" i="27"/>
  <c r="D3" i="28"/>
  <c r="C3" i="28"/>
  <c r="B3" i="28"/>
  <c r="D3" i="29"/>
  <c r="C3" i="29"/>
  <c r="B3" i="29"/>
  <c r="D109" i="35"/>
  <c r="C109" i="35"/>
  <c r="B109" i="35"/>
  <c r="D108" i="35"/>
  <c r="C108" i="35"/>
  <c r="B108" i="35"/>
  <c r="D107" i="35"/>
  <c r="C107" i="35"/>
  <c r="B107" i="35"/>
  <c r="D106" i="35"/>
  <c r="C106" i="35"/>
  <c r="B106" i="35"/>
  <c r="D105" i="35"/>
  <c r="C105" i="35"/>
  <c r="B105" i="35"/>
  <c r="D104" i="35"/>
  <c r="C104" i="35"/>
  <c r="B104" i="35"/>
  <c r="D103" i="35"/>
  <c r="C103" i="35"/>
  <c r="B103" i="35"/>
  <c r="D102" i="35"/>
  <c r="C102" i="35"/>
  <c r="B102" i="35"/>
  <c r="D101" i="35"/>
  <c r="C101" i="35"/>
  <c r="B101" i="35"/>
  <c r="D100" i="35"/>
  <c r="C100" i="35"/>
  <c r="B100" i="35"/>
  <c r="D99" i="35"/>
  <c r="C99" i="35"/>
  <c r="B99" i="35"/>
  <c r="D98" i="35"/>
  <c r="C98" i="35"/>
  <c r="B98" i="35"/>
  <c r="D97" i="35"/>
  <c r="C97" i="35"/>
  <c r="B97" i="35"/>
  <c r="D96" i="35"/>
  <c r="C96" i="35"/>
  <c r="B96" i="35"/>
  <c r="D95" i="35"/>
  <c r="C95" i="35"/>
  <c r="B95" i="35"/>
  <c r="D94" i="35"/>
  <c r="C94" i="35"/>
  <c r="B94" i="35"/>
  <c r="D93" i="35"/>
  <c r="C93" i="35"/>
  <c r="B93" i="35"/>
  <c r="D92" i="35"/>
  <c r="C92" i="35"/>
  <c r="B92" i="35"/>
  <c r="D91" i="35"/>
  <c r="C91" i="35"/>
  <c r="B91" i="35"/>
  <c r="D90" i="35"/>
  <c r="C90" i="35"/>
  <c r="B90" i="35"/>
  <c r="D89" i="35"/>
  <c r="C89" i="35"/>
  <c r="B89" i="35"/>
  <c r="D88" i="35"/>
  <c r="C88" i="35"/>
  <c r="B88" i="35"/>
  <c r="D87" i="35"/>
  <c r="C87" i="35"/>
  <c r="B87" i="35"/>
  <c r="D86" i="35"/>
  <c r="C86" i="35"/>
  <c r="B86" i="35"/>
  <c r="D85" i="35"/>
  <c r="C85" i="35"/>
  <c r="B85" i="35"/>
  <c r="D84" i="35"/>
  <c r="C84" i="35"/>
  <c r="B84" i="35"/>
  <c r="D83" i="35"/>
  <c r="C83" i="35"/>
  <c r="B83" i="35"/>
  <c r="D82" i="35"/>
  <c r="C82" i="35"/>
  <c r="B82" i="35"/>
  <c r="D81" i="35"/>
  <c r="C81" i="35"/>
  <c r="B81" i="35"/>
  <c r="D80" i="35"/>
  <c r="C80" i="35"/>
  <c r="B80" i="35"/>
  <c r="D79" i="35"/>
  <c r="C79" i="35"/>
  <c r="B79" i="35"/>
  <c r="D78" i="35"/>
  <c r="C78" i="35"/>
  <c r="B78" i="35"/>
  <c r="D77" i="35"/>
  <c r="C77" i="35"/>
  <c r="B77" i="35"/>
  <c r="D76" i="35"/>
  <c r="C76" i="35"/>
  <c r="B76" i="35"/>
  <c r="D75" i="35"/>
  <c r="C75" i="35"/>
  <c r="B75" i="35"/>
  <c r="D74" i="35"/>
  <c r="C74" i="35"/>
  <c r="B74" i="35"/>
  <c r="D73" i="35"/>
  <c r="C73" i="35"/>
  <c r="B73" i="35"/>
  <c r="D72" i="35"/>
  <c r="C72" i="35"/>
  <c r="B72" i="35"/>
  <c r="D71" i="35"/>
  <c r="C71" i="35"/>
  <c r="B71" i="35"/>
  <c r="D70" i="35"/>
  <c r="C70" i="35"/>
  <c r="B70" i="35"/>
  <c r="D69" i="35"/>
  <c r="C69" i="35"/>
  <c r="B69" i="35"/>
  <c r="D68" i="35"/>
  <c r="C68" i="35"/>
  <c r="B68" i="35"/>
  <c r="D67" i="35"/>
  <c r="C67" i="35"/>
  <c r="B67" i="35"/>
  <c r="D66" i="35"/>
  <c r="C66" i="35"/>
  <c r="B66" i="35"/>
  <c r="D65" i="35"/>
  <c r="C65" i="35"/>
  <c r="B65" i="35"/>
  <c r="D64" i="35"/>
  <c r="C64" i="35"/>
  <c r="B64" i="35"/>
  <c r="D63" i="35"/>
  <c r="C63" i="35"/>
  <c r="B63" i="35"/>
  <c r="D62" i="35"/>
  <c r="C62" i="35"/>
  <c r="B62" i="35"/>
  <c r="D61" i="35"/>
  <c r="C61" i="35"/>
  <c r="B61" i="35"/>
  <c r="D60" i="35"/>
  <c r="C60" i="35"/>
  <c r="B60" i="35"/>
  <c r="D59" i="35"/>
  <c r="C59" i="35"/>
  <c r="B59" i="35"/>
  <c r="D58" i="35"/>
  <c r="C58" i="35"/>
  <c r="B58" i="35"/>
  <c r="D57" i="35"/>
  <c r="C57" i="35"/>
  <c r="B57" i="35"/>
  <c r="D56" i="35"/>
  <c r="C56" i="35"/>
  <c r="B56" i="35"/>
  <c r="D55" i="35"/>
  <c r="C55" i="35"/>
  <c r="B55" i="35"/>
  <c r="D54" i="35"/>
  <c r="C54" i="35"/>
  <c r="B54" i="35"/>
  <c r="D53" i="35"/>
  <c r="C53" i="35"/>
  <c r="B53" i="35"/>
  <c r="D52" i="35"/>
  <c r="C52" i="35"/>
  <c r="B52" i="35"/>
  <c r="D51" i="35"/>
  <c r="C51" i="35"/>
  <c r="B51" i="35"/>
  <c r="D50" i="35"/>
  <c r="C50" i="35"/>
  <c r="B50" i="35"/>
  <c r="D49" i="35"/>
  <c r="C49" i="35"/>
  <c r="B49" i="35"/>
  <c r="D48" i="35"/>
  <c r="C48" i="35"/>
  <c r="B48" i="35"/>
  <c r="D47" i="35"/>
  <c r="C47" i="35"/>
  <c r="B47" i="35"/>
  <c r="D46" i="35"/>
  <c r="C46" i="35"/>
  <c r="B46" i="35"/>
  <c r="D45" i="35"/>
  <c r="C45" i="35"/>
  <c r="B45" i="35"/>
  <c r="D44" i="35"/>
  <c r="C44" i="35"/>
  <c r="B44" i="35"/>
  <c r="D43" i="35"/>
  <c r="C43" i="35"/>
  <c r="B43" i="35"/>
  <c r="D42" i="35"/>
  <c r="C42" i="35"/>
  <c r="B42" i="35"/>
  <c r="D41" i="35"/>
  <c r="C41" i="35"/>
  <c r="B41" i="35"/>
  <c r="D40" i="35"/>
  <c r="C40" i="35"/>
  <c r="B40" i="35"/>
  <c r="D39" i="35"/>
  <c r="C39" i="35"/>
  <c r="B39" i="35"/>
  <c r="D38" i="35"/>
  <c r="C38" i="35"/>
  <c r="B38" i="35"/>
  <c r="D37" i="35"/>
  <c r="C37" i="35"/>
  <c r="B37" i="35"/>
  <c r="D36" i="35"/>
  <c r="C36" i="35"/>
  <c r="B36" i="35"/>
  <c r="D35" i="35"/>
  <c r="C35" i="35"/>
  <c r="B35" i="35"/>
  <c r="D34" i="35"/>
  <c r="C34" i="35"/>
  <c r="B34" i="35"/>
  <c r="D33" i="35"/>
  <c r="C33" i="35"/>
  <c r="B33" i="35"/>
  <c r="D32" i="35"/>
  <c r="C32" i="35"/>
  <c r="B32" i="35"/>
  <c r="D31" i="35"/>
  <c r="C31" i="35"/>
  <c r="B31" i="35"/>
  <c r="D30" i="35"/>
  <c r="C30" i="35"/>
  <c r="B30" i="35"/>
  <c r="D29" i="35"/>
  <c r="C29" i="35"/>
  <c r="B29" i="35"/>
  <c r="D28" i="35"/>
  <c r="C28" i="35"/>
  <c r="B28" i="35"/>
  <c r="D27" i="35"/>
  <c r="C27" i="35"/>
  <c r="B27" i="35"/>
  <c r="D26" i="35"/>
  <c r="C26" i="35"/>
  <c r="B26" i="35"/>
  <c r="D25" i="35"/>
  <c r="C25" i="35"/>
  <c r="B25" i="35"/>
  <c r="D24" i="35"/>
  <c r="C24" i="35"/>
  <c r="B24" i="35"/>
  <c r="D23" i="35"/>
  <c r="C23" i="35"/>
  <c r="B23" i="35"/>
  <c r="D22" i="35"/>
  <c r="C22" i="35"/>
  <c r="B22" i="35"/>
  <c r="D21" i="35"/>
  <c r="C21" i="35"/>
  <c r="B21" i="35"/>
  <c r="D20" i="35"/>
  <c r="C20" i="35"/>
  <c r="B20" i="35"/>
  <c r="D19" i="35"/>
  <c r="C19" i="35"/>
  <c r="B19" i="35"/>
  <c r="D18" i="35"/>
  <c r="C18" i="35"/>
  <c r="B18" i="35"/>
  <c r="D17" i="35"/>
  <c r="C17" i="35"/>
  <c r="B17" i="35"/>
  <c r="D16" i="35"/>
  <c r="C16" i="35"/>
  <c r="B16" i="35"/>
  <c r="D15" i="35"/>
  <c r="C15" i="35"/>
  <c r="B15" i="35"/>
  <c r="D14" i="35"/>
  <c r="C14" i="35"/>
  <c r="B14" i="35"/>
  <c r="D13" i="35"/>
  <c r="C13" i="35"/>
  <c r="B13" i="35"/>
  <c r="D12" i="35"/>
  <c r="C12" i="35"/>
  <c r="B12" i="35"/>
  <c r="D11" i="35"/>
  <c r="C11" i="35"/>
  <c r="B11" i="35"/>
  <c r="D10" i="35"/>
  <c r="C10" i="35"/>
  <c r="B10" i="35"/>
  <c r="D9" i="35"/>
  <c r="C9" i="35"/>
  <c r="B9" i="35"/>
  <c r="D8" i="35"/>
  <c r="C8" i="35"/>
  <c r="B8" i="35"/>
  <c r="D7" i="35"/>
  <c r="C7" i="35"/>
  <c r="B7" i="35"/>
  <c r="D6" i="35"/>
  <c r="C6" i="35"/>
  <c r="B6" i="35"/>
  <c r="D5" i="35"/>
  <c r="C5" i="35"/>
  <c r="B5" i="35"/>
  <c r="C4" i="35"/>
  <c r="B4" i="35"/>
  <c r="D109" i="29"/>
  <c r="C109" i="29"/>
  <c r="B109" i="29"/>
  <c r="D108" i="29"/>
  <c r="C108" i="29"/>
  <c r="B108" i="29"/>
  <c r="D107" i="29"/>
  <c r="C107" i="29"/>
  <c r="B107" i="29"/>
  <c r="D106" i="29"/>
  <c r="C106" i="29"/>
  <c r="B106" i="29"/>
  <c r="D105" i="29"/>
  <c r="C105" i="29"/>
  <c r="B105" i="29"/>
  <c r="D104" i="29"/>
  <c r="C104" i="29"/>
  <c r="B104" i="29"/>
  <c r="D103" i="29"/>
  <c r="C103" i="29"/>
  <c r="B103" i="29"/>
  <c r="D102" i="29"/>
  <c r="C102" i="29"/>
  <c r="B102" i="29"/>
  <c r="D101" i="29"/>
  <c r="C101" i="29"/>
  <c r="B101" i="29"/>
  <c r="D100" i="29"/>
  <c r="C100" i="29"/>
  <c r="B100" i="29"/>
  <c r="D99" i="29"/>
  <c r="C99" i="29"/>
  <c r="B99" i="29"/>
  <c r="D98" i="29"/>
  <c r="C98" i="29"/>
  <c r="B98" i="29"/>
  <c r="D97" i="29"/>
  <c r="C97" i="29"/>
  <c r="B97" i="29"/>
  <c r="D96" i="29"/>
  <c r="C96" i="29"/>
  <c r="B96" i="29"/>
  <c r="D95" i="29"/>
  <c r="C95" i="29"/>
  <c r="B95" i="29"/>
  <c r="D94" i="29"/>
  <c r="C94" i="29"/>
  <c r="B94" i="29"/>
  <c r="D93" i="29"/>
  <c r="C93" i="29"/>
  <c r="B93" i="29"/>
  <c r="D92" i="29"/>
  <c r="C92" i="29"/>
  <c r="B92" i="29"/>
  <c r="D91" i="29"/>
  <c r="C91" i="29"/>
  <c r="B91" i="29"/>
  <c r="D90" i="29"/>
  <c r="C90" i="29"/>
  <c r="B90" i="29"/>
  <c r="D89" i="29"/>
  <c r="C89" i="29"/>
  <c r="B89" i="29"/>
  <c r="D88" i="29"/>
  <c r="C88" i="29"/>
  <c r="B88" i="29"/>
  <c r="D87" i="29"/>
  <c r="C87" i="29"/>
  <c r="B87" i="29"/>
  <c r="D86" i="29"/>
  <c r="C86" i="29"/>
  <c r="B86" i="29"/>
  <c r="D85" i="29"/>
  <c r="C85" i="29"/>
  <c r="B85" i="29"/>
  <c r="D84" i="29"/>
  <c r="C84" i="29"/>
  <c r="B84" i="29"/>
  <c r="D83" i="29"/>
  <c r="C83" i="29"/>
  <c r="B83" i="29"/>
  <c r="D82" i="29"/>
  <c r="C82" i="29"/>
  <c r="B82" i="29"/>
  <c r="D81" i="29"/>
  <c r="C81" i="29"/>
  <c r="B81" i="29"/>
  <c r="D80" i="29"/>
  <c r="C80" i="29"/>
  <c r="B80" i="29"/>
  <c r="D79" i="29"/>
  <c r="C79" i="29"/>
  <c r="B79" i="29"/>
  <c r="D78" i="29"/>
  <c r="C78" i="29"/>
  <c r="B78" i="29"/>
  <c r="D77" i="29"/>
  <c r="C77" i="29"/>
  <c r="B77" i="29"/>
  <c r="D76" i="29"/>
  <c r="C76" i="29"/>
  <c r="B76" i="29"/>
  <c r="D75" i="29"/>
  <c r="C75" i="29"/>
  <c r="B75" i="29"/>
  <c r="D74" i="29"/>
  <c r="C74" i="29"/>
  <c r="B74" i="29"/>
  <c r="D73" i="29"/>
  <c r="C73" i="29"/>
  <c r="B73" i="29"/>
  <c r="D72" i="29"/>
  <c r="C72" i="29"/>
  <c r="B72" i="29"/>
  <c r="D71" i="29"/>
  <c r="C71" i="29"/>
  <c r="B71" i="29"/>
  <c r="D70" i="29"/>
  <c r="C70" i="29"/>
  <c r="B70" i="29"/>
  <c r="D69" i="29"/>
  <c r="C69" i="29"/>
  <c r="B69" i="29"/>
  <c r="D68" i="29"/>
  <c r="C68" i="29"/>
  <c r="B68" i="29"/>
  <c r="D67" i="29"/>
  <c r="C67" i="29"/>
  <c r="B67" i="29"/>
  <c r="D66" i="29"/>
  <c r="C66" i="29"/>
  <c r="B66" i="29"/>
  <c r="D65" i="29"/>
  <c r="C65" i="29"/>
  <c r="B65" i="29"/>
  <c r="D64" i="29"/>
  <c r="C64" i="29"/>
  <c r="B64" i="29"/>
  <c r="D63" i="29"/>
  <c r="C63" i="29"/>
  <c r="B63" i="29"/>
  <c r="D62" i="29"/>
  <c r="C62" i="29"/>
  <c r="B62" i="29"/>
  <c r="D61" i="29"/>
  <c r="C61" i="29"/>
  <c r="B61" i="29"/>
  <c r="D60" i="29"/>
  <c r="C60" i="29"/>
  <c r="B60" i="29"/>
  <c r="D59" i="29"/>
  <c r="C59" i="29"/>
  <c r="B59" i="29"/>
  <c r="D58" i="29"/>
  <c r="C58" i="29"/>
  <c r="B58" i="29"/>
  <c r="D57" i="29"/>
  <c r="C57" i="29"/>
  <c r="B57" i="29"/>
  <c r="D56" i="29"/>
  <c r="C56" i="29"/>
  <c r="B56" i="29"/>
  <c r="D55" i="29"/>
  <c r="C55" i="29"/>
  <c r="B55" i="29"/>
  <c r="D54" i="29"/>
  <c r="C54" i="29"/>
  <c r="B54" i="29"/>
  <c r="D53" i="29"/>
  <c r="C53" i="29"/>
  <c r="B53" i="29"/>
  <c r="D52" i="29"/>
  <c r="C52" i="29"/>
  <c r="B52" i="29"/>
  <c r="D51" i="29"/>
  <c r="C51" i="29"/>
  <c r="B51" i="29"/>
  <c r="D50" i="29"/>
  <c r="C50" i="29"/>
  <c r="B50" i="29"/>
  <c r="D49" i="29"/>
  <c r="C49" i="29"/>
  <c r="B49" i="29"/>
  <c r="D48" i="29"/>
  <c r="C48" i="29"/>
  <c r="B48" i="29"/>
  <c r="D47" i="29"/>
  <c r="C47" i="29"/>
  <c r="B47" i="29"/>
  <c r="D46" i="29"/>
  <c r="C46" i="29"/>
  <c r="B46" i="29"/>
  <c r="D45" i="29"/>
  <c r="C45" i="29"/>
  <c r="B45" i="29"/>
  <c r="D44" i="29"/>
  <c r="C44" i="29"/>
  <c r="B44" i="29"/>
  <c r="D43" i="29"/>
  <c r="C43" i="29"/>
  <c r="B43" i="29"/>
  <c r="D42" i="29"/>
  <c r="C42" i="29"/>
  <c r="B42" i="29"/>
  <c r="D41" i="29"/>
  <c r="C41" i="29"/>
  <c r="B41" i="29"/>
  <c r="D40" i="29"/>
  <c r="C40" i="29"/>
  <c r="B40" i="29"/>
  <c r="D39" i="29"/>
  <c r="C39" i="29"/>
  <c r="B39" i="29"/>
  <c r="D38" i="29"/>
  <c r="C38" i="29"/>
  <c r="B38" i="29"/>
  <c r="D37" i="29"/>
  <c r="C37" i="29"/>
  <c r="B37" i="29"/>
  <c r="D36" i="29"/>
  <c r="C36" i="29"/>
  <c r="B36" i="29"/>
  <c r="D35" i="29"/>
  <c r="C35" i="29"/>
  <c r="B35" i="29"/>
  <c r="D34" i="29"/>
  <c r="C34" i="29"/>
  <c r="B34" i="29"/>
  <c r="D33" i="29"/>
  <c r="C33" i="29"/>
  <c r="B33" i="29"/>
  <c r="D32" i="29"/>
  <c r="C32" i="29"/>
  <c r="B32" i="29"/>
  <c r="D31" i="29"/>
  <c r="C31" i="29"/>
  <c r="B31" i="29"/>
  <c r="D30" i="29"/>
  <c r="C30" i="29"/>
  <c r="B30" i="29"/>
  <c r="D29" i="29"/>
  <c r="C29" i="29"/>
  <c r="B29" i="29"/>
  <c r="D28" i="29"/>
  <c r="C28" i="29"/>
  <c r="B28" i="29"/>
  <c r="D27" i="29"/>
  <c r="C27" i="29"/>
  <c r="B27" i="29"/>
  <c r="D26" i="29"/>
  <c r="C26" i="29"/>
  <c r="B26" i="29"/>
  <c r="D25" i="29"/>
  <c r="C25" i="29"/>
  <c r="B25" i="29"/>
  <c r="D24" i="29"/>
  <c r="C24" i="29"/>
  <c r="B24" i="29"/>
  <c r="D23" i="29"/>
  <c r="C23" i="29"/>
  <c r="B23" i="29"/>
  <c r="D22" i="29"/>
  <c r="C22" i="29"/>
  <c r="B22" i="29"/>
  <c r="D21" i="29"/>
  <c r="C21" i="29"/>
  <c r="B21" i="29"/>
  <c r="D20" i="29"/>
  <c r="C20" i="29"/>
  <c r="B20" i="29"/>
  <c r="D19" i="29"/>
  <c r="C19" i="29"/>
  <c r="B19" i="29"/>
  <c r="D18" i="29"/>
  <c r="C18" i="29"/>
  <c r="B18" i="29"/>
  <c r="D17" i="29"/>
  <c r="C17" i="29"/>
  <c r="B17" i="29"/>
  <c r="D16" i="29"/>
  <c r="C16" i="29"/>
  <c r="B16" i="29"/>
  <c r="D15" i="29"/>
  <c r="C15" i="29"/>
  <c r="B15" i="29"/>
  <c r="D14" i="29"/>
  <c r="C14" i="29"/>
  <c r="B14" i="29"/>
  <c r="D13" i="29"/>
  <c r="C13" i="29"/>
  <c r="B13" i="29"/>
  <c r="D12" i="29"/>
  <c r="C12" i="29"/>
  <c r="B12" i="29"/>
  <c r="D11" i="29"/>
  <c r="C11" i="29"/>
  <c r="B11" i="29"/>
  <c r="D10" i="29"/>
  <c r="C10" i="29"/>
  <c r="B10" i="29"/>
  <c r="D9" i="29"/>
  <c r="C9" i="29"/>
  <c r="B9" i="29"/>
  <c r="D8" i="29"/>
  <c r="C8" i="29"/>
  <c r="B8" i="29"/>
  <c r="D7" i="29"/>
  <c r="C7" i="29"/>
  <c r="B7" i="29"/>
  <c r="D6" i="29"/>
  <c r="C6" i="29"/>
  <c r="B6" i="29"/>
  <c r="D5" i="29"/>
  <c r="C5" i="29"/>
  <c r="B5" i="29"/>
  <c r="D4" i="29"/>
  <c r="C4" i="29"/>
  <c r="B4" i="29"/>
  <c r="D109" i="28"/>
  <c r="C109" i="28"/>
  <c r="B109" i="28"/>
  <c r="D108" i="28"/>
  <c r="C108" i="28"/>
  <c r="B108" i="28"/>
  <c r="D107" i="28"/>
  <c r="C107" i="28"/>
  <c r="B107" i="28"/>
  <c r="D106" i="28"/>
  <c r="C106" i="28"/>
  <c r="B106" i="28"/>
  <c r="D105" i="28"/>
  <c r="C105" i="28"/>
  <c r="B105" i="28"/>
  <c r="D104" i="28"/>
  <c r="C104" i="28"/>
  <c r="B104" i="28"/>
  <c r="D103" i="28"/>
  <c r="C103" i="28"/>
  <c r="B103" i="28"/>
  <c r="D102" i="28"/>
  <c r="C102" i="28"/>
  <c r="B102" i="28"/>
  <c r="D101" i="28"/>
  <c r="C101" i="28"/>
  <c r="B101" i="28"/>
  <c r="D100" i="28"/>
  <c r="C100" i="28"/>
  <c r="B100" i="28"/>
  <c r="D99" i="28"/>
  <c r="C99" i="28"/>
  <c r="B99" i="28"/>
  <c r="D98" i="28"/>
  <c r="C98" i="28"/>
  <c r="B98" i="28"/>
  <c r="D97" i="28"/>
  <c r="C97" i="28"/>
  <c r="B97" i="28"/>
  <c r="D96" i="28"/>
  <c r="C96" i="28"/>
  <c r="B96" i="28"/>
  <c r="D95" i="28"/>
  <c r="C95" i="28"/>
  <c r="B95" i="28"/>
  <c r="D94" i="28"/>
  <c r="C94" i="28"/>
  <c r="B94" i="28"/>
  <c r="D93" i="28"/>
  <c r="C93" i="28"/>
  <c r="B93" i="28"/>
  <c r="D92" i="28"/>
  <c r="C92" i="28"/>
  <c r="B92" i="28"/>
  <c r="D91" i="28"/>
  <c r="C91" i="28"/>
  <c r="B91" i="28"/>
  <c r="D90" i="28"/>
  <c r="C90" i="28"/>
  <c r="B90" i="28"/>
  <c r="D89" i="28"/>
  <c r="C89" i="28"/>
  <c r="B89" i="28"/>
  <c r="D88" i="28"/>
  <c r="C88" i="28"/>
  <c r="B88" i="28"/>
  <c r="D87" i="28"/>
  <c r="C87" i="28"/>
  <c r="B87" i="28"/>
  <c r="D86" i="28"/>
  <c r="C86" i="28"/>
  <c r="B86" i="28"/>
  <c r="D85" i="28"/>
  <c r="C85" i="28"/>
  <c r="B85" i="28"/>
  <c r="D84" i="28"/>
  <c r="C84" i="28"/>
  <c r="B84" i="28"/>
  <c r="D83" i="28"/>
  <c r="C83" i="28"/>
  <c r="B83" i="28"/>
  <c r="D82" i="28"/>
  <c r="C82" i="28"/>
  <c r="B82" i="28"/>
  <c r="D81" i="28"/>
  <c r="C81" i="28"/>
  <c r="B81" i="28"/>
  <c r="D80" i="28"/>
  <c r="C80" i="28"/>
  <c r="B80" i="28"/>
  <c r="D79" i="28"/>
  <c r="C79" i="28"/>
  <c r="B79" i="28"/>
  <c r="D78" i="28"/>
  <c r="C78" i="28"/>
  <c r="B78" i="28"/>
  <c r="D77" i="28"/>
  <c r="C77" i="28"/>
  <c r="B77" i="28"/>
  <c r="D76" i="28"/>
  <c r="C76" i="28"/>
  <c r="B76" i="28"/>
  <c r="D75" i="28"/>
  <c r="C75" i="28"/>
  <c r="B75" i="28"/>
  <c r="D74" i="28"/>
  <c r="C74" i="28"/>
  <c r="B74" i="28"/>
  <c r="D73" i="28"/>
  <c r="C73" i="28"/>
  <c r="B73" i="28"/>
  <c r="D72" i="28"/>
  <c r="C72" i="28"/>
  <c r="B72" i="28"/>
  <c r="D71" i="28"/>
  <c r="C71" i="28"/>
  <c r="B71" i="28"/>
  <c r="D70" i="28"/>
  <c r="C70" i="28"/>
  <c r="B70" i="28"/>
  <c r="D69" i="28"/>
  <c r="C69" i="28"/>
  <c r="B69" i="28"/>
  <c r="D68" i="28"/>
  <c r="C68" i="28"/>
  <c r="B68" i="28"/>
  <c r="D67" i="28"/>
  <c r="C67" i="28"/>
  <c r="B67" i="28"/>
  <c r="D66" i="28"/>
  <c r="C66" i="28"/>
  <c r="B66" i="28"/>
  <c r="D65" i="28"/>
  <c r="C65" i="28"/>
  <c r="B65" i="28"/>
  <c r="D64" i="28"/>
  <c r="C64" i="28"/>
  <c r="B64" i="28"/>
  <c r="D63" i="28"/>
  <c r="C63" i="28"/>
  <c r="B63" i="28"/>
  <c r="D62" i="28"/>
  <c r="C62" i="28"/>
  <c r="B62" i="28"/>
  <c r="D61" i="28"/>
  <c r="C61" i="28"/>
  <c r="B61" i="28"/>
  <c r="D60" i="28"/>
  <c r="C60" i="28"/>
  <c r="B60" i="28"/>
  <c r="D59" i="28"/>
  <c r="C59" i="28"/>
  <c r="B59" i="28"/>
  <c r="D58" i="28"/>
  <c r="C58" i="28"/>
  <c r="B58" i="28"/>
  <c r="D57" i="28"/>
  <c r="C57" i="28"/>
  <c r="B57" i="28"/>
  <c r="D56" i="28"/>
  <c r="C56" i="28"/>
  <c r="B56" i="28"/>
  <c r="D55" i="28"/>
  <c r="C55" i="28"/>
  <c r="B55" i="28"/>
  <c r="D54" i="28"/>
  <c r="C54" i="28"/>
  <c r="B54" i="28"/>
  <c r="D53" i="28"/>
  <c r="C53" i="28"/>
  <c r="B53" i="28"/>
  <c r="D52" i="28"/>
  <c r="C52" i="28"/>
  <c r="B52" i="28"/>
  <c r="D51" i="28"/>
  <c r="C51" i="28"/>
  <c r="B51" i="28"/>
  <c r="D50" i="28"/>
  <c r="C50" i="28"/>
  <c r="B50" i="28"/>
  <c r="D49" i="28"/>
  <c r="C49" i="28"/>
  <c r="B49" i="28"/>
  <c r="D48" i="28"/>
  <c r="C48" i="28"/>
  <c r="B48" i="28"/>
  <c r="D47" i="28"/>
  <c r="C47" i="28"/>
  <c r="B47" i="28"/>
  <c r="D46" i="28"/>
  <c r="C46" i="28"/>
  <c r="B46" i="28"/>
  <c r="D45" i="28"/>
  <c r="C45" i="28"/>
  <c r="B45" i="28"/>
  <c r="D44" i="28"/>
  <c r="C44" i="28"/>
  <c r="B44" i="28"/>
  <c r="D43" i="28"/>
  <c r="C43" i="28"/>
  <c r="B43" i="28"/>
  <c r="D42" i="28"/>
  <c r="C42" i="28"/>
  <c r="B42" i="28"/>
  <c r="D41" i="28"/>
  <c r="C41" i="28"/>
  <c r="B41" i="28"/>
  <c r="D40" i="28"/>
  <c r="C40" i="28"/>
  <c r="B40" i="28"/>
  <c r="D39" i="28"/>
  <c r="C39" i="28"/>
  <c r="B39" i="28"/>
  <c r="D38" i="28"/>
  <c r="C38" i="28"/>
  <c r="B38" i="28"/>
  <c r="D37" i="28"/>
  <c r="C37" i="28"/>
  <c r="B37" i="28"/>
  <c r="D36" i="28"/>
  <c r="C36" i="28"/>
  <c r="B36" i="28"/>
  <c r="D35" i="28"/>
  <c r="C35" i="28"/>
  <c r="B35" i="28"/>
  <c r="D34" i="28"/>
  <c r="C34" i="28"/>
  <c r="B34" i="28"/>
  <c r="D33" i="28"/>
  <c r="C33" i="28"/>
  <c r="B33" i="28"/>
  <c r="D32" i="28"/>
  <c r="C32" i="28"/>
  <c r="B32" i="28"/>
  <c r="D31" i="28"/>
  <c r="C31" i="28"/>
  <c r="B31" i="28"/>
  <c r="D30" i="28"/>
  <c r="C30" i="28"/>
  <c r="B30" i="28"/>
  <c r="D29" i="28"/>
  <c r="C29" i="28"/>
  <c r="B29" i="28"/>
  <c r="D28" i="28"/>
  <c r="C28" i="28"/>
  <c r="B28" i="28"/>
  <c r="D27" i="28"/>
  <c r="C27" i="28"/>
  <c r="B27" i="28"/>
  <c r="D26" i="28"/>
  <c r="C26" i="28"/>
  <c r="B26" i="28"/>
  <c r="D25" i="28"/>
  <c r="C25" i="28"/>
  <c r="B25" i="28"/>
  <c r="D24" i="28"/>
  <c r="C24" i="28"/>
  <c r="B24" i="28"/>
  <c r="D23" i="28"/>
  <c r="C23" i="28"/>
  <c r="B23" i="28"/>
  <c r="D22" i="28"/>
  <c r="C22" i="28"/>
  <c r="B22" i="28"/>
  <c r="D21" i="28"/>
  <c r="C21" i="28"/>
  <c r="B21" i="28"/>
  <c r="D20" i="28"/>
  <c r="C20" i="28"/>
  <c r="B20" i="28"/>
  <c r="D19" i="28"/>
  <c r="C19" i="28"/>
  <c r="B19" i="28"/>
  <c r="D18" i="28"/>
  <c r="C18" i="28"/>
  <c r="B18" i="28"/>
  <c r="D17" i="28"/>
  <c r="C17" i="28"/>
  <c r="B17" i="28"/>
  <c r="D16" i="28"/>
  <c r="C16" i="28"/>
  <c r="B16" i="28"/>
  <c r="D15" i="28"/>
  <c r="C15" i="28"/>
  <c r="B15" i="28"/>
  <c r="D14" i="28"/>
  <c r="C14" i="28"/>
  <c r="B14" i="28"/>
  <c r="D13" i="28"/>
  <c r="C13" i="28"/>
  <c r="B13" i="28"/>
  <c r="D12" i="28"/>
  <c r="C12" i="28"/>
  <c r="B12" i="28"/>
  <c r="D11" i="28"/>
  <c r="C11" i="28"/>
  <c r="B11" i="28"/>
  <c r="D10" i="28"/>
  <c r="C10" i="28"/>
  <c r="B10" i="28"/>
  <c r="D9" i="28"/>
  <c r="C9" i="28"/>
  <c r="B9" i="28"/>
  <c r="D8" i="28"/>
  <c r="C8" i="28"/>
  <c r="B8" i="28"/>
  <c r="D7" i="28"/>
  <c r="C7" i="28"/>
  <c r="B7" i="28"/>
  <c r="D6" i="28"/>
  <c r="C6" i="28"/>
  <c r="B6" i="28"/>
  <c r="D5" i="28"/>
  <c r="C5" i="28"/>
  <c r="B5" i="28"/>
  <c r="D4" i="28"/>
  <c r="C4" i="28"/>
  <c r="B4" i="28"/>
  <c r="D109" i="27"/>
  <c r="C109" i="27"/>
  <c r="B109" i="27"/>
  <c r="D108" i="27"/>
  <c r="C108" i="27"/>
  <c r="B108" i="27"/>
  <c r="D107" i="27"/>
  <c r="C107" i="27"/>
  <c r="B107" i="27"/>
  <c r="D106" i="27"/>
  <c r="C106" i="27"/>
  <c r="B106" i="27"/>
  <c r="D105" i="27"/>
  <c r="C105" i="27"/>
  <c r="B105" i="27"/>
  <c r="D104" i="27"/>
  <c r="C104" i="27"/>
  <c r="B104" i="27"/>
  <c r="D103" i="27"/>
  <c r="C103" i="27"/>
  <c r="B103" i="27"/>
  <c r="D102" i="27"/>
  <c r="C102" i="27"/>
  <c r="B102" i="27"/>
  <c r="D101" i="27"/>
  <c r="C101" i="27"/>
  <c r="B101" i="27"/>
  <c r="D100" i="27"/>
  <c r="C100" i="27"/>
  <c r="B100" i="27"/>
  <c r="D99" i="27"/>
  <c r="C99" i="27"/>
  <c r="B99" i="27"/>
  <c r="D98" i="27"/>
  <c r="C98" i="27"/>
  <c r="B98" i="27"/>
  <c r="D97" i="27"/>
  <c r="C97" i="27"/>
  <c r="B97" i="27"/>
  <c r="D96" i="27"/>
  <c r="C96" i="27"/>
  <c r="B96" i="27"/>
  <c r="D95" i="27"/>
  <c r="C95" i="27"/>
  <c r="B95" i="27"/>
  <c r="D94" i="27"/>
  <c r="C94" i="27"/>
  <c r="B94" i="27"/>
  <c r="D93" i="27"/>
  <c r="C93" i="27"/>
  <c r="B93" i="27"/>
  <c r="D92" i="27"/>
  <c r="C92" i="27"/>
  <c r="B92" i="27"/>
  <c r="D91" i="27"/>
  <c r="C91" i="27"/>
  <c r="B91" i="27"/>
  <c r="D90" i="27"/>
  <c r="C90" i="27"/>
  <c r="B90" i="27"/>
  <c r="D89" i="27"/>
  <c r="C89" i="27"/>
  <c r="B89" i="27"/>
  <c r="D88" i="27"/>
  <c r="C88" i="27"/>
  <c r="B88" i="27"/>
  <c r="D87" i="27"/>
  <c r="C87" i="27"/>
  <c r="B87" i="27"/>
  <c r="D86" i="27"/>
  <c r="C86" i="27"/>
  <c r="B86" i="27"/>
  <c r="D85" i="27"/>
  <c r="C85" i="27"/>
  <c r="B85" i="27"/>
  <c r="D84" i="27"/>
  <c r="C84" i="27"/>
  <c r="B84" i="27"/>
  <c r="D83" i="27"/>
  <c r="C83" i="27"/>
  <c r="B83" i="27"/>
  <c r="D82" i="27"/>
  <c r="C82" i="27"/>
  <c r="B82" i="27"/>
  <c r="D81" i="27"/>
  <c r="C81" i="27"/>
  <c r="B81" i="27"/>
  <c r="D80" i="27"/>
  <c r="C80" i="27"/>
  <c r="B80" i="27"/>
  <c r="D79" i="27"/>
  <c r="C79" i="27"/>
  <c r="B79" i="27"/>
  <c r="D78" i="27"/>
  <c r="C78" i="27"/>
  <c r="B78" i="27"/>
  <c r="D77" i="27"/>
  <c r="C77" i="27"/>
  <c r="B77" i="27"/>
  <c r="D76" i="27"/>
  <c r="C76" i="27"/>
  <c r="B76" i="27"/>
  <c r="D75" i="27"/>
  <c r="C75" i="27"/>
  <c r="B75" i="27"/>
  <c r="D74" i="27"/>
  <c r="C74" i="27"/>
  <c r="B74" i="27"/>
  <c r="D73" i="27"/>
  <c r="C73" i="27"/>
  <c r="B73" i="27"/>
  <c r="D72" i="27"/>
  <c r="C72" i="27"/>
  <c r="B72" i="27"/>
  <c r="D71" i="27"/>
  <c r="C71" i="27"/>
  <c r="B71" i="27"/>
  <c r="D70" i="27"/>
  <c r="C70" i="27"/>
  <c r="B70" i="27"/>
  <c r="D69" i="27"/>
  <c r="C69" i="27"/>
  <c r="B69" i="27"/>
  <c r="D68" i="27"/>
  <c r="C68" i="27"/>
  <c r="B68" i="27"/>
  <c r="D67" i="27"/>
  <c r="C67" i="27"/>
  <c r="B67" i="27"/>
  <c r="D66" i="27"/>
  <c r="C66" i="27"/>
  <c r="B66" i="27"/>
  <c r="D65" i="27"/>
  <c r="C65" i="27"/>
  <c r="B65" i="27"/>
  <c r="D64" i="27"/>
  <c r="C64" i="27"/>
  <c r="B64" i="27"/>
  <c r="D63" i="27"/>
  <c r="C63" i="27"/>
  <c r="B63" i="27"/>
  <c r="D62" i="27"/>
  <c r="C62" i="27"/>
  <c r="B62" i="27"/>
  <c r="D61" i="27"/>
  <c r="C61" i="27"/>
  <c r="B61" i="27"/>
  <c r="D60" i="27"/>
  <c r="C60" i="27"/>
  <c r="B60" i="27"/>
  <c r="D59" i="27"/>
  <c r="C59" i="27"/>
  <c r="B59" i="27"/>
  <c r="D58" i="27"/>
  <c r="C58" i="27"/>
  <c r="B58" i="27"/>
  <c r="D57" i="27"/>
  <c r="C57" i="27"/>
  <c r="B57" i="27"/>
  <c r="D56" i="27"/>
  <c r="C56" i="27"/>
  <c r="B56" i="27"/>
  <c r="D55" i="27"/>
  <c r="C55" i="27"/>
  <c r="B55" i="27"/>
  <c r="D54" i="27"/>
  <c r="C54" i="27"/>
  <c r="B54" i="27"/>
  <c r="D53" i="27"/>
  <c r="C53" i="27"/>
  <c r="B53" i="27"/>
  <c r="D52" i="27"/>
  <c r="C52" i="27"/>
  <c r="B52" i="27"/>
  <c r="D51" i="27"/>
  <c r="C51" i="27"/>
  <c r="B51" i="27"/>
  <c r="D50" i="27"/>
  <c r="C50" i="27"/>
  <c r="B50" i="27"/>
  <c r="D49" i="27"/>
  <c r="C49" i="27"/>
  <c r="B49" i="27"/>
  <c r="D48" i="27"/>
  <c r="C48" i="27"/>
  <c r="B48" i="27"/>
  <c r="D47" i="27"/>
  <c r="C47" i="27"/>
  <c r="B47" i="27"/>
  <c r="D46" i="27"/>
  <c r="C46" i="27"/>
  <c r="B46" i="27"/>
  <c r="D45" i="27"/>
  <c r="C45" i="27"/>
  <c r="B45" i="27"/>
  <c r="D44" i="27"/>
  <c r="C44" i="27"/>
  <c r="B44" i="27"/>
  <c r="D43" i="27"/>
  <c r="C43" i="27"/>
  <c r="B43" i="27"/>
  <c r="D42" i="27"/>
  <c r="C42" i="27"/>
  <c r="B42" i="27"/>
  <c r="D41" i="27"/>
  <c r="C41" i="27"/>
  <c r="B41" i="27"/>
  <c r="D40" i="27"/>
  <c r="C40" i="27"/>
  <c r="B40" i="27"/>
  <c r="D39" i="27"/>
  <c r="C39" i="27"/>
  <c r="B39" i="27"/>
  <c r="D38" i="27"/>
  <c r="C38" i="27"/>
  <c r="B38" i="27"/>
  <c r="D37" i="27"/>
  <c r="C37" i="27"/>
  <c r="B37" i="27"/>
  <c r="D36" i="27"/>
  <c r="C36" i="27"/>
  <c r="B36" i="27"/>
  <c r="D35" i="27"/>
  <c r="C35" i="27"/>
  <c r="B35" i="27"/>
  <c r="D34" i="27"/>
  <c r="C34" i="27"/>
  <c r="B34" i="27"/>
  <c r="D33" i="27"/>
  <c r="C33" i="27"/>
  <c r="B33" i="27"/>
  <c r="D32" i="27"/>
  <c r="C32" i="27"/>
  <c r="B32" i="27"/>
  <c r="D31" i="27"/>
  <c r="C31" i="27"/>
  <c r="B31" i="27"/>
  <c r="D30" i="27"/>
  <c r="C30" i="27"/>
  <c r="B30" i="27"/>
  <c r="D29" i="27"/>
  <c r="C29" i="27"/>
  <c r="B29" i="27"/>
  <c r="D28" i="27"/>
  <c r="C28" i="27"/>
  <c r="B28" i="27"/>
  <c r="D27" i="27"/>
  <c r="C27" i="27"/>
  <c r="B27" i="27"/>
  <c r="D26" i="27"/>
  <c r="C26" i="27"/>
  <c r="B26" i="27"/>
  <c r="D25" i="27"/>
  <c r="C25" i="27"/>
  <c r="B25" i="27"/>
  <c r="D24" i="27"/>
  <c r="C24" i="27"/>
  <c r="B24" i="27"/>
  <c r="D23" i="27"/>
  <c r="C23" i="27"/>
  <c r="B23" i="27"/>
  <c r="D22" i="27"/>
  <c r="C22" i="27"/>
  <c r="B22" i="27"/>
  <c r="D21" i="27"/>
  <c r="C21" i="27"/>
  <c r="B21" i="27"/>
  <c r="D20" i="27"/>
  <c r="C20" i="27"/>
  <c r="B20" i="27"/>
  <c r="D19" i="27"/>
  <c r="C19" i="27"/>
  <c r="B19" i="27"/>
  <c r="D18" i="27"/>
  <c r="C18" i="27"/>
  <c r="B18" i="27"/>
  <c r="D17" i="27"/>
  <c r="C17" i="27"/>
  <c r="B17" i="27"/>
  <c r="D16" i="27"/>
  <c r="C16" i="27"/>
  <c r="B16" i="27"/>
  <c r="D15" i="27"/>
  <c r="C15" i="27"/>
  <c r="B15" i="27"/>
  <c r="D14" i="27"/>
  <c r="C14" i="27"/>
  <c r="B14" i="27"/>
  <c r="D13" i="27"/>
  <c r="C13" i="27"/>
  <c r="B13" i="27"/>
  <c r="D12" i="27"/>
  <c r="C12" i="27"/>
  <c r="B12" i="27"/>
  <c r="D11" i="27"/>
  <c r="C11" i="27"/>
  <c r="B11" i="27"/>
  <c r="D10" i="27"/>
  <c r="C10" i="27"/>
  <c r="B10" i="27"/>
  <c r="D9" i="27"/>
  <c r="C9" i="27"/>
  <c r="B9" i="27"/>
  <c r="D8" i="27"/>
  <c r="C8" i="27"/>
  <c r="B8" i="27"/>
  <c r="D7" i="27"/>
  <c r="C7" i="27"/>
  <c r="B7" i="27"/>
  <c r="D6" i="27"/>
  <c r="C6" i="27"/>
  <c r="B6" i="27"/>
  <c r="D5" i="27"/>
  <c r="C5" i="27"/>
  <c r="B5" i="27"/>
  <c r="D4" i="27"/>
  <c r="C4" i="27"/>
  <c r="B4" i="27"/>
  <c r="D109" i="26"/>
  <c r="C109" i="26"/>
  <c r="B109" i="26"/>
  <c r="D108" i="26"/>
  <c r="C108" i="26"/>
  <c r="B108" i="26"/>
  <c r="D107" i="26"/>
  <c r="C107" i="26"/>
  <c r="B107" i="26"/>
  <c r="D106" i="26"/>
  <c r="C106" i="26"/>
  <c r="B106" i="26"/>
  <c r="D105" i="26"/>
  <c r="C105" i="26"/>
  <c r="B105" i="26"/>
  <c r="D104" i="26"/>
  <c r="C104" i="26"/>
  <c r="B104" i="26"/>
  <c r="D103" i="26"/>
  <c r="C103" i="26"/>
  <c r="B103" i="26"/>
  <c r="D102" i="26"/>
  <c r="C102" i="26"/>
  <c r="B102" i="26"/>
  <c r="D101" i="26"/>
  <c r="C101" i="26"/>
  <c r="B101" i="26"/>
  <c r="D100" i="26"/>
  <c r="C100" i="26"/>
  <c r="B100" i="26"/>
  <c r="D99" i="26"/>
  <c r="C99" i="26"/>
  <c r="B99" i="26"/>
  <c r="D98" i="26"/>
  <c r="C98" i="26"/>
  <c r="B98" i="26"/>
  <c r="D97" i="26"/>
  <c r="C97" i="26"/>
  <c r="B97" i="26"/>
  <c r="D96" i="26"/>
  <c r="C96" i="26"/>
  <c r="B96" i="26"/>
  <c r="D95" i="26"/>
  <c r="C95" i="26"/>
  <c r="B95" i="26"/>
  <c r="D94" i="26"/>
  <c r="C94" i="26"/>
  <c r="B94" i="26"/>
  <c r="D93" i="26"/>
  <c r="C93" i="26"/>
  <c r="B93" i="26"/>
  <c r="D92" i="26"/>
  <c r="C92" i="26"/>
  <c r="B92" i="26"/>
  <c r="D91" i="26"/>
  <c r="C91" i="26"/>
  <c r="B91" i="26"/>
  <c r="D90" i="26"/>
  <c r="C90" i="26"/>
  <c r="B90" i="26"/>
  <c r="D89" i="26"/>
  <c r="C89" i="26"/>
  <c r="B89" i="26"/>
  <c r="D88" i="26"/>
  <c r="C88" i="26"/>
  <c r="B88" i="26"/>
  <c r="D87" i="26"/>
  <c r="C87" i="26"/>
  <c r="B87" i="26"/>
  <c r="D86" i="26"/>
  <c r="C86" i="26"/>
  <c r="B86" i="26"/>
  <c r="D85" i="26"/>
  <c r="C85" i="26"/>
  <c r="B85" i="26"/>
  <c r="D84" i="26"/>
  <c r="C84" i="26"/>
  <c r="B84" i="26"/>
  <c r="D83" i="26"/>
  <c r="C83" i="26"/>
  <c r="B83" i="26"/>
  <c r="D82" i="26"/>
  <c r="C82" i="26"/>
  <c r="B82" i="26"/>
  <c r="D81" i="26"/>
  <c r="C81" i="26"/>
  <c r="B81" i="26"/>
  <c r="D80" i="26"/>
  <c r="C80" i="26"/>
  <c r="B80" i="26"/>
  <c r="D79" i="26"/>
  <c r="C79" i="26"/>
  <c r="B79" i="26"/>
  <c r="D78" i="26"/>
  <c r="C78" i="26"/>
  <c r="B78" i="26"/>
  <c r="D77" i="26"/>
  <c r="C77" i="26"/>
  <c r="B77" i="26"/>
  <c r="D76" i="26"/>
  <c r="C76" i="26"/>
  <c r="B76" i="26"/>
  <c r="D75" i="26"/>
  <c r="C75" i="26"/>
  <c r="B75" i="26"/>
  <c r="D74" i="26"/>
  <c r="C74" i="26"/>
  <c r="B74" i="26"/>
  <c r="D73" i="26"/>
  <c r="C73" i="26"/>
  <c r="B73" i="26"/>
  <c r="D72" i="26"/>
  <c r="C72" i="26"/>
  <c r="B72" i="26"/>
  <c r="D71" i="26"/>
  <c r="C71" i="26"/>
  <c r="B71" i="26"/>
  <c r="D70" i="26"/>
  <c r="C70" i="26"/>
  <c r="B70" i="26"/>
  <c r="D69" i="26"/>
  <c r="C69" i="26"/>
  <c r="B69" i="26"/>
  <c r="D68" i="26"/>
  <c r="C68" i="26"/>
  <c r="B68" i="26"/>
  <c r="D67" i="26"/>
  <c r="C67" i="26"/>
  <c r="B67" i="26"/>
  <c r="D66" i="26"/>
  <c r="C66" i="26"/>
  <c r="B66" i="26"/>
  <c r="D65" i="26"/>
  <c r="C65" i="26"/>
  <c r="B65" i="26"/>
  <c r="D64" i="26"/>
  <c r="C64" i="26"/>
  <c r="B64" i="26"/>
  <c r="D63" i="26"/>
  <c r="C63" i="26"/>
  <c r="B63" i="26"/>
  <c r="D62" i="26"/>
  <c r="C62" i="26"/>
  <c r="B62" i="26"/>
  <c r="D61" i="26"/>
  <c r="C61" i="26"/>
  <c r="B61" i="26"/>
  <c r="D60" i="26"/>
  <c r="C60" i="26"/>
  <c r="B60" i="26"/>
  <c r="D59" i="26"/>
  <c r="C59" i="26"/>
  <c r="B59" i="26"/>
  <c r="D58" i="26"/>
  <c r="C58" i="26"/>
  <c r="B58" i="26"/>
  <c r="D57" i="26"/>
  <c r="C57" i="26"/>
  <c r="B57" i="26"/>
  <c r="D56" i="26"/>
  <c r="C56" i="26"/>
  <c r="B56" i="26"/>
  <c r="D55" i="26"/>
  <c r="C55" i="26"/>
  <c r="B55" i="26"/>
  <c r="D54" i="26"/>
  <c r="C54" i="26"/>
  <c r="B54" i="26"/>
  <c r="D53" i="26"/>
  <c r="C53" i="26"/>
  <c r="B53" i="26"/>
  <c r="D52" i="26"/>
  <c r="C52" i="26"/>
  <c r="B52" i="26"/>
  <c r="D51" i="26"/>
  <c r="C51" i="26"/>
  <c r="B51" i="26"/>
  <c r="D50" i="26"/>
  <c r="C50" i="26"/>
  <c r="B50" i="26"/>
  <c r="D49" i="26"/>
  <c r="C49" i="26"/>
  <c r="B49" i="26"/>
  <c r="D48" i="26"/>
  <c r="C48" i="26"/>
  <c r="B48" i="26"/>
  <c r="D47" i="26"/>
  <c r="C47" i="26"/>
  <c r="B47" i="26"/>
  <c r="D46" i="26"/>
  <c r="C46" i="26"/>
  <c r="B46" i="26"/>
  <c r="D45" i="26"/>
  <c r="C45" i="26"/>
  <c r="B45" i="26"/>
  <c r="D44" i="26"/>
  <c r="C44" i="26"/>
  <c r="B44" i="26"/>
  <c r="D43" i="26"/>
  <c r="C43" i="26"/>
  <c r="B43" i="26"/>
  <c r="D42" i="26"/>
  <c r="C42" i="26"/>
  <c r="B42" i="26"/>
  <c r="D41" i="26"/>
  <c r="C41" i="26"/>
  <c r="B41" i="26"/>
  <c r="D40" i="26"/>
  <c r="C40" i="26"/>
  <c r="B40" i="26"/>
  <c r="D39" i="26"/>
  <c r="C39" i="26"/>
  <c r="B39" i="26"/>
  <c r="D38" i="26"/>
  <c r="C38" i="26"/>
  <c r="B38" i="26"/>
  <c r="D37" i="26"/>
  <c r="C37" i="26"/>
  <c r="B37" i="26"/>
  <c r="D36" i="26"/>
  <c r="C36" i="26"/>
  <c r="B36" i="26"/>
  <c r="D35" i="26"/>
  <c r="C35" i="26"/>
  <c r="B35" i="26"/>
  <c r="D34" i="26"/>
  <c r="C34" i="26"/>
  <c r="B34" i="26"/>
  <c r="D33" i="26"/>
  <c r="C33" i="26"/>
  <c r="B33" i="26"/>
  <c r="D32" i="26"/>
  <c r="C32" i="26"/>
  <c r="B32" i="26"/>
  <c r="D31" i="26"/>
  <c r="C31" i="26"/>
  <c r="B31" i="26"/>
  <c r="D30" i="26"/>
  <c r="C30" i="26"/>
  <c r="B30" i="26"/>
  <c r="D29" i="26"/>
  <c r="C29" i="26"/>
  <c r="B29" i="26"/>
  <c r="D28" i="26"/>
  <c r="C28" i="26"/>
  <c r="B28" i="26"/>
  <c r="D27" i="26"/>
  <c r="C27" i="26"/>
  <c r="B27" i="26"/>
  <c r="D26" i="26"/>
  <c r="C26" i="26"/>
  <c r="B26" i="26"/>
  <c r="D25" i="26"/>
  <c r="C25" i="26"/>
  <c r="B25" i="26"/>
  <c r="D24" i="26"/>
  <c r="C24" i="26"/>
  <c r="B24" i="26"/>
  <c r="D23" i="26"/>
  <c r="C23" i="26"/>
  <c r="B23" i="26"/>
  <c r="D22" i="26"/>
  <c r="C22" i="26"/>
  <c r="B22" i="26"/>
  <c r="D21" i="26"/>
  <c r="C21" i="26"/>
  <c r="B21" i="26"/>
  <c r="D20" i="26"/>
  <c r="C20" i="26"/>
  <c r="B20" i="26"/>
  <c r="D19" i="26"/>
  <c r="C19" i="26"/>
  <c r="B19" i="26"/>
  <c r="D18" i="26"/>
  <c r="C18" i="26"/>
  <c r="B18" i="26"/>
  <c r="D17" i="26"/>
  <c r="C17" i="26"/>
  <c r="B17" i="26"/>
  <c r="D16" i="26"/>
  <c r="C16" i="26"/>
  <c r="B16" i="26"/>
  <c r="D15" i="26"/>
  <c r="C15" i="26"/>
  <c r="B15" i="26"/>
  <c r="D14" i="26"/>
  <c r="C14" i="26"/>
  <c r="B14" i="26"/>
  <c r="D13" i="26"/>
  <c r="C13" i="26"/>
  <c r="B13" i="26"/>
  <c r="D12" i="26"/>
  <c r="C12" i="26"/>
  <c r="B12" i="26"/>
  <c r="D11" i="26"/>
  <c r="C11" i="26"/>
  <c r="B11" i="26"/>
  <c r="D10" i="26"/>
  <c r="C10" i="26"/>
  <c r="B10" i="26"/>
  <c r="D9" i="26"/>
  <c r="C9" i="26"/>
  <c r="B9" i="26"/>
  <c r="D8" i="26"/>
  <c r="C8" i="26"/>
  <c r="B8" i="26"/>
  <c r="D7" i="26"/>
  <c r="C7" i="26"/>
  <c r="B7" i="26"/>
  <c r="D6" i="26"/>
  <c r="C6" i="26"/>
  <c r="B6" i="26"/>
  <c r="D5" i="26"/>
  <c r="C5" i="26"/>
  <c r="B5" i="26"/>
  <c r="D4" i="26"/>
  <c r="C4" i="26"/>
  <c r="B4" i="26"/>
  <c r="D109" i="25"/>
  <c r="C109" i="25"/>
  <c r="B109" i="25"/>
  <c r="D108" i="25"/>
  <c r="C108" i="25"/>
  <c r="B108" i="25"/>
  <c r="D107" i="25"/>
  <c r="C107" i="25"/>
  <c r="B107" i="25"/>
  <c r="D106" i="25"/>
  <c r="C106" i="25"/>
  <c r="B106" i="25"/>
  <c r="D105" i="25"/>
  <c r="C105" i="25"/>
  <c r="B105" i="25"/>
  <c r="D104" i="25"/>
  <c r="C104" i="25"/>
  <c r="B104" i="25"/>
  <c r="D103" i="25"/>
  <c r="C103" i="25"/>
  <c r="B103" i="25"/>
  <c r="D102" i="25"/>
  <c r="C102" i="25"/>
  <c r="B102" i="25"/>
  <c r="D101" i="25"/>
  <c r="C101" i="25"/>
  <c r="B101" i="25"/>
  <c r="D100" i="25"/>
  <c r="C100" i="25"/>
  <c r="B100" i="25"/>
  <c r="D99" i="25"/>
  <c r="C99" i="25"/>
  <c r="B99" i="25"/>
  <c r="D98" i="25"/>
  <c r="C98" i="25"/>
  <c r="B98" i="25"/>
  <c r="D97" i="25"/>
  <c r="C97" i="25"/>
  <c r="B97" i="25"/>
  <c r="D96" i="25"/>
  <c r="C96" i="25"/>
  <c r="B96" i="25"/>
  <c r="D95" i="25"/>
  <c r="C95" i="25"/>
  <c r="B95" i="25"/>
  <c r="D94" i="25"/>
  <c r="C94" i="25"/>
  <c r="B94" i="25"/>
  <c r="D93" i="25"/>
  <c r="C93" i="25"/>
  <c r="B93" i="25"/>
  <c r="D92" i="25"/>
  <c r="C92" i="25"/>
  <c r="B92" i="25"/>
  <c r="D91" i="25"/>
  <c r="C91" i="25"/>
  <c r="B91" i="25"/>
  <c r="D90" i="25"/>
  <c r="C90" i="25"/>
  <c r="B90" i="25"/>
  <c r="D89" i="25"/>
  <c r="C89" i="25"/>
  <c r="B89" i="25"/>
  <c r="D88" i="25"/>
  <c r="C88" i="25"/>
  <c r="B88" i="25"/>
  <c r="D87" i="25"/>
  <c r="C87" i="25"/>
  <c r="B87" i="25"/>
  <c r="D86" i="25"/>
  <c r="C86" i="25"/>
  <c r="B86" i="25"/>
  <c r="D85" i="25"/>
  <c r="C85" i="25"/>
  <c r="B85" i="25"/>
  <c r="D84" i="25"/>
  <c r="C84" i="25"/>
  <c r="B84" i="25"/>
  <c r="D83" i="25"/>
  <c r="C83" i="25"/>
  <c r="B83" i="25"/>
  <c r="D82" i="25"/>
  <c r="C82" i="25"/>
  <c r="B82" i="25"/>
  <c r="D81" i="25"/>
  <c r="C81" i="25"/>
  <c r="B81" i="25"/>
  <c r="D80" i="25"/>
  <c r="C80" i="25"/>
  <c r="B80" i="25"/>
  <c r="D79" i="25"/>
  <c r="C79" i="25"/>
  <c r="B79" i="25"/>
  <c r="D78" i="25"/>
  <c r="C78" i="25"/>
  <c r="B78" i="25"/>
  <c r="D77" i="25"/>
  <c r="C77" i="25"/>
  <c r="B77" i="25"/>
  <c r="D76" i="25"/>
  <c r="C76" i="25"/>
  <c r="B76" i="25"/>
  <c r="D75" i="25"/>
  <c r="C75" i="25"/>
  <c r="B75" i="25"/>
  <c r="D74" i="25"/>
  <c r="C74" i="25"/>
  <c r="B74" i="25"/>
  <c r="D73" i="25"/>
  <c r="C73" i="25"/>
  <c r="B73" i="25"/>
  <c r="D72" i="25"/>
  <c r="C72" i="25"/>
  <c r="B72" i="25"/>
  <c r="D71" i="25"/>
  <c r="C71" i="25"/>
  <c r="B71" i="25"/>
  <c r="D70" i="25"/>
  <c r="C70" i="25"/>
  <c r="B70" i="25"/>
  <c r="D69" i="25"/>
  <c r="C69" i="25"/>
  <c r="B69" i="25"/>
  <c r="D68" i="25"/>
  <c r="C68" i="25"/>
  <c r="B68" i="25"/>
  <c r="D67" i="25"/>
  <c r="C67" i="25"/>
  <c r="B67" i="25"/>
  <c r="D66" i="25"/>
  <c r="C66" i="25"/>
  <c r="B66" i="25"/>
  <c r="D65" i="25"/>
  <c r="C65" i="25"/>
  <c r="B65" i="25"/>
  <c r="D64" i="25"/>
  <c r="C64" i="25"/>
  <c r="B64" i="25"/>
  <c r="D63" i="25"/>
  <c r="C63" i="25"/>
  <c r="B63" i="25"/>
  <c r="D62" i="25"/>
  <c r="C62" i="25"/>
  <c r="B62" i="25"/>
  <c r="D61" i="25"/>
  <c r="C61" i="25"/>
  <c r="B61" i="25"/>
  <c r="D60" i="25"/>
  <c r="C60" i="25"/>
  <c r="B60" i="25"/>
  <c r="D59" i="25"/>
  <c r="C59" i="25"/>
  <c r="B59" i="25"/>
  <c r="D58" i="25"/>
  <c r="C58" i="25"/>
  <c r="B58" i="25"/>
  <c r="D57" i="25"/>
  <c r="C57" i="25"/>
  <c r="B57" i="25"/>
  <c r="D56" i="25"/>
  <c r="C56" i="25"/>
  <c r="B56" i="25"/>
  <c r="D55" i="25"/>
  <c r="C55" i="25"/>
  <c r="B55" i="25"/>
  <c r="D54" i="25"/>
  <c r="C54" i="25"/>
  <c r="B54" i="25"/>
  <c r="D53" i="25"/>
  <c r="C53" i="25"/>
  <c r="B53" i="25"/>
  <c r="D52" i="25"/>
  <c r="C52" i="25"/>
  <c r="B52" i="25"/>
  <c r="D51" i="25"/>
  <c r="C51" i="25"/>
  <c r="B51" i="25"/>
  <c r="D50" i="25"/>
  <c r="C50" i="25"/>
  <c r="B50" i="25"/>
  <c r="D49" i="25"/>
  <c r="C49" i="25"/>
  <c r="B49" i="25"/>
  <c r="D48" i="25"/>
  <c r="C48" i="25"/>
  <c r="B48" i="25"/>
  <c r="D47" i="25"/>
  <c r="C47" i="25"/>
  <c r="B47" i="25"/>
  <c r="D46" i="25"/>
  <c r="C46" i="25"/>
  <c r="B46" i="25"/>
  <c r="D45" i="25"/>
  <c r="C45" i="25"/>
  <c r="B45" i="25"/>
  <c r="D44" i="25"/>
  <c r="C44" i="25"/>
  <c r="B44" i="25"/>
  <c r="D43" i="25"/>
  <c r="C43" i="25"/>
  <c r="B43" i="25"/>
  <c r="D42" i="25"/>
  <c r="C42" i="25"/>
  <c r="B42" i="25"/>
  <c r="D41" i="25"/>
  <c r="C41" i="25"/>
  <c r="B41" i="25"/>
  <c r="D40" i="25"/>
  <c r="C40" i="25"/>
  <c r="B40" i="25"/>
  <c r="D39" i="25"/>
  <c r="C39" i="25"/>
  <c r="B39" i="25"/>
  <c r="D38" i="25"/>
  <c r="C38" i="25"/>
  <c r="B38" i="25"/>
  <c r="D37" i="25"/>
  <c r="C37" i="25"/>
  <c r="B37" i="25"/>
  <c r="D36" i="25"/>
  <c r="C36" i="25"/>
  <c r="B36" i="25"/>
  <c r="D35" i="25"/>
  <c r="C35" i="25"/>
  <c r="B35" i="25"/>
  <c r="D34" i="25"/>
  <c r="C34" i="25"/>
  <c r="B34" i="25"/>
  <c r="D33" i="25"/>
  <c r="C33" i="25"/>
  <c r="B33" i="25"/>
  <c r="D32" i="25"/>
  <c r="C32" i="25"/>
  <c r="B32" i="25"/>
  <c r="D31" i="25"/>
  <c r="C31" i="25"/>
  <c r="B31" i="25"/>
  <c r="D30" i="25"/>
  <c r="C30" i="25"/>
  <c r="B30" i="25"/>
  <c r="D29" i="25"/>
  <c r="C29" i="25"/>
  <c r="B29" i="25"/>
  <c r="D28" i="25"/>
  <c r="C28" i="25"/>
  <c r="B28" i="25"/>
  <c r="D27" i="25"/>
  <c r="C27" i="25"/>
  <c r="B27" i="25"/>
  <c r="D26" i="25"/>
  <c r="C26" i="25"/>
  <c r="B26" i="25"/>
  <c r="D25" i="25"/>
  <c r="C25" i="25"/>
  <c r="B25" i="25"/>
  <c r="D24" i="25"/>
  <c r="C24" i="25"/>
  <c r="B24" i="25"/>
  <c r="D23" i="25"/>
  <c r="C23" i="25"/>
  <c r="B23" i="25"/>
  <c r="D22" i="25"/>
  <c r="C22" i="25"/>
  <c r="B22" i="25"/>
  <c r="D21" i="25"/>
  <c r="C21" i="25"/>
  <c r="B21" i="25"/>
  <c r="D20" i="25"/>
  <c r="C20" i="25"/>
  <c r="B20" i="25"/>
  <c r="D19" i="25"/>
  <c r="C19" i="25"/>
  <c r="B19" i="25"/>
  <c r="D18" i="25"/>
  <c r="C18" i="25"/>
  <c r="B18" i="25"/>
  <c r="D17" i="25"/>
  <c r="C17" i="25"/>
  <c r="B17" i="25"/>
  <c r="D16" i="25"/>
  <c r="C16" i="25"/>
  <c r="B16" i="25"/>
  <c r="D15" i="25"/>
  <c r="C15" i="25"/>
  <c r="B15" i="25"/>
  <c r="D14" i="25"/>
  <c r="C14" i="25"/>
  <c r="B14" i="25"/>
  <c r="D13" i="25"/>
  <c r="C13" i="25"/>
  <c r="B13" i="25"/>
  <c r="D12" i="25"/>
  <c r="C12" i="25"/>
  <c r="B12" i="25"/>
  <c r="D11" i="25"/>
  <c r="C11" i="25"/>
  <c r="B11" i="25"/>
  <c r="D10" i="25"/>
  <c r="C10" i="25"/>
  <c r="B10" i="25"/>
  <c r="D9" i="25"/>
  <c r="C9" i="25"/>
  <c r="B9" i="25"/>
  <c r="D8" i="25"/>
  <c r="C8" i="25"/>
  <c r="B8" i="25"/>
  <c r="D7" i="25"/>
  <c r="C7" i="25"/>
  <c r="B7" i="25"/>
  <c r="D6" i="25"/>
  <c r="C6" i="25"/>
  <c r="B6" i="25"/>
  <c r="D5" i="25"/>
  <c r="C5" i="25"/>
  <c r="B5" i="25"/>
  <c r="D4" i="25"/>
  <c r="C4" i="25"/>
  <c r="B4" i="25"/>
  <c r="D109" i="24"/>
  <c r="C109" i="24"/>
  <c r="B109" i="24"/>
  <c r="D108" i="24"/>
  <c r="C108" i="24"/>
  <c r="B108" i="24"/>
  <c r="D107" i="24"/>
  <c r="C107" i="24"/>
  <c r="B107" i="24"/>
  <c r="D106" i="24"/>
  <c r="C106" i="24"/>
  <c r="B106" i="24"/>
  <c r="D105" i="24"/>
  <c r="C105" i="24"/>
  <c r="B105" i="24"/>
  <c r="D104" i="24"/>
  <c r="C104" i="24"/>
  <c r="B104" i="24"/>
  <c r="D103" i="24"/>
  <c r="C103" i="24"/>
  <c r="B103" i="24"/>
  <c r="D102" i="24"/>
  <c r="C102" i="24"/>
  <c r="B102" i="24"/>
  <c r="D101" i="24"/>
  <c r="C101" i="24"/>
  <c r="B101" i="24"/>
  <c r="D100" i="24"/>
  <c r="C100" i="24"/>
  <c r="B100" i="24"/>
  <c r="D99" i="24"/>
  <c r="C99" i="24"/>
  <c r="B99" i="24"/>
  <c r="D98" i="24"/>
  <c r="C98" i="24"/>
  <c r="B98" i="24"/>
  <c r="D97" i="24"/>
  <c r="C97" i="24"/>
  <c r="B97" i="24"/>
  <c r="D96" i="24"/>
  <c r="C96" i="24"/>
  <c r="B96" i="24"/>
  <c r="D95" i="24"/>
  <c r="C95" i="24"/>
  <c r="B95" i="24"/>
  <c r="D94" i="24"/>
  <c r="C94" i="24"/>
  <c r="B94" i="24"/>
  <c r="D93" i="24"/>
  <c r="C93" i="24"/>
  <c r="B93" i="24"/>
  <c r="D92" i="24"/>
  <c r="C92" i="24"/>
  <c r="B92" i="24"/>
  <c r="D91" i="24"/>
  <c r="C91" i="24"/>
  <c r="B91" i="24"/>
  <c r="D90" i="24"/>
  <c r="C90" i="24"/>
  <c r="B90" i="24"/>
  <c r="D89" i="24"/>
  <c r="C89" i="24"/>
  <c r="B89" i="24"/>
  <c r="D88" i="24"/>
  <c r="C88" i="24"/>
  <c r="B88" i="24"/>
  <c r="D87" i="24"/>
  <c r="C87" i="24"/>
  <c r="B87" i="24"/>
  <c r="D86" i="24"/>
  <c r="C86" i="24"/>
  <c r="B86" i="24"/>
  <c r="D85" i="24"/>
  <c r="C85" i="24"/>
  <c r="B85" i="24"/>
  <c r="D84" i="24"/>
  <c r="C84" i="24"/>
  <c r="B84" i="24"/>
  <c r="D83" i="24"/>
  <c r="C83" i="24"/>
  <c r="B83" i="24"/>
  <c r="D82" i="24"/>
  <c r="C82" i="24"/>
  <c r="B82" i="24"/>
  <c r="D81" i="24"/>
  <c r="C81" i="24"/>
  <c r="B81" i="24"/>
  <c r="D80" i="24"/>
  <c r="C80" i="24"/>
  <c r="B80" i="24"/>
  <c r="D79" i="24"/>
  <c r="C79" i="24"/>
  <c r="B79" i="24"/>
  <c r="D78" i="24"/>
  <c r="C78" i="24"/>
  <c r="B78" i="24"/>
  <c r="D77" i="24"/>
  <c r="C77" i="24"/>
  <c r="B77" i="24"/>
  <c r="D76" i="24"/>
  <c r="C76" i="24"/>
  <c r="B76" i="24"/>
  <c r="D75" i="24"/>
  <c r="C75" i="24"/>
  <c r="B75" i="24"/>
  <c r="D74" i="24"/>
  <c r="C74" i="24"/>
  <c r="B74" i="24"/>
  <c r="D73" i="24"/>
  <c r="C73" i="24"/>
  <c r="B73" i="24"/>
  <c r="D72" i="24"/>
  <c r="C72" i="24"/>
  <c r="B72" i="24"/>
  <c r="D71" i="24"/>
  <c r="C71" i="24"/>
  <c r="B71" i="24"/>
  <c r="D70" i="24"/>
  <c r="C70" i="24"/>
  <c r="B70" i="24"/>
  <c r="D69" i="24"/>
  <c r="C69" i="24"/>
  <c r="B69" i="24"/>
  <c r="D68" i="24"/>
  <c r="C68" i="24"/>
  <c r="B68" i="24"/>
  <c r="D67" i="24"/>
  <c r="C67" i="24"/>
  <c r="B67" i="24"/>
  <c r="D66" i="24"/>
  <c r="C66" i="24"/>
  <c r="B66" i="24"/>
  <c r="D65" i="24"/>
  <c r="C65" i="24"/>
  <c r="B65" i="24"/>
  <c r="D64" i="24"/>
  <c r="C64" i="24"/>
  <c r="B64" i="24"/>
  <c r="D63" i="24"/>
  <c r="C63" i="24"/>
  <c r="B63" i="24"/>
  <c r="D62" i="24"/>
  <c r="C62" i="24"/>
  <c r="B62" i="24"/>
  <c r="D61" i="24"/>
  <c r="C61" i="24"/>
  <c r="B61" i="24"/>
  <c r="D60" i="24"/>
  <c r="C60" i="24"/>
  <c r="B60" i="24"/>
  <c r="D59" i="24"/>
  <c r="C59" i="24"/>
  <c r="B59" i="24"/>
  <c r="D58" i="24"/>
  <c r="C58" i="24"/>
  <c r="B58" i="24"/>
  <c r="D57" i="24"/>
  <c r="C57" i="24"/>
  <c r="B57" i="24"/>
  <c r="D56" i="24"/>
  <c r="C56" i="24"/>
  <c r="B56" i="24"/>
  <c r="D55" i="24"/>
  <c r="C55" i="24"/>
  <c r="B55" i="24"/>
  <c r="D54" i="24"/>
  <c r="C54" i="24"/>
  <c r="B54" i="24"/>
  <c r="D53" i="24"/>
  <c r="C53" i="24"/>
  <c r="B53" i="24"/>
  <c r="D52" i="24"/>
  <c r="C52" i="24"/>
  <c r="B52" i="24"/>
  <c r="D51" i="24"/>
  <c r="C51" i="24"/>
  <c r="B51" i="24"/>
  <c r="D50" i="24"/>
  <c r="C50" i="24"/>
  <c r="B50" i="24"/>
  <c r="D49" i="24"/>
  <c r="C49" i="24"/>
  <c r="B49" i="24"/>
  <c r="D48" i="24"/>
  <c r="C48" i="24"/>
  <c r="B48" i="24"/>
  <c r="D47" i="24"/>
  <c r="C47" i="24"/>
  <c r="B47" i="24"/>
  <c r="D46" i="24"/>
  <c r="C46" i="24"/>
  <c r="B46" i="24"/>
  <c r="D45" i="24"/>
  <c r="C45" i="24"/>
  <c r="B45" i="24"/>
  <c r="D44" i="24"/>
  <c r="C44" i="24"/>
  <c r="B44" i="24"/>
  <c r="D43" i="24"/>
  <c r="C43" i="24"/>
  <c r="B43" i="24"/>
  <c r="D42" i="24"/>
  <c r="C42" i="24"/>
  <c r="B42" i="24"/>
  <c r="D41" i="24"/>
  <c r="C41" i="24"/>
  <c r="B41" i="24"/>
  <c r="D40" i="24"/>
  <c r="C40" i="24"/>
  <c r="B40" i="24"/>
  <c r="D39" i="24"/>
  <c r="C39" i="24"/>
  <c r="B39" i="24"/>
  <c r="D38" i="24"/>
  <c r="C38" i="24"/>
  <c r="B38" i="24"/>
  <c r="D37" i="24"/>
  <c r="C37" i="24"/>
  <c r="B37" i="24"/>
  <c r="D36" i="24"/>
  <c r="C36" i="24"/>
  <c r="B36" i="24"/>
  <c r="D35" i="24"/>
  <c r="C35" i="24"/>
  <c r="B35" i="24"/>
  <c r="D34" i="24"/>
  <c r="C34" i="24"/>
  <c r="B34" i="24"/>
  <c r="D33" i="24"/>
  <c r="C33" i="24"/>
  <c r="B33" i="24"/>
  <c r="D32" i="24"/>
  <c r="C32" i="24"/>
  <c r="B32" i="24"/>
  <c r="D31" i="24"/>
  <c r="C31" i="24"/>
  <c r="B31" i="24"/>
  <c r="D30" i="24"/>
  <c r="C30" i="24"/>
  <c r="B30" i="24"/>
  <c r="D29" i="24"/>
  <c r="C29" i="24"/>
  <c r="B29" i="24"/>
  <c r="D28" i="24"/>
  <c r="C28" i="24"/>
  <c r="B28" i="24"/>
  <c r="D27" i="24"/>
  <c r="C27" i="24"/>
  <c r="B27" i="24"/>
  <c r="D26" i="24"/>
  <c r="C26" i="24"/>
  <c r="B26" i="24"/>
  <c r="D25" i="24"/>
  <c r="C25" i="24"/>
  <c r="B25" i="24"/>
  <c r="D24" i="24"/>
  <c r="C24" i="24"/>
  <c r="B24" i="24"/>
  <c r="D23" i="24"/>
  <c r="C23" i="24"/>
  <c r="B23" i="24"/>
  <c r="D22" i="24"/>
  <c r="C22" i="24"/>
  <c r="B22" i="24"/>
  <c r="D21" i="24"/>
  <c r="C21" i="24"/>
  <c r="B21" i="24"/>
  <c r="D20" i="24"/>
  <c r="C20" i="24"/>
  <c r="B20" i="24"/>
  <c r="D19" i="24"/>
  <c r="C19" i="24"/>
  <c r="B19" i="24"/>
  <c r="D18" i="24"/>
  <c r="C18" i="24"/>
  <c r="B18" i="24"/>
  <c r="D17" i="24"/>
  <c r="C17" i="24"/>
  <c r="B17" i="24"/>
  <c r="D16" i="24"/>
  <c r="C16" i="24"/>
  <c r="B16" i="24"/>
  <c r="D15" i="24"/>
  <c r="C15" i="24"/>
  <c r="B15" i="24"/>
  <c r="D14" i="24"/>
  <c r="C14" i="24"/>
  <c r="B14" i="24"/>
  <c r="D13" i="24"/>
  <c r="C13" i="24"/>
  <c r="B13" i="24"/>
  <c r="D12" i="24"/>
  <c r="C12" i="24"/>
  <c r="B12" i="24"/>
  <c r="D11" i="24"/>
  <c r="C11" i="24"/>
  <c r="B11" i="24"/>
  <c r="D10" i="24"/>
  <c r="C10" i="24"/>
  <c r="B10" i="24"/>
  <c r="D9" i="24"/>
  <c r="C9" i="24"/>
  <c r="B9" i="24"/>
  <c r="D8" i="24"/>
  <c r="C8" i="24"/>
  <c r="B8" i="24"/>
  <c r="D7" i="24"/>
  <c r="C7" i="24"/>
  <c r="B7" i="24"/>
  <c r="D6" i="24"/>
  <c r="C6" i="24"/>
  <c r="B6" i="24"/>
  <c r="D5" i="24"/>
  <c r="C5" i="24"/>
  <c r="B5" i="24"/>
  <c r="D4" i="24"/>
  <c r="C4" i="24"/>
  <c r="B4" i="24"/>
  <c r="D109" i="23"/>
  <c r="C109" i="23"/>
  <c r="B109" i="23"/>
  <c r="D108" i="23"/>
  <c r="C108" i="23"/>
  <c r="B108" i="23"/>
  <c r="D107" i="23"/>
  <c r="C107" i="23"/>
  <c r="B107" i="23"/>
  <c r="D106" i="23"/>
  <c r="C106" i="23"/>
  <c r="B106" i="23"/>
  <c r="D105" i="23"/>
  <c r="C105" i="23"/>
  <c r="B105" i="23"/>
  <c r="D104" i="23"/>
  <c r="C104" i="23"/>
  <c r="B104" i="23"/>
  <c r="D103" i="23"/>
  <c r="C103" i="23"/>
  <c r="B103" i="23"/>
  <c r="D102" i="23"/>
  <c r="C102" i="23"/>
  <c r="B102" i="23"/>
  <c r="D101" i="23"/>
  <c r="C101" i="23"/>
  <c r="B101" i="23"/>
  <c r="D100" i="23"/>
  <c r="C100" i="23"/>
  <c r="B100" i="23"/>
  <c r="D99" i="23"/>
  <c r="C99" i="23"/>
  <c r="B99" i="23"/>
  <c r="D98" i="23"/>
  <c r="C98" i="23"/>
  <c r="B98" i="23"/>
  <c r="D97" i="23"/>
  <c r="C97" i="23"/>
  <c r="B97" i="23"/>
  <c r="D96" i="23"/>
  <c r="C96" i="23"/>
  <c r="B96" i="23"/>
  <c r="D95" i="23"/>
  <c r="C95" i="23"/>
  <c r="B95" i="23"/>
  <c r="D94" i="23"/>
  <c r="C94" i="23"/>
  <c r="B94" i="23"/>
  <c r="D93" i="23"/>
  <c r="C93" i="23"/>
  <c r="B93" i="23"/>
  <c r="D92" i="23"/>
  <c r="C92" i="23"/>
  <c r="B92" i="23"/>
  <c r="D91" i="23"/>
  <c r="C91" i="23"/>
  <c r="B91" i="23"/>
  <c r="D90" i="23"/>
  <c r="C90" i="23"/>
  <c r="B90" i="23"/>
  <c r="D89" i="23"/>
  <c r="C89" i="23"/>
  <c r="B89" i="23"/>
  <c r="D88" i="23"/>
  <c r="C88" i="23"/>
  <c r="B88" i="23"/>
  <c r="D87" i="23"/>
  <c r="C87" i="23"/>
  <c r="B87" i="23"/>
  <c r="D86" i="23"/>
  <c r="C86" i="23"/>
  <c r="B86" i="23"/>
  <c r="D85" i="23"/>
  <c r="C85" i="23"/>
  <c r="B85" i="23"/>
  <c r="D84" i="23"/>
  <c r="C84" i="23"/>
  <c r="B84" i="23"/>
  <c r="D83" i="23"/>
  <c r="C83" i="23"/>
  <c r="B83" i="23"/>
  <c r="D82" i="23"/>
  <c r="C82" i="23"/>
  <c r="B82" i="23"/>
  <c r="D81" i="23"/>
  <c r="C81" i="23"/>
  <c r="B81" i="23"/>
  <c r="D80" i="23"/>
  <c r="C80" i="23"/>
  <c r="B80" i="23"/>
  <c r="D79" i="23"/>
  <c r="C79" i="23"/>
  <c r="B79" i="23"/>
  <c r="D78" i="23"/>
  <c r="C78" i="23"/>
  <c r="B78" i="23"/>
  <c r="D77" i="23"/>
  <c r="C77" i="23"/>
  <c r="B77" i="23"/>
  <c r="D76" i="23"/>
  <c r="C76" i="23"/>
  <c r="B76" i="23"/>
  <c r="D75" i="23"/>
  <c r="C75" i="23"/>
  <c r="B75" i="23"/>
  <c r="D74" i="23"/>
  <c r="C74" i="23"/>
  <c r="B74" i="23"/>
  <c r="D73" i="23"/>
  <c r="C73" i="23"/>
  <c r="B73" i="23"/>
  <c r="D72" i="23"/>
  <c r="C72" i="23"/>
  <c r="B72" i="23"/>
  <c r="D71" i="23"/>
  <c r="C71" i="23"/>
  <c r="B71" i="23"/>
  <c r="D70" i="23"/>
  <c r="C70" i="23"/>
  <c r="B70" i="23"/>
  <c r="D69" i="23"/>
  <c r="C69" i="23"/>
  <c r="B69" i="23"/>
  <c r="D68" i="23"/>
  <c r="C68" i="23"/>
  <c r="B68" i="23"/>
  <c r="D67" i="23"/>
  <c r="C67" i="23"/>
  <c r="B67" i="23"/>
  <c r="D66" i="23"/>
  <c r="C66" i="23"/>
  <c r="B66" i="23"/>
  <c r="D65" i="23"/>
  <c r="C65" i="23"/>
  <c r="B65" i="23"/>
  <c r="D64" i="23"/>
  <c r="C64" i="23"/>
  <c r="B64" i="23"/>
  <c r="D63" i="23"/>
  <c r="C63" i="23"/>
  <c r="B63" i="23"/>
  <c r="D62" i="23"/>
  <c r="C62" i="23"/>
  <c r="B62" i="23"/>
  <c r="D61" i="23"/>
  <c r="C61" i="23"/>
  <c r="B61" i="23"/>
  <c r="D60" i="23"/>
  <c r="C60" i="23"/>
  <c r="B60" i="23"/>
  <c r="D59" i="23"/>
  <c r="C59" i="23"/>
  <c r="B59" i="23"/>
  <c r="D58" i="23"/>
  <c r="C58" i="23"/>
  <c r="B58" i="23"/>
  <c r="D57" i="23"/>
  <c r="C57" i="23"/>
  <c r="B57" i="23"/>
  <c r="D56" i="23"/>
  <c r="C56" i="23"/>
  <c r="B56" i="23"/>
  <c r="D55" i="23"/>
  <c r="C55" i="23"/>
  <c r="B55" i="23"/>
  <c r="D54" i="23"/>
  <c r="C54" i="23"/>
  <c r="B54" i="23"/>
  <c r="D53" i="23"/>
  <c r="C53" i="23"/>
  <c r="B53" i="23"/>
  <c r="D52" i="23"/>
  <c r="C52" i="23"/>
  <c r="B52" i="23"/>
  <c r="D51" i="23"/>
  <c r="C51" i="23"/>
  <c r="B51" i="23"/>
  <c r="D50" i="23"/>
  <c r="C50" i="23"/>
  <c r="B50" i="23"/>
  <c r="D49" i="23"/>
  <c r="C49" i="23"/>
  <c r="B49" i="23"/>
  <c r="D48" i="23"/>
  <c r="C48" i="23"/>
  <c r="B48" i="23"/>
  <c r="D47" i="23"/>
  <c r="C47" i="23"/>
  <c r="B47" i="23"/>
  <c r="D46" i="23"/>
  <c r="C46" i="23"/>
  <c r="B46" i="23"/>
  <c r="D45" i="23"/>
  <c r="C45" i="23"/>
  <c r="B45" i="23"/>
  <c r="D44" i="23"/>
  <c r="C44" i="23"/>
  <c r="B44" i="23"/>
  <c r="D43" i="23"/>
  <c r="C43" i="23"/>
  <c r="B43" i="23"/>
  <c r="D42" i="23"/>
  <c r="C42" i="23"/>
  <c r="B42" i="23"/>
  <c r="D41" i="23"/>
  <c r="C41" i="23"/>
  <c r="B41" i="23"/>
  <c r="D40" i="23"/>
  <c r="C40" i="23"/>
  <c r="B40" i="23"/>
  <c r="D39" i="23"/>
  <c r="C39" i="23"/>
  <c r="B39" i="23"/>
  <c r="D38" i="23"/>
  <c r="C38" i="23"/>
  <c r="B38" i="23"/>
  <c r="D37" i="23"/>
  <c r="C37" i="23"/>
  <c r="B37" i="23"/>
  <c r="D36" i="23"/>
  <c r="C36" i="23"/>
  <c r="B36" i="23"/>
  <c r="D35" i="23"/>
  <c r="C35" i="23"/>
  <c r="B35" i="23"/>
  <c r="D34" i="23"/>
  <c r="C34" i="23"/>
  <c r="B34" i="23"/>
  <c r="D33" i="23"/>
  <c r="C33" i="23"/>
  <c r="B33" i="23"/>
  <c r="D32" i="23"/>
  <c r="C32" i="23"/>
  <c r="B32" i="23"/>
  <c r="D31" i="23"/>
  <c r="C31" i="23"/>
  <c r="B31" i="23"/>
  <c r="D30" i="23"/>
  <c r="C30" i="23"/>
  <c r="B30" i="23"/>
  <c r="D29" i="23"/>
  <c r="C29" i="23"/>
  <c r="B29" i="23"/>
  <c r="D28" i="23"/>
  <c r="C28" i="23"/>
  <c r="B28" i="23"/>
  <c r="D27" i="23"/>
  <c r="C27" i="23"/>
  <c r="B27" i="23"/>
  <c r="D26" i="23"/>
  <c r="C26" i="23"/>
  <c r="B26" i="23"/>
  <c r="D25" i="23"/>
  <c r="C25" i="23"/>
  <c r="B25" i="23"/>
  <c r="D24" i="23"/>
  <c r="C24" i="23"/>
  <c r="B24" i="23"/>
  <c r="D23" i="23"/>
  <c r="C23" i="23"/>
  <c r="B23" i="23"/>
  <c r="D22" i="23"/>
  <c r="C22" i="23"/>
  <c r="B22" i="23"/>
  <c r="D21" i="23"/>
  <c r="C21" i="23"/>
  <c r="B21" i="23"/>
  <c r="D20" i="23"/>
  <c r="C20" i="23"/>
  <c r="B20" i="23"/>
  <c r="D19" i="23"/>
  <c r="C19" i="23"/>
  <c r="B19" i="23"/>
  <c r="D18" i="23"/>
  <c r="C18" i="23"/>
  <c r="B18" i="23"/>
  <c r="D17" i="23"/>
  <c r="C17" i="23"/>
  <c r="B17" i="23"/>
  <c r="D16" i="23"/>
  <c r="C16" i="23"/>
  <c r="B16" i="23"/>
  <c r="D15" i="23"/>
  <c r="C15" i="23"/>
  <c r="B15" i="23"/>
  <c r="D14" i="23"/>
  <c r="C14" i="23"/>
  <c r="B14" i="23"/>
  <c r="D13" i="23"/>
  <c r="C13" i="23"/>
  <c r="B13" i="23"/>
  <c r="D12" i="23"/>
  <c r="C12" i="23"/>
  <c r="B12" i="23"/>
  <c r="D11" i="23"/>
  <c r="C11" i="23"/>
  <c r="B11" i="23"/>
  <c r="D10" i="23"/>
  <c r="C10" i="23"/>
  <c r="B10" i="23"/>
  <c r="D9" i="23"/>
  <c r="C9" i="23"/>
  <c r="B9" i="23"/>
  <c r="D8" i="23"/>
  <c r="C8" i="23"/>
  <c r="B8" i="23"/>
  <c r="D7" i="23"/>
  <c r="C7" i="23"/>
  <c r="B7" i="23"/>
  <c r="D6" i="23"/>
  <c r="C6" i="23"/>
  <c r="B6" i="23"/>
  <c r="D5" i="23"/>
  <c r="C5" i="23"/>
  <c r="B5" i="23"/>
  <c r="D4" i="23"/>
  <c r="C4" i="23"/>
  <c r="B4" i="23"/>
  <c r="D109" i="22"/>
  <c r="C109" i="22"/>
  <c r="B109" i="22"/>
  <c r="D108" i="22"/>
  <c r="C108" i="22"/>
  <c r="B108" i="22"/>
  <c r="D107" i="22"/>
  <c r="C107" i="22"/>
  <c r="B107" i="22"/>
  <c r="D106" i="22"/>
  <c r="C106" i="22"/>
  <c r="B106" i="22"/>
  <c r="D105" i="22"/>
  <c r="C105" i="22"/>
  <c r="B105" i="22"/>
  <c r="D104" i="22"/>
  <c r="C104" i="22"/>
  <c r="B104" i="22"/>
  <c r="D103" i="22"/>
  <c r="C103" i="22"/>
  <c r="B103" i="22"/>
  <c r="D102" i="22"/>
  <c r="C102" i="22"/>
  <c r="B102" i="22"/>
  <c r="D101" i="22"/>
  <c r="C101" i="22"/>
  <c r="B101" i="22"/>
  <c r="D100" i="22"/>
  <c r="C100" i="22"/>
  <c r="B100" i="22"/>
  <c r="D99" i="22"/>
  <c r="C99" i="22"/>
  <c r="B99" i="22"/>
  <c r="D98" i="22"/>
  <c r="C98" i="22"/>
  <c r="B98" i="22"/>
  <c r="D97" i="22"/>
  <c r="C97" i="22"/>
  <c r="B97" i="22"/>
  <c r="D96" i="22"/>
  <c r="C96" i="22"/>
  <c r="B96" i="22"/>
  <c r="D95" i="22"/>
  <c r="C95" i="22"/>
  <c r="B95" i="22"/>
  <c r="D94" i="22"/>
  <c r="C94" i="22"/>
  <c r="B94" i="22"/>
  <c r="D93" i="22"/>
  <c r="C93" i="22"/>
  <c r="B93" i="22"/>
  <c r="D92" i="22"/>
  <c r="C92" i="22"/>
  <c r="B92" i="22"/>
  <c r="D91" i="22"/>
  <c r="C91" i="22"/>
  <c r="B91" i="22"/>
  <c r="D90" i="22"/>
  <c r="C90" i="22"/>
  <c r="B90" i="22"/>
  <c r="D89" i="22"/>
  <c r="C89" i="22"/>
  <c r="B89" i="22"/>
  <c r="D88" i="22"/>
  <c r="C88" i="22"/>
  <c r="B88" i="22"/>
  <c r="D87" i="22"/>
  <c r="C87" i="22"/>
  <c r="B87" i="22"/>
  <c r="D86" i="22"/>
  <c r="C86" i="22"/>
  <c r="B86" i="22"/>
  <c r="D85" i="22"/>
  <c r="C85" i="22"/>
  <c r="B85" i="22"/>
  <c r="D84" i="22"/>
  <c r="C84" i="22"/>
  <c r="B84" i="22"/>
  <c r="D83" i="22"/>
  <c r="C83" i="22"/>
  <c r="B83" i="22"/>
  <c r="D82" i="22"/>
  <c r="C82" i="22"/>
  <c r="B82" i="22"/>
  <c r="D81" i="22"/>
  <c r="C81" i="22"/>
  <c r="B81" i="22"/>
  <c r="D80" i="22"/>
  <c r="C80" i="22"/>
  <c r="B80" i="22"/>
  <c r="D79" i="22"/>
  <c r="C79" i="22"/>
  <c r="B79" i="22"/>
  <c r="D78" i="22"/>
  <c r="C78" i="22"/>
  <c r="B78" i="22"/>
  <c r="D77" i="22"/>
  <c r="C77" i="22"/>
  <c r="B77" i="22"/>
  <c r="D76" i="22"/>
  <c r="C76" i="22"/>
  <c r="B76" i="22"/>
  <c r="D75" i="22"/>
  <c r="C75" i="22"/>
  <c r="B75" i="22"/>
  <c r="D74" i="22"/>
  <c r="C74" i="22"/>
  <c r="B74" i="22"/>
  <c r="D73" i="22"/>
  <c r="C73" i="22"/>
  <c r="B73" i="22"/>
  <c r="D72" i="22"/>
  <c r="C72" i="22"/>
  <c r="B72" i="22"/>
  <c r="D71" i="22"/>
  <c r="C71" i="22"/>
  <c r="B71" i="22"/>
  <c r="D70" i="22"/>
  <c r="C70" i="22"/>
  <c r="B70" i="22"/>
  <c r="D69" i="22"/>
  <c r="C69" i="22"/>
  <c r="B69" i="22"/>
  <c r="D68" i="22"/>
  <c r="C68" i="22"/>
  <c r="B68" i="22"/>
  <c r="D67" i="22"/>
  <c r="C67" i="22"/>
  <c r="B67" i="22"/>
  <c r="D66" i="22"/>
  <c r="C66" i="22"/>
  <c r="B66" i="22"/>
  <c r="D65" i="22"/>
  <c r="C65" i="22"/>
  <c r="B65" i="22"/>
  <c r="D64" i="22"/>
  <c r="C64" i="22"/>
  <c r="B64" i="22"/>
  <c r="D63" i="22"/>
  <c r="C63" i="22"/>
  <c r="B63" i="22"/>
  <c r="D62" i="22"/>
  <c r="C62" i="22"/>
  <c r="B62" i="22"/>
  <c r="D61" i="22"/>
  <c r="C61" i="22"/>
  <c r="B61" i="22"/>
  <c r="D60" i="22"/>
  <c r="C60" i="22"/>
  <c r="B60" i="22"/>
  <c r="D59" i="22"/>
  <c r="C59" i="22"/>
  <c r="B59" i="22"/>
  <c r="D58" i="22"/>
  <c r="C58" i="22"/>
  <c r="B58" i="22"/>
  <c r="D57" i="22"/>
  <c r="C57" i="22"/>
  <c r="B57" i="22"/>
  <c r="D56" i="22"/>
  <c r="C56" i="22"/>
  <c r="B56" i="22"/>
  <c r="D55" i="22"/>
  <c r="C55" i="22"/>
  <c r="B55" i="22"/>
  <c r="D54" i="22"/>
  <c r="C54" i="22"/>
  <c r="B54" i="22"/>
  <c r="D53" i="22"/>
  <c r="C53" i="22"/>
  <c r="B53" i="22"/>
  <c r="D52" i="22"/>
  <c r="C52" i="22"/>
  <c r="B52" i="22"/>
  <c r="D51" i="22"/>
  <c r="C51" i="22"/>
  <c r="B51" i="22"/>
  <c r="D50" i="22"/>
  <c r="C50" i="22"/>
  <c r="B50" i="22"/>
  <c r="D49" i="22"/>
  <c r="C49" i="22"/>
  <c r="B49" i="22"/>
  <c r="D48" i="22"/>
  <c r="C48" i="22"/>
  <c r="B48" i="22"/>
  <c r="D47" i="22"/>
  <c r="C47" i="22"/>
  <c r="B47" i="22"/>
  <c r="D46" i="22"/>
  <c r="C46" i="22"/>
  <c r="B46" i="22"/>
  <c r="D45" i="22"/>
  <c r="C45" i="22"/>
  <c r="B45" i="22"/>
  <c r="D44" i="22"/>
  <c r="C44" i="22"/>
  <c r="B44" i="22"/>
  <c r="D43" i="22"/>
  <c r="C43" i="22"/>
  <c r="B43" i="22"/>
  <c r="D42" i="22"/>
  <c r="C42" i="22"/>
  <c r="B42" i="22"/>
  <c r="D41" i="22"/>
  <c r="C41" i="22"/>
  <c r="B41" i="22"/>
  <c r="D40" i="22"/>
  <c r="C40" i="22"/>
  <c r="B40" i="22"/>
  <c r="D39" i="22"/>
  <c r="C39" i="22"/>
  <c r="B39" i="22"/>
  <c r="D38" i="22"/>
  <c r="C38" i="22"/>
  <c r="B38" i="22"/>
  <c r="D37" i="22"/>
  <c r="C37" i="22"/>
  <c r="B37" i="22"/>
  <c r="D36" i="22"/>
  <c r="C36" i="22"/>
  <c r="B36" i="22"/>
  <c r="D35" i="22"/>
  <c r="C35" i="22"/>
  <c r="B35" i="22"/>
  <c r="D34" i="22"/>
  <c r="C34" i="22"/>
  <c r="B34" i="22"/>
  <c r="D33" i="22"/>
  <c r="C33" i="22"/>
  <c r="B33" i="22"/>
  <c r="D32" i="22"/>
  <c r="C32" i="22"/>
  <c r="B32" i="22"/>
  <c r="D31" i="22"/>
  <c r="C31" i="22"/>
  <c r="B31" i="22"/>
  <c r="D30" i="22"/>
  <c r="C30" i="22"/>
  <c r="B30" i="22"/>
  <c r="D29" i="22"/>
  <c r="C29" i="22"/>
  <c r="B29" i="22"/>
  <c r="D28" i="22"/>
  <c r="C28" i="22"/>
  <c r="B28" i="22"/>
  <c r="D27" i="22"/>
  <c r="C27" i="22"/>
  <c r="B27" i="22"/>
  <c r="D26" i="22"/>
  <c r="C26" i="22"/>
  <c r="B26" i="22"/>
  <c r="D25" i="22"/>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8" i="22"/>
  <c r="C8" i="22"/>
  <c r="B8" i="22"/>
  <c r="D7" i="22"/>
  <c r="C7" i="22"/>
  <c r="B7" i="22"/>
  <c r="D6" i="22"/>
  <c r="C6" i="22"/>
  <c r="B6" i="22"/>
  <c r="D5" i="22"/>
  <c r="C5" i="22"/>
  <c r="B5" i="22"/>
  <c r="D4" i="22"/>
  <c r="C4" i="22"/>
  <c r="B4" i="22"/>
  <c r="D109" i="21"/>
  <c r="C109" i="21"/>
  <c r="B109" i="21"/>
  <c r="D108" i="21"/>
  <c r="C108" i="21"/>
  <c r="B108" i="21"/>
  <c r="D107" i="21"/>
  <c r="C107" i="21"/>
  <c r="B107" i="21"/>
  <c r="D106" i="21"/>
  <c r="C106" i="21"/>
  <c r="B106" i="21"/>
  <c r="D105" i="21"/>
  <c r="C105" i="21"/>
  <c r="B105" i="21"/>
  <c r="D104" i="21"/>
  <c r="C104" i="21"/>
  <c r="B104" i="21"/>
  <c r="D103" i="21"/>
  <c r="C103" i="21"/>
  <c r="B103" i="21"/>
  <c r="D102" i="21"/>
  <c r="C102" i="21"/>
  <c r="B102" i="21"/>
  <c r="D101" i="21"/>
  <c r="C101" i="21"/>
  <c r="B101" i="21"/>
  <c r="D100" i="21"/>
  <c r="C100" i="21"/>
  <c r="B100" i="21"/>
  <c r="D99" i="21"/>
  <c r="C99" i="21"/>
  <c r="B99" i="21"/>
  <c r="D98" i="21"/>
  <c r="C98" i="21"/>
  <c r="B98" i="21"/>
  <c r="D97" i="21"/>
  <c r="C97" i="21"/>
  <c r="B97" i="21"/>
  <c r="D96" i="21"/>
  <c r="C96" i="21"/>
  <c r="B96" i="21"/>
  <c r="D95" i="21"/>
  <c r="C95" i="21"/>
  <c r="B95" i="21"/>
  <c r="D94" i="21"/>
  <c r="C94" i="21"/>
  <c r="B94" i="21"/>
  <c r="D93" i="21"/>
  <c r="C93" i="21"/>
  <c r="B93" i="21"/>
  <c r="D92" i="21"/>
  <c r="C92" i="21"/>
  <c r="B92" i="21"/>
  <c r="D91" i="21"/>
  <c r="C91" i="21"/>
  <c r="B91" i="21"/>
  <c r="D90" i="21"/>
  <c r="C90" i="21"/>
  <c r="B90" i="21"/>
  <c r="D89" i="21"/>
  <c r="C89" i="21"/>
  <c r="B89" i="21"/>
  <c r="D88" i="21"/>
  <c r="C88" i="21"/>
  <c r="B88" i="21"/>
  <c r="D87" i="21"/>
  <c r="C87" i="21"/>
  <c r="B87" i="21"/>
  <c r="D86" i="21"/>
  <c r="C86" i="21"/>
  <c r="B86" i="21"/>
  <c r="D85" i="21"/>
  <c r="C85" i="21"/>
  <c r="B85" i="21"/>
  <c r="D84" i="21"/>
  <c r="C84" i="21"/>
  <c r="B84" i="21"/>
  <c r="D83" i="21"/>
  <c r="C83" i="21"/>
  <c r="B83" i="21"/>
  <c r="D82" i="21"/>
  <c r="C82" i="21"/>
  <c r="B82" i="21"/>
  <c r="D81" i="21"/>
  <c r="C81" i="21"/>
  <c r="B81" i="21"/>
  <c r="D80" i="21"/>
  <c r="C80" i="21"/>
  <c r="B80" i="21"/>
  <c r="D79" i="21"/>
  <c r="C79" i="21"/>
  <c r="B79" i="21"/>
  <c r="D78" i="21"/>
  <c r="C78" i="21"/>
  <c r="B78" i="21"/>
  <c r="D77" i="21"/>
  <c r="C77" i="21"/>
  <c r="B77" i="21"/>
  <c r="D76" i="21"/>
  <c r="C76" i="21"/>
  <c r="B76" i="21"/>
  <c r="D75" i="21"/>
  <c r="C75" i="21"/>
  <c r="B75" i="21"/>
  <c r="D74" i="21"/>
  <c r="C74" i="21"/>
  <c r="B74" i="21"/>
  <c r="D73" i="21"/>
  <c r="C73" i="21"/>
  <c r="B73" i="21"/>
  <c r="D72" i="21"/>
  <c r="C72" i="21"/>
  <c r="B72" i="21"/>
  <c r="D71" i="21"/>
  <c r="C71" i="21"/>
  <c r="B71" i="21"/>
  <c r="D70" i="21"/>
  <c r="C70" i="21"/>
  <c r="B70" i="21"/>
  <c r="D69" i="21"/>
  <c r="C69" i="21"/>
  <c r="B69" i="21"/>
  <c r="D68" i="21"/>
  <c r="C68" i="21"/>
  <c r="B68" i="21"/>
  <c r="D67" i="21"/>
  <c r="C67" i="21"/>
  <c r="B67" i="21"/>
  <c r="D66" i="21"/>
  <c r="C66" i="21"/>
  <c r="B66" i="21"/>
  <c r="D65" i="21"/>
  <c r="C65" i="21"/>
  <c r="B65" i="21"/>
  <c r="D64" i="21"/>
  <c r="C64" i="21"/>
  <c r="B64" i="21"/>
  <c r="D63" i="21"/>
  <c r="C63" i="21"/>
  <c r="B63" i="21"/>
  <c r="D62" i="21"/>
  <c r="C62" i="21"/>
  <c r="B62" i="21"/>
  <c r="D61" i="21"/>
  <c r="C61" i="21"/>
  <c r="B61" i="21"/>
  <c r="D60" i="21"/>
  <c r="C60" i="21"/>
  <c r="B60" i="21"/>
  <c r="D59" i="21"/>
  <c r="C59" i="21"/>
  <c r="B59" i="21"/>
  <c r="D58" i="21"/>
  <c r="C58" i="21"/>
  <c r="B58" i="21"/>
  <c r="D57" i="21"/>
  <c r="C57" i="21"/>
  <c r="B57" i="21"/>
  <c r="D56" i="21"/>
  <c r="C56" i="21"/>
  <c r="B56" i="21"/>
  <c r="D55" i="21"/>
  <c r="C55" i="21"/>
  <c r="B55" i="21"/>
  <c r="D54" i="21"/>
  <c r="C54" i="21"/>
  <c r="B54" i="21"/>
  <c r="D53" i="21"/>
  <c r="C53" i="21"/>
  <c r="B53" i="21"/>
  <c r="D52" i="21"/>
  <c r="C52" i="21"/>
  <c r="B52" i="21"/>
  <c r="D51" i="21"/>
  <c r="C51" i="21"/>
  <c r="B51" i="21"/>
  <c r="D50" i="21"/>
  <c r="C50" i="21"/>
  <c r="B50" i="21"/>
  <c r="D49" i="21"/>
  <c r="C49" i="21"/>
  <c r="B49" i="21"/>
  <c r="D48" i="21"/>
  <c r="C48" i="21"/>
  <c r="B48" i="21"/>
  <c r="D47" i="21"/>
  <c r="C47" i="21"/>
  <c r="B47" i="21"/>
  <c r="D46" i="21"/>
  <c r="C46" i="21"/>
  <c r="B46" i="21"/>
  <c r="D45" i="21"/>
  <c r="C45" i="21"/>
  <c r="B45" i="21"/>
  <c r="D44" i="21"/>
  <c r="C44" i="21"/>
  <c r="B44" i="21"/>
  <c r="D43" i="21"/>
  <c r="C43" i="21"/>
  <c r="B43" i="21"/>
  <c r="D42" i="21"/>
  <c r="C42" i="21"/>
  <c r="B42" i="21"/>
  <c r="D41" i="21"/>
  <c r="C41" i="21"/>
  <c r="B41" i="21"/>
  <c r="D40" i="21"/>
  <c r="C40" i="21"/>
  <c r="B40" i="21"/>
  <c r="D39" i="21"/>
  <c r="C39" i="21"/>
  <c r="B39" i="21"/>
  <c r="D38" i="21"/>
  <c r="C38" i="21"/>
  <c r="B38" i="21"/>
  <c r="D37" i="21"/>
  <c r="C37" i="21"/>
  <c r="B37" i="21"/>
  <c r="D36" i="21"/>
  <c r="C36" i="21"/>
  <c r="B36" i="21"/>
  <c r="D35" i="21"/>
  <c r="C35" i="21"/>
  <c r="B35" i="21"/>
  <c r="D34" i="21"/>
  <c r="C34" i="21"/>
  <c r="B34" i="21"/>
  <c r="D33" i="21"/>
  <c r="C33" i="21"/>
  <c r="B33" i="21"/>
  <c r="D32" i="21"/>
  <c r="C32" i="21"/>
  <c r="B32" i="21"/>
  <c r="D31" i="21"/>
  <c r="C31" i="21"/>
  <c r="B31" i="21"/>
  <c r="D30" i="21"/>
  <c r="C30" i="21"/>
  <c r="B30" i="21"/>
  <c r="D29" i="21"/>
  <c r="C29" i="21"/>
  <c r="B29" i="21"/>
  <c r="D28" i="21"/>
  <c r="C28" i="21"/>
  <c r="B28" i="21"/>
  <c r="D27" i="21"/>
  <c r="C27" i="21"/>
  <c r="B27" i="21"/>
  <c r="D26" i="21"/>
  <c r="C26" i="21"/>
  <c r="B26" i="21"/>
  <c r="D25" i="21"/>
  <c r="C25" i="21"/>
  <c r="B25" i="21"/>
  <c r="D24" i="21"/>
  <c r="C24" i="21"/>
  <c r="B24" i="21"/>
  <c r="D23" i="21"/>
  <c r="C23" i="21"/>
  <c r="B23" i="21"/>
  <c r="D22" i="21"/>
  <c r="C22" i="21"/>
  <c r="B22" i="21"/>
  <c r="D21" i="21"/>
  <c r="C21" i="21"/>
  <c r="B21" i="21"/>
  <c r="D20" i="21"/>
  <c r="C20" i="21"/>
  <c r="B20" i="21"/>
  <c r="D19" i="21"/>
  <c r="C19" i="21"/>
  <c r="B19" i="21"/>
  <c r="D18" i="21"/>
  <c r="C18" i="21"/>
  <c r="B18" i="21"/>
  <c r="D17" i="21"/>
  <c r="C17" i="21"/>
  <c r="B17" i="21"/>
  <c r="D16" i="21"/>
  <c r="C16" i="21"/>
  <c r="B16" i="21"/>
  <c r="D15" i="21"/>
  <c r="C15" i="21"/>
  <c r="B15" i="21"/>
  <c r="D14" i="21"/>
  <c r="C14" i="21"/>
  <c r="B14" i="21"/>
  <c r="D13" i="21"/>
  <c r="C13" i="21"/>
  <c r="B13" i="21"/>
  <c r="D12" i="21"/>
  <c r="C12" i="21"/>
  <c r="B12" i="21"/>
  <c r="D11" i="21"/>
  <c r="C11" i="21"/>
  <c r="B11" i="21"/>
  <c r="D10" i="21"/>
  <c r="C10" i="21"/>
  <c r="B10" i="21"/>
  <c r="D9" i="21"/>
  <c r="C9" i="21"/>
  <c r="B9" i="21"/>
  <c r="D8" i="21"/>
  <c r="C8" i="21"/>
  <c r="B8" i="21"/>
  <c r="D7" i="21"/>
  <c r="C7" i="21"/>
  <c r="B7" i="21"/>
  <c r="D6" i="21"/>
  <c r="C6" i="21"/>
  <c r="B6" i="21"/>
  <c r="D5" i="21"/>
  <c r="C5" i="21"/>
  <c r="B5" i="21"/>
  <c r="D4" i="21"/>
  <c r="C4" i="21"/>
  <c r="B4" i="21"/>
  <c r="D109" i="20"/>
  <c r="C109" i="20"/>
  <c r="B109" i="20"/>
  <c r="D108" i="20"/>
  <c r="C108" i="20"/>
  <c r="B108" i="20"/>
  <c r="D107" i="20"/>
  <c r="C107" i="20"/>
  <c r="B107" i="20"/>
  <c r="D106" i="20"/>
  <c r="C106" i="20"/>
  <c r="B106" i="20"/>
  <c r="D105" i="20"/>
  <c r="C105" i="20"/>
  <c r="B105" i="20"/>
  <c r="D104" i="20"/>
  <c r="C104" i="20"/>
  <c r="B104" i="20"/>
  <c r="D103" i="20"/>
  <c r="C103" i="20"/>
  <c r="B103" i="20"/>
  <c r="D102" i="20"/>
  <c r="C102" i="20"/>
  <c r="B102" i="20"/>
  <c r="D101" i="20"/>
  <c r="C101" i="20"/>
  <c r="B101" i="20"/>
  <c r="D100" i="20"/>
  <c r="C100" i="20"/>
  <c r="B100" i="20"/>
  <c r="D99" i="20"/>
  <c r="C99" i="20"/>
  <c r="B99" i="20"/>
  <c r="D98" i="20"/>
  <c r="C98" i="20"/>
  <c r="B98" i="20"/>
  <c r="D97" i="20"/>
  <c r="C97" i="20"/>
  <c r="B97" i="20"/>
  <c r="D96" i="20"/>
  <c r="C96" i="20"/>
  <c r="B96" i="20"/>
  <c r="D95" i="20"/>
  <c r="C95" i="20"/>
  <c r="B95" i="20"/>
  <c r="D94" i="20"/>
  <c r="C94" i="20"/>
  <c r="B94" i="20"/>
  <c r="D93" i="20"/>
  <c r="C93" i="20"/>
  <c r="B93" i="20"/>
  <c r="D92" i="20"/>
  <c r="C92" i="20"/>
  <c r="B92" i="20"/>
  <c r="D91" i="20"/>
  <c r="C91" i="20"/>
  <c r="B91" i="20"/>
  <c r="D90" i="20"/>
  <c r="C90" i="20"/>
  <c r="B90" i="20"/>
  <c r="D89" i="20"/>
  <c r="C89" i="20"/>
  <c r="B89" i="20"/>
  <c r="D88" i="20"/>
  <c r="C88" i="20"/>
  <c r="B88" i="20"/>
  <c r="D87" i="20"/>
  <c r="C87" i="20"/>
  <c r="B87" i="20"/>
  <c r="D86" i="20"/>
  <c r="C86" i="20"/>
  <c r="B86" i="20"/>
  <c r="D85" i="20"/>
  <c r="C85" i="20"/>
  <c r="B85" i="20"/>
  <c r="D84" i="20"/>
  <c r="C84" i="20"/>
  <c r="B84" i="20"/>
  <c r="D83" i="20"/>
  <c r="C83" i="20"/>
  <c r="B83" i="20"/>
  <c r="D82" i="20"/>
  <c r="C82" i="20"/>
  <c r="B82" i="20"/>
  <c r="D81" i="20"/>
  <c r="C81" i="20"/>
  <c r="B81" i="20"/>
  <c r="D80" i="20"/>
  <c r="C80" i="20"/>
  <c r="B80" i="20"/>
  <c r="D79" i="20"/>
  <c r="C79" i="20"/>
  <c r="B79" i="20"/>
  <c r="D78" i="20"/>
  <c r="C78" i="20"/>
  <c r="B78" i="20"/>
  <c r="D77" i="20"/>
  <c r="C77" i="20"/>
  <c r="B77" i="20"/>
  <c r="D76" i="20"/>
  <c r="C76" i="20"/>
  <c r="B76" i="20"/>
  <c r="D75" i="20"/>
  <c r="C75" i="20"/>
  <c r="B75" i="20"/>
  <c r="D74" i="20"/>
  <c r="C74" i="20"/>
  <c r="B74" i="20"/>
  <c r="D73" i="20"/>
  <c r="C73" i="20"/>
  <c r="B73" i="20"/>
  <c r="D72" i="20"/>
  <c r="C72" i="20"/>
  <c r="B72" i="20"/>
  <c r="D71" i="20"/>
  <c r="C71" i="20"/>
  <c r="B71" i="20"/>
  <c r="D70" i="20"/>
  <c r="C70" i="20"/>
  <c r="B70" i="20"/>
  <c r="D69" i="20"/>
  <c r="C69" i="20"/>
  <c r="B69" i="20"/>
  <c r="D68" i="20"/>
  <c r="C68" i="20"/>
  <c r="B68" i="20"/>
  <c r="D67" i="20"/>
  <c r="C67" i="20"/>
  <c r="B67" i="20"/>
  <c r="D66" i="20"/>
  <c r="C66" i="20"/>
  <c r="B66" i="20"/>
  <c r="D65" i="20"/>
  <c r="C65" i="20"/>
  <c r="B65" i="20"/>
  <c r="D64" i="20"/>
  <c r="C64" i="20"/>
  <c r="B64" i="20"/>
  <c r="D63" i="20"/>
  <c r="C63" i="20"/>
  <c r="B63" i="20"/>
  <c r="D62" i="20"/>
  <c r="C62" i="20"/>
  <c r="B62" i="20"/>
  <c r="D61" i="20"/>
  <c r="C61" i="20"/>
  <c r="B61" i="20"/>
  <c r="D60" i="20"/>
  <c r="C60" i="20"/>
  <c r="B60" i="20"/>
  <c r="D59" i="20"/>
  <c r="C59" i="20"/>
  <c r="B59" i="20"/>
  <c r="D58" i="20"/>
  <c r="C58" i="20"/>
  <c r="B58" i="20"/>
  <c r="D57" i="20"/>
  <c r="C57" i="20"/>
  <c r="B57" i="20"/>
  <c r="D56" i="20"/>
  <c r="C56" i="20"/>
  <c r="B56" i="20"/>
  <c r="D55" i="20"/>
  <c r="C55" i="20"/>
  <c r="B55" i="20"/>
  <c r="D54" i="20"/>
  <c r="C54" i="20"/>
  <c r="B54" i="20"/>
  <c r="D53" i="20"/>
  <c r="C53" i="20"/>
  <c r="B53" i="20"/>
  <c r="D52" i="20"/>
  <c r="C52" i="20"/>
  <c r="B52" i="20"/>
  <c r="D51" i="20"/>
  <c r="C51" i="20"/>
  <c r="B51" i="20"/>
  <c r="D50" i="20"/>
  <c r="C50" i="20"/>
  <c r="B50" i="20"/>
  <c r="D49" i="20"/>
  <c r="C49" i="20"/>
  <c r="B49" i="20"/>
  <c r="D48" i="20"/>
  <c r="C48" i="20"/>
  <c r="B48" i="20"/>
  <c r="D47" i="20"/>
  <c r="C47" i="20"/>
  <c r="B47" i="20"/>
  <c r="D46" i="20"/>
  <c r="C46" i="20"/>
  <c r="B46" i="20"/>
  <c r="D45" i="20"/>
  <c r="C45" i="20"/>
  <c r="B45" i="20"/>
  <c r="D44" i="20"/>
  <c r="C44" i="20"/>
  <c r="B44" i="20"/>
  <c r="D43" i="20"/>
  <c r="C43" i="20"/>
  <c r="B43" i="20"/>
  <c r="D42" i="20"/>
  <c r="C42" i="20"/>
  <c r="B42" i="20"/>
  <c r="D41" i="20"/>
  <c r="C41" i="20"/>
  <c r="B41" i="20"/>
  <c r="D40" i="20"/>
  <c r="C40" i="20"/>
  <c r="B40" i="20"/>
  <c r="D39" i="20"/>
  <c r="C39" i="20"/>
  <c r="B39" i="20"/>
  <c r="D38" i="20"/>
  <c r="C38" i="20"/>
  <c r="B38" i="20"/>
  <c r="D37" i="20"/>
  <c r="C37" i="20"/>
  <c r="B37" i="20"/>
  <c r="D36" i="20"/>
  <c r="C36" i="20"/>
  <c r="B36" i="20"/>
  <c r="D35" i="20"/>
  <c r="C35" i="20"/>
  <c r="B35" i="20"/>
  <c r="D34" i="20"/>
  <c r="C34" i="20"/>
  <c r="B34" i="20"/>
  <c r="D33" i="20"/>
  <c r="C33" i="20"/>
  <c r="B33" i="20"/>
  <c r="D32" i="20"/>
  <c r="C32" i="20"/>
  <c r="B32" i="20"/>
  <c r="D31" i="20"/>
  <c r="C31" i="20"/>
  <c r="B31" i="20"/>
  <c r="D30" i="20"/>
  <c r="C30" i="20"/>
  <c r="B30" i="20"/>
  <c r="D29" i="20"/>
  <c r="C29" i="20"/>
  <c r="B29" i="20"/>
  <c r="D28" i="20"/>
  <c r="C28" i="20"/>
  <c r="B28" i="20"/>
  <c r="D27" i="20"/>
  <c r="C27" i="20"/>
  <c r="B27" i="20"/>
  <c r="D26" i="20"/>
  <c r="C26" i="20"/>
  <c r="B26" i="20"/>
  <c r="D25" i="20"/>
  <c r="C25" i="20"/>
  <c r="B25" i="20"/>
  <c r="D24" i="20"/>
  <c r="C24" i="20"/>
  <c r="B24" i="20"/>
  <c r="D23" i="20"/>
  <c r="C23" i="20"/>
  <c r="B23" i="20"/>
  <c r="D22" i="20"/>
  <c r="C22" i="20"/>
  <c r="B22" i="20"/>
  <c r="D21" i="20"/>
  <c r="C21" i="20"/>
  <c r="B21" i="20"/>
  <c r="D20" i="20"/>
  <c r="C20" i="20"/>
  <c r="B20" i="20"/>
  <c r="D19" i="20"/>
  <c r="C19" i="20"/>
  <c r="B19" i="20"/>
  <c r="D18" i="20"/>
  <c r="C18" i="20"/>
  <c r="B18" i="20"/>
  <c r="D17" i="20"/>
  <c r="C17" i="20"/>
  <c r="B17" i="20"/>
  <c r="D16" i="20"/>
  <c r="C16" i="20"/>
  <c r="B16" i="20"/>
  <c r="D15" i="20"/>
  <c r="C15" i="20"/>
  <c r="B15" i="20"/>
  <c r="D14" i="20"/>
  <c r="C14" i="20"/>
  <c r="B14" i="20"/>
  <c r="D13" i="20"/>
  <c r="C13" i="20"/>
  <c r="B13" i="20"/>
  <c r="D12" i="20"/>
  <c r="C12" i="20"/>
  <c r="B12" i="20"/>
  <c r="D11" i="20"/>
  <c r="C11" i="20"/>
  <c r="B11" i="20"/>
  <c r="D10" i="20"/>
  <c r="C10" i="20"/>
  <c r="B10" i="20"/>
  <c r="D9" i="20"/>
  <c r="C9" i="20"/>
  <c r="B9" i="20"/>
  <c r="D8" i="20"/>
  <c r="C8" i="20"/>
  <c r="B8" i="20"/>
  <c r="D7" i="20"/>
  <c r="C7" i="20"/>
  <c r="B7" i="20"/>
  <c r="D6" i="20"/>
  <c r="C6" i="20"/>
  <c r="B6" i="20"/>
  <c r="D5" i="20"/>
  <c r="C5" i="20"/>
  <c r="B5" i="20"/>
  <c r="D4" i="20"/>
  <c r="C4" i="20"/>
  <c r="B4" i="20"/>
  <c r="D109" i="19"/>
  <c r="C109" i="19"/>
  <c r="B109" i="19"/>
  <c r="D108" i="19"/>
  <c r="C108" i="19"/>
  <c r="B108" i="19"/>
  <c r="D107" i="19"/>
  <c r="C107" i="19"/>
  <c r="B107" i="19"/>
  <c r="D106" i="19"/>
  <c r="C106" i="19"/>
  <c r="B106" i="19"/>
  <c r="D105" i="19"/>
  <c r="C105" i="19"/>
  <c r="B105" i="19"/>
  <c r="D104" i="19"/>
  <c r="C104" i="19"/>
  <c r="B104" i="19"/>
  <c r="D103" i="19"/>
  <c r="C103" i="19"/>
  <c r="B103" i="19"/>
  <c r="D102" i="19"/>
  <c r="C102" i="19"/>
  <c r="B102" i="19"/>
  <c r="D101" i="19"/>
  <c r="C101" i="19"/>
  <c r="B101" i="19"/>
  <c r="D100" i="19"/>
  <c r="C100" i="19"/>
  <c r="B100" i="19"/>
  <c r="D99" i="19"/>
  <c r="C99" i="19"/>
  <c r="B99" i="19"/>
  <c r="D98" i="19"/>
  <c r="C98" i="19"/>
  <c r="B98" i="19"/>
  <c r="D97" i="19"/>
  <c r="C97" i="19"/>
  <c r="B97" i="19"/>
  <c r="D96" i="19"/>
  <c r="C96" i="19"/>
  <c r="B96" i="19"/>
  <c r="D95" i="19"/>
  <c r="C95" i="19"/>
  <c r="B95" i="19"/>
  <c r="D94" i="19"/>
  <c r="C94" i="19"/>
  <c r="B94" i="19"/>
  <c r="D93" i="19"/>
  <c r="C93" i="19"/>
  <c r="B93" i="19"/>
  <c r="D92" i="19"/>
  <c r="C92" i="19"/>
  <c r="B92" i="19"/>
  <c r="D91" i="19"/>
  <c r="C91" i="19"/>
  <c r="B91" i="19"/>
  <c r="D90" i="19"/>
  <c r="C90" i="19"/>
  <c r="B90" i="19"/>
  <c r="D89" i="19"/>
  <c r="C89" i="19"/>
  <c r="B89" i="19"/>
  <c r="D88" i="19"/>
  <c r="C88" i="19"/>
  <c r="B88" i="19"/>
  <c r="D87" i="19"/>
  <c r="C87" i="19"/>
  <c r="B87" i="19"/>
  <c r="D86" i="19"/>
  <c r="C86" i="19"/>
  <c r="B86" i="19"/>
  <c r="D85" i="19"/>
  <c r="C85" i="19"/>
  <c r="B85" i="19"/>
  <c r="D84" i="19"/>
  <c r="C84" i="19"/>
  <c r="B84" i="19"/>
  <c r="D83" i="19"/>
  <c r="C83" i="19"/>
  <c r="B83" i="19"/>
  <c r="D82" i="19"/>
  <c r="C82" i="19"/>
  <c r="B82" i="19"/>
  <c r="D81" i="19"/>
  <c r="C81" i="19"/>
  <c r="B81" i="19"/>
  <c r="D80" i="19"/>
  <c r="C80" i="19"/>
  <c r="B80" i="19"/>
  <c r="D79" i="19"/>
  <c r="C79" i="19"/>
  <c r="B79" i="19"/>
  <c r="D78" i="19"/>
  <c r="C78" i="19"/>
  <c r="B78" i="19"/>
  <c r="D77" i="19"/>
  <c r="C77" i="19"/>
  <c r="B77" i="19"/>
  <c r="D76" i="19"/>
  <c r="C76" i="19"/>
  <c r="B76" i="19"/>
  <c r="D75" i="19"/>
  <c r="C75" i="19"/>
  <c r="B75" i="19"/>
  <c r="D74" i="19"/>
  <c r="C74" i="19"/>
  <c r="B74" i="19"/>
  <c r="D73" i="19"/>
  <c r="C73" i="19"/>
  <c r="B73" i="19"/>
  <c r="D72" i="19"/>
  <c r="C72" i="19"/>
  <c r="B72" i="19"/>
  <c r="D71" i="19"/>
  <c r="C71" i="19"/>
  <c r="B71" i="19"/>
  <c r="D70" i="19"/>
  <c r="C70" i="19"/>
  <c r="B70" i="19"/>
  <c r="D69" i="19"/>
  <c r="C69" i="19"/>
  <c r="B69" i="19"/>
  <c r="D68" i="19"/>
  <c r="C68" i="19"/>
  <c r="B68" i="19"/>
  <c r="D67" i="19"/>
  <c r="C67" i="19"/>
  <c r="B67" i="19"/>
  <c r="D66" i="19"/>
  <c r="C66" i="19"/>
  <c r="B66" i="19"/>
  <c r="D65" i="19"/>
  <c r="C65" i="19"/>
  <c r="B65" i="19"/>
  <c r="D64" i="19"/>
  <c r="C64" i="19"/>
  <c r="B64" i="19"/>
  <c r="D63" i="19"/>
  <c r="C63" i="19"/>
  <c r="B63" i="19"/>
  <c r="D62" i="19"/>
  <c r="C62" i="19"/>
  <c r="B62" i="19"/>
  <c r="D61" i="19"/>
  <c r="C61" i="19"/>
  <c r="B61" i="19"/>
  <c r="D60" i="19"/>
  <c r="C60" i="19"/>
  <c r="B60" i="19"/>
  <c r="D59" i="19"/>
  <c r="C59" i="19"/>
  <c r="B59" i="19"/>
  <c r="D58" i="19"/>
  <c r="C58" i="19"/>
  <c r="B58" i="19"/>
  <c r="D57" i="19"/>
  <c r="C57" i="19"/>
  <c r="B57" i="19"/>
  <c r="D56" i="19"/>
  <c r="C56" i="19"/>
  <c r="B56" i="19"/>
  <c r="D55" i="19"/>
  <c r="C55" i="19"/>
  <c r="B55" i="19"/>
  <c r="D54" i="19"/>
  <c r="C54" i="19"/>
  <c r="B54" i="19"/>
  <c r="D53" i="19"/>
  <c r="C53" i="19"/>
  <c r="B53" i="19"/>
  <c r="D52" i="19"/>
  <c r="C52" i="19"/>
  <c r="B52" i="19"/>
  <c r="D51" i="19"/>
  <c r="C51" i="19"/>
  <c r="B51" i="19"/>
  <c r="D50" i="19"/>
  <c r="C50" i="19"/>
  <c r="B50" i="19"/>
  <c r="D49" i="19"/>
  <c r="C49" i="19"/>
  <c r="B49" i="19"/>
  <c r="D48" i="19"/>
  <c r="C48" i="19"/>
  <c r="B48" i="19"/>
  <c r="D47" i="19"/>
  <c r="C47" i="19"/>
  <c r="B47" i="19"/>
  <c r="D46" i="19"/>
  <c r="C46" i="19"/>
  <c r="B46" i="19"/>
  <c r="D45" i="19"/>
  <c r="C45" i="19"/>
  <c r="B45" i="19"/>
  <c r="D44" i="19"/>
  <c r="C44" i="19"/>
  <c r="B44" i="19"/>
  <c r="D43" i="19"/>
  <c r="C43" i="19"/>
  <c r="B43" i="19"/>
  <c r="D42" i="19"/>
  <c r="C42" i="19"/>
  <c r="B42" i="19"/>
  <c r="D41" i="19"/>
  <c r="C41" i="19"/>
  <c r="B41" i="19"/>
  <c r="D40" i="19"/>
  <c r="C40" i="19"/>
  <c r="B40" i="19"/>
  <c r="D39" i="19"/>
  <c r="C39" i="19"/>
  <c r="B39" i="19"/>
  <c r="D38" i="19"/>
  <c r="C38" i="19"/>
  <c r="B38" i="19"/>
  <c r="D37" i="19"/>
  <c r="C37" i="19"/>
  <c r="B37" i="19"/>
  <c r="D36" i="19"/>
  <c r="C36" i="19"/>
  <c r="B36" i="19"/>
  <c r="D35" i="19"/>
  <c r="C35" i="19"/>
  <c r="B35" i="19"/>
  <c r="D34" i="19"/>
  <c r="C34" i="19"/>
  <c r="B34" i="19"/>
  <c r="D33" i="19"/>
  <c r="C33" i="19"/>
  <c r="B33" i="19"/>
  <c r="D32" i="19"/>
  <c r="C32" i="19"/>
  <c r="B32" i="19"/>
  <c r="D31" i="19"/>
  <c r="C31" i="19"/>
  <c r="B31" i="19"/>
  <c r="D30" i="19"/>
  <c r="C30" i="19"/>
  <c r="B30" i="19"/>
  <c r="D29" i="19"/>
  <c r="C29" i="19"/>
  <c r="B29" i="19"/>
  <c r="D28" i="19"/>
  <c r="C28" i="19"/>
  <c r="B28" i="19"/>
  <c r="D27" i="19"/>
  <c r="C27" i="19"/>
  <c r="B27" i="19"/>
  <c r="D26" i="19"/>
  <c r="C26" i="19"/>
  <c r="B26" i="19"/>
  <c r="D25" i="19"/>
  <c r="C25" i="19"/>
  <c r="B25" i="19"/>
  <c r="D24" i="19"/>
  <c r="C24" i="19"/>
  <c r="B24" i="19"/>
  <c r="D23" i="19"/>
  <c r="C23" i="19"/>
  <c r="B23" i="19"/>
  <c r="D22" i="19"/>
  <c r="C22" i="19"/>
  <c r="B22" i="19"/>
  <c r="D21" i="19"/>
  <c r="C21" i="19"/>
  <c r="B21" i="19"/>
  <c r="D20" i="19"/>
  <c r="C20" i="19"/>
  <c r="B20" i="19"/>
  <c r="D19" i="19"/>
  <c r="C19" i="19"/>
  <c r="B19" i="19"/>
  <c r="D18" i="19"/>
  <c r="C18" i="19"/>
  <c r="B18" i="19"/>
  <c r="D17" i="19"/>
  <c r="C17" i="19"/>
  <c r="B17" i="19"/>
  <c r="D16" i="19"/>
  <c r="C16" i="19"/>
  <c r="B16" i="19"/>
  <c r="D15" i="19"/>
  <c r="C15" i="19"/>
  <c r="B15" i="19"/>
  <c r="D14" i="19"/>
  <c r="C14" i="19"/>
  <c r="B14" i="19"/>
  <c r="D13" i="19"/>
  <c r="C13" i="19"/>
  <c r="B13" i="19"/>
  <c r="D12" i="19"/>
  <c r="C12" i="19"/>
  <c r="B12" i="19"/>
  <c r="D11" i="19"/>
  <c r="C11" i="19"/>
  <c r="B11" i="19"/>
  <c r="D10" i="19"/>
  <c r="C10" i="19"/>
  <c r="B10" i="19"/>
  <c r="D9" i="19"/>
  <c r="C9" i="19"/>
  <c r="B9" i="19"/>
  <c r="D8" i="19"/>
  <c r="C8" i="19"/>
  <c r="B8" i="19"/>
  <c r="D7" i="19"/>
  <c r="C7" i="19"/>
  <c r="B7" i="19"/>
  <c r="D6" i="19"/>
  <c r="C6" i="19"/>
  <c r="B6" i="19"/>
  <c r="D5" i="19"/>
  <c r="C5" i="19"/>
  <c r="B5" i="19"/>
  <c r="D4" i="19"/>
  <c r="C4" i="19"/>
  <c r="B4" i="19"/>
  <c r="D109" i="18"/>
  <c r="C109" i="18"/>
  <c r="B109" i="18"/>
  <c r="D108" i="18"/>
  <c r="C108" i="18"/>
  <c r="B108" i="18"/>
  <c r="D107" i="18"/>
  <c r="C107" i="18"/>
  <c r="B107" i="18"/>
  <c r="D106" i="18"/>
  <c r="C106" i="18"/>
  <c r="B106" i="18"/>
  <c r="D105" i="18"/>
  <c r="C105" i="18"/>
  <c r="B105" i="18"/>
  <c r="D104" i="18"/>
  <c r="C104" i="18"/>
  <c r="B104" i="18"/>
  <c r="D103" i="18"/>
  <c r="C103" i="18"/>
  <c r="B103" i="18"/>
  <c r="D102" i="18"/>
  <c r="C102" i="18"/>
  <c r="B102" i="18"/>
  <c r="D101" i="18"/>
  <c r="C101" i="18"/>
  <c r="B101" i="18"/>
  <c r="D100" i="18"/>
  <c r="C100" i="18"/>
  <c r="B100" i="18"/>
  <c r="D99" i="18"/>
  <c r="C99" i="18"/>
  <c r="B99" i="18"/>
  <c r="D98" i="18"/>
  <c r="C98" i="18"/>
  <c r="B98" i="18"/>
  <c r="D97" i="18"/>
  <c r="C97" i="18"/>
  <c r="B97" i="18"/>
  <c r="D96" i="18"/>
  <c r="C96" i="18"/>
  <c r="B96" i="18"/>
  <c r="D95" i="18"/>
  <c r="C95" i="18"/>
  <c r="B95" i="18"/>
  <c r="D94" i="18"/>
  <c r="C94" i="18"/>
  <c r="B94" i="18"/>
  <c r="D93" i="18"/>
  <c r="C93" i="18"/>
  <c r="B93" i="18"/>
  <c r="D92" i="18"/>
  <c r="C92" i="18"/>
  <c r="B92" i="18"/>
  <c r="D91" i="18"/>
  <c r="C91" i="18"/>
  <c r="B91" i="18"/>
  <c r="D90" i="18"/>
  <c r="C90" i="18"/>
  <c r="B90" i="18"/>
  <c r="D89" i="18"/>
  <c r="C89" i="18"/>
  <c r="B89" i="18"/>
  <c r="D88" i="18"/>
  <c r="C88" i="18"/>
  <c r="B88" i="18"/>
  <c r="D87" i="18"/>
  <c r="C87" i="18"/>
  <c r="B87" i="18"/>
  <c r="D86" i="18"/>
  <c r="C86" i="18"/>
  <c r="B86" i="18"/>
  <c r="D85" i="18"/>
  <c r="C85" i="18"/>
  <c r="B85" i="18"/>
  <c r="D84" i="18"/>
  <c r="C84" i="18"/>
  <c r="B84" i="18"/>
  <c r="D83" i="18"/>
  <c r="C83" i="18"/>
  <c r="B83" i="18"/>
  <c r="D82" i="18"/>
  <c r="C82" i="18"/>
  <c r="B82" i="18"/>
  <c r="D81" i="18"/>
  <c r="C81" i="18"/>
  <c r="B81" i="18"/>
  <c r="D80" i="18"/>
  <c r="C80" i="18"/>
  <c r="B80" i="18"/>
  <c r="D79" i="18"/>
  <c r="C79" i="18"/>
  <c r="B79" i="18"/>
  <c r="D78" i="18"/>
  <c r="C78" i="18"/>
  <c r="B78" i="18"/>
  <c r="D77" i="18"/>
  <c r="C77" i="18"/>
  <c r="B77" i="18"/>
  <c r="D76" i="18"/>
  <c r="C76" i="18"/>
  <c r="B76" i="18"/>
  <c r="D75" i="18"/>
  <c r="C75" i="18"/>
  <c r="B75" i="18"/>
  <c r="D74" i="18"/>
  <c r="C74" i="18"/>
  <c r="B74" i="18"/>
  <c r="D73" i="18"/>
  <c r="C73" i="18"/>
  <c r="B73" i="18"/>
  <c r="D72" i="18"/>
  <c r="C72" i="18"/>
  <c r="B72" i="18"/>
  <c r="D71" i="18"/>
  <c r="C71" i="18"/>
  <c r="B71" i="18"/>
  <c r="D70" i="18"/>
  <c r="C70" i="18"/>
  <c r="B70" i="18"/>
  <c r="D69" i="18"/>
  <c r="C69" i="18"/>
  <c r="B69" i="18"/>
  <c r="D68" i="18"/>
  <c r="C68" i="18"/>
  <c r="B68" i="18"/>
  <c r="D67" i="18"/>
  <c r="C67" i="18"/>
  <c r="B67" i="18"/>
  <c r="D66" i="18"/>
  <c r="C66" i="18"/>
  <c r="B66" i="18"/>
  <c r="D65" i="18"/>
  <c r="C65" i="18"/>
  <c r="B65" i="18"/>
  <c r="D64" i="18"/>
  <c r="C64" i="18"/>
  <c r="B64" i="18"/>
  <c r="D63" i="18"/>
  <c r="C63" i="18"/>
  <c r="B63" i="18"/>
  <c r="D62" i="18"/>
  <c r="C62" i="18"/>
  <c r="B62" i="18"/>
  <c r="D61" i="18"/>
  <c r="C61" i="18"/>
  <c r="B61" i="18"/>
  <c r="D60" i="18"/>
  <c r="C60" i="18"/>
  <c r="B60" i="18"/>
  <c r="D59" i="18"/>
  <c r="C59" i="18"/>
  <c r="B59" i="18"/>
  <c r="D58" i="18"/>
  <c r="C58" i="18"/>
  <c r="B58" i="18"/>
  <c r="D57" i="18"/>
  <c r="C57" i="18"/>
  <c r="B57" i="18"/>
  <c r="D56" i="18"/>
  <c r="C56" i="18"/>
  <c r="B56" i="18"/>
  <c r="D55" i="18"/>
  <c r="C55" i="18"/>
  <c r="B55" i="18"/>
  <c r="D54" i="18"/>
  <c r="C54" i="18"/>
  <c r="B54" i="18"/>
  <c r="D53" i="18"/>
  <c r="C53" i="18"/>
  <c r="B53" i="18"/>
  <c r="D52" i="18"/>
  <c r="C52" i="18"/>
  <c r="B52" i="18"/>
  <c r="D51" i="18"/>
  <c r="C51" i="18"/>
  <c r="B51" i="18"/>
  <c r="D50" i="18"/>
  <c r="C50" i="18"/>
  <c r="B50" i="18"/>
  <c r="D49" i="18"/>
  <c r="C49" i="18"/>
  <c r="B49" i="18"/>
  <c r="D48" i="18"/>
  <c r="C48" i="18"/>
  <c r="B48" i="18"/>
  <c r="D47" i="18"/>
  <c r="C47" i="18"/>
  <c r="B47" i="18"/>
  <c r="D46" i="18"/>
  <c r="C46" i="18"/>
  <c r="B46" i="18"/>
  <c r="D45" i="18"/>
  <c r="C45" i="18"/>
  <c r="B45" i="18"/>
  <c r="D44" i="18"/>
  <c r="C44" i="18"/>
  <c r="B44" i="18"/>
  <c r="D43" i="18"/>
  <c r="C43" i="18"/>
  <c r="B43" i="18"/>
  <c r="D42" i="18"/>
  <c r="C42" i="18"/>
  <c r="B42" i="18"/>
  <c r="D41" i="18"/>
  <c r="C41" i="18"/>
  <c r="B41" i="18"/>
  <c r="D40" i="18"/>
  <c r="C40" i="18"/>
  <c r="B40" i="18"/>
  <c r="D39" i="18"/>
  <c r="C39" i="18"/>
  <c r="B39" i="18"/>
  <c r="D38" i="18"/>
  <c r="C38" i="18"/>
  <c r="B38" i="18"/>
  <c r="D37" i="18"/>
  <c r="C37" i="18"/>
  <c r="B37" i="18"/>
  <c r="D36" i="18"/>
  <c r="C36" i="18"/>
  <c r="B36" i="18"/>
  <c r="D35" i="18"/>
  <c r="C35" i="18"/>
  <c r="B35" i="18"/>
  <c r="D34" i="18"/>
  <c r="C34" i="18"/>
  <c r="B34" i="18"/>
  <c r="D33" i="18"/>
  <c r="C33" i="18"/>
  <c r="B33" i="18"/>
  <c r="D32" i="18"/>
  <c r="C32" i="18"/>
  <c r="B32" i="18"/>
  <c r="D31" i="18"/>
  <c r="C31" i="18"/>
  <c r="B31" i="18"/>
  <c r="D30" i="18"/>
  <c r="C30" i="18"/>
  <c r="B30" i="18"/>
  <c r="D29" i="18"/>
  <c r="C29" i="18"/>
  <c r="B29" i="18"/>
  <c r="D28" i="18"/>
  <c r="C28" i="18"/>
  <c r="B28" i="18"/>
  <c r="D27" i="18"/>
  <c r="C27" i="18"/>
  <c r="B27" i="18"/>
  <c r="D26" i="18"/>
  <c r="C26" i="18"/>
  <c r="B26" i="18"/>
  <c r="D25" i="18"/>
  <c r="C25" i="18"/>
  <c r="B25" i="18"/>
  <c r="D24" i="18"/>
  <c r="C24" i="18"/>
  <c r="B24" i="18"/>
  <c r="D23" i="18"/>
  <c r="C23" i="18"/>
  <c r="B23" i="18"/>
  <c r="D22" i="18"/>
  <c r="C22" i="18"/>
  <c r="B22" i="18"/>
  <c r="D21" i="18"/>
  <c r="C21" i="18"/>
  <c r="B21" i="18"/>
  <c r="D20" i="18"/>
  <c r="C20" i="18"/>
  <c r="B20" i="18"/>
  <c r="D19" i="18"/>
  <c r="C19" i="18"/>
  <c r="B19" i="18"/>
  <c r="D18" i="18"/>
  <c r="C18" i="18"/>
  <c r="B18" i="18"/>
  <c r="D17" i="18"/>
  <c r="C17" i="18"/>
  <c r="B17" i="18"/>
  <c r="D16" i="18"/>
  <c r="C16" i="18"/>
  <c r="B16" i="18"/>
  <c r="D15" i="18"/>
  <c r="C15" i="18"/>
  <c r="B15" i="18"/>
  <c r="D14" i="18"/>
  <c r="C14" i="18"/>
  <c r="B14" i="18"/>
  <c r="D13" i="18"/>
  <c r="C13" i="18"/>
  <c r="B13" i="18"/>
  <c r="D12" i="18"/>
  <c r="C12" i="18"/>
  <c r="B12" i="18"/>
  <c r="D11" i="18"/>
  <c r="C11" i="18"/>
  <c r="B11" i="18"/>
  <c r="D10" i="18"/>
  <c r="C10" i="18"/>
  <c r="B10" i="18"/>
  <c r="D9" i="18"/>
  <c r="C9" i="18"/>
  <c r="B9" i="18"/>
  <c r="D8" i="18"/>
  <c r="C8" i="18"/>
  <c r="B8" i="18"/>
  <c r="D7" i="18"/>
  <c r="C7" i="18"/>
  <c r="B7" i="18"/>
  <c r="D6" i="18"/>
  <c r="C6" i="18"/>
  <c r="B6" i="18"/>
  <c r="D5" i="18"/>
  <c r="C5" i="18"/>
  <c r="B5" i="18"/>
  <c r="D4" i="18"/>
  <c r="C4" i="18"/>
  <c r="B4" i="18"/>
  <c r="D109" i="17"/>
  <c r="C109" i="17"/>
  <c r="B109" i="17"/>
  <c r="D108" i="17"/>
  <c r="C108" i="17"/>
  <c r="B108" i="17"/>
  <c r="D107" i="17"/>
  <c r="C107" i="17"/>
  <c r="B107" i="17"/>
  <c r="D106" i="17"/>
  <c r="C106" i="17"/>
  <c r="B106" i="17"/>
  <c r="D105" i="17"/>
  <c r="C105" i="17"/>
  <c r="B105" i="17"/>
  <c r="D104" i="17"/>
  <c r="C104" i="17"/>
  <c r="B104" i="17"/>
  <c r="D103" i="17"/>
  <c r="C103" i="17"/>
  <c r="B103" i="17"/>
  <c r="D102" i="17"/>
  <c r="C102" i="17"/>
  <c r="B102" i="17"/>
  <c r="D101" i="17"/>
  <c r="C101" i="17"/>
  <c r="B101" i="17"/>
  <c r="D100" i="17"/>
  <c r="C100" i="17"/>
  <c r="B100" i="17"/>
  <c r="D99" i="17"/>
  <c r="C99" i="17"/>
  <c r="B99" i="17"/>
  <c r="D98" i="17"/>
  <c r="C98" i="17"/>
  <c r="B98" i="17"/>
  <c r="D97" i="17"/>
  <c r="C97" i="17"/>
  <c r="B97" i="17"/>
  <c r="D96" i="17"/>
  <c r="C96" i="17"/>
  <c r="B96" i="17"/>
  <c r="D95" i="17"/>
  <c r="C95" i="17"/>
  <c r="B95" i="17"/>
  <c r="D94" i="17"/>
  <c r="C94" i="17"/>
  <c r="B94" i="17"/>
  <c r="D93" i="17"/>
  <c r="C93" i="17"/>
  <c r="B93" i="17"/>
  <c r="D92" i="17"/>
  <c r="C92" i="17"/>
  <c r="B92" i="17"/>
  <c r="D91" i="17"/>
  <c r="C91" i="17"/>
  <c r="B91" i="17"/>
  <c r="D90" i="17"/>
  <c r="C90" i="17"/>
  <c r="B90" i="17"/>
  <c r="D89" i="17"/>
  <c r="C89" i="17"/>
  <c r="B89" i="17"/>
  <c r="D88" i="17"/>
  <c r="C88" i="17"/>
  <c r="B88" i="17"/>
  <c r="D87" i="17"/>
  <c r="C87" i="17"/>
  <c r="B87" i="17"/>
  <c r="D86" i="17"/>
  <c r="C86" i="17"/>
  <c r="B86" i="17"/>
  <c r="D85" i="17"/>
  <c r="C85" i="17"/>
  <c r="B85" i="17"/>
  <c r="D84" i="17"/>
  <c r="C84" i="17"/>
  <c r="B84" i="17"/>
  <c r="D83" i="17"/>
  <c r="C83" i="17"/>
  <c r="B83" i="17"/>
  <c r="D82" i="17"/>
  <c r="C82" i="17"/>
  <c r="B82" i="17"/>
  <c r="D81" i="17"/>
  <c r="C81" i="17"/>
  <c r="B81" i="17"/>
  <c r="D80" i="17"/>
  <c r="C80" i="17"/>
  <c r="B80" i="17"/>
  <c r="D79" i="17"/>
  <c r="C79" i="17"/>
  <c r="B79" i="17"/>
  <c r="D78" i="17"/>
  <c r="C78" i="17"/>
  <c r="B78" i="17"/>
  <c r="D77" i="17"/>
  <c r="C77" i="17"/>
  <c r="B77" i="17"/>
  <c r="D76" i="17"/>
  <c r="C76" i="17"/>
  <c r="B76" i="17"/>
  <c r="D75" i="17"/>
  <c r="C75" i="17"/>
  <c r="B75" i="17"/>
  <c r="D74" i="17"/>
  <c r="C74" i="17"/>
  <c r="B74" i="17"/>
  <c r="D73" i="17"/>
  <c r="C73" i="17"/>
  <c r="B73" i="17"/>
  <c r="D72" i="17"/>
  <c r="C72" i="17"/>
  <c r="B72" i="17"/>
  <c r="D71" i="17"/>
  <c r="C71" i="17"/>
  <c r="B71" i="17"/>
  <c r="D70" i="17"/>
  <c r="C70" i="17"/>
  <c r="B70" i="17"/>
  <c r="D69" i="17"/>
  <c r="C69" i="17"/>
  <c r="B69" i="17"/>
  <c r="D68" i="17"/>
  <c r="C68" i="17"/>
  <c r="B68" i="17"/>
  <c r="D67" i="17"/>
  <c r="C67" i="17"/>
  <c r="B67" i="17"/>
  <c r="D66" i="17"/>
  <c r="C66" i="17"/>
  <c r="B66" i="17"/>
  <c r="D65" i="17"/>
  <c r="C65" i="17"/>
  <c r="B65" i="17"/>
  <c r="D64" i="17"/>
  <c r="C64" i="17"/>
  <c r="B64" i="17"/>
  <c r="D63" i="17"/>
  <c r="C63" i="17"/>
  <c r="B63" i="17"/>
  <c r="D62" i="17"/>
  <c r="C62" i="17"/>
  <c r="B62" i="17"/>
  <c r="D61" i="17"/>
  <c r="C61" i="17"/>
  <c r="B61" i="17"/>
  <c r="D60" i="17"/>
  <c r="C60" i="17"/>
  <c r="B60" i="17"/>
  <c r="D59" i="17"/>
  <c r="C59" i="17"/>
  <c r="B59" i="17"/>
  <c r="D58" i="17"/>
  <c r="C58" i="17"/>
  <c r="B58" i="17"/>
  <c r="D57" i="17"/>
  <c r="C57" i="17"/>
  <c r="B57" i="17"/>
  <c r="D56" i="17"/>
  <c r="C56" i="17"/>
  <c r="B56" i="17"/>
  <c r="D55" i="17"/>
  <c r="C55" i="17"/>
  <c r="B55" i="17"/>
  <c r="D54" i="17"/>
  <c r="C54" i="17"/>
  <c r="B54" i="17"/>
  <c r="D53" i="17"/>
  <c r="C53" i="17"/>
  <c r="B53" i="17"/>
  <c r="D52" i="17"/>
  <c r="C52" i="17"/>
  <c r="B52" i="17"/>
  <c r="D51" i="17"/>
  <c r="C51" i="17"/>
  <c r="B51" i="17"/>
  <c r="D50" i="17"/>
  <c r="C50" i="17"/>
  <c r="B50" i="17"/>
  <c r="D49" i="17"/>
  <c r="C49" i="17"/>
  <c r="B49" i="17"/>
  <c r="D48" i="17"/>
  <c r="C48" i="17"/>
  <c r="B48" i="17"/>
  <c r="D47" i="17"/>
  <c r="C47" i="17"/>
  <c r="B47" i="17"/>
  <c r="D46" i="17"/>
  <c r="C46" i="17"/>
  <c r="B46" i="17"/>
  <c r="D45" i="17"/>
  <c r="C45" i="17"/>
  <c r="B45" i="17"/>
  <c r="D44" i="17"/>
  <c r="C44" i="17"/>
  <c r="B44" i="17"/>
  <c r="D43" i="17"/>
  <c r="C43" i="17"/>
  <c r="B43" i="17"/>
  <c r="D42" i="17"/>
  <c r="C42" i="17"/>
  <c r="B42" i="17"/>
  <c r="D41" i="17"/>
  <c r="C41" i="17"/>
  <c r="B41" i="17"/>
  <c r="D40" i="17"/>
  <c r="C40" i="17"/>
  <c r="B40" i="17"/>
  <c r="D39" i="17"/>
  <c r="C39" i="17"/>
  <c r="B39" i="17"/>
  <c r="D38" i="17"/>
  <c r="C38" i="17"/>
  <c r="B38" i="17"/>
  <c r="D37" i="17"/>
  <c r="C37" i="17"/>
  <c r="B37" i="17"/>
  <c r="D36" i="17"/>
  <c r="C36" i="17"/>
  <c r="B36" i="17"/>
  <c r="D35" i="17"/>
  <c r="C35" i="17"/>
  <c r="B35" i="17"/>
  <c r="D34" i="17"/>
  <c r="C34" i="17"/>
  <c r="B34" i="17"/>
  <c r="D33" i="17"/>
  <c r="C33" i="17"/>
  <c r="B33" i="17"/>
  <c r="D32" i="17"/>
  <c r="C32" i="17"/>
  <c r="B32" i="17"/>
  <c r="D31" i="17"/>
  <c r="C31" i="17"/>
  <c r="B31" i="17"/>
  <c r="D30" i="17"/>
  <c r="C30" i="17"/>
  <c r="B30" i="17"/>
  <c r="D29" i="17"/>
  <c r="C29" i="17"/>
  <c r="B29" i="17"/>
  <c r="D28" i="17"/>
  <c r="C28" i="17"/>
  <c r="B2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18" i="17"/>
  <c r="D17" i="17"/>
  <c r="C17" i="17"/>
  <c r="B17" i="17"/>
  <c r="D16" i="17"/>
  <c r="C16" i="17"/>
  <c r="B16" i="17"/>
  <c r="D15" i="17"/>
  <c r="C15" i="17"/>
  <c r="B15" i="17"/>
  <c r="D14" i="17"/>
  <c r="C14" i="17"/>
  <c r="B14" i="17"/>
  <c r="D13" i="17"/>
  <c r="C13" i="17"/>
  <c r="B13" i="17"/>
  <c r="D12" i="17"/>
  <c r="C12" i="17"/>
  <c r="B12" i="17"/>
  <c r="D11" i="17"/>
  <c r="C11" i="17"/>
  <c r="B11" i="17"/>
  <c r="D10" i="17"/>
  <c r="C10" i="17"/>
  <c r="B10" i="17"/>
  <c r="D9" i="17"/>
  <c r="C9" i="17"/>
  <c r="B9" i="17"/>
  <c r="D8" i="17"/>
  <c r="C8" i="17"/>
  <c r="B8" i="17"/>
  <c r="D7" i="17"/>
  <c r="C7" i="17"/>
  <c r="B7" i="17"/>
  <c r="D6" i="17"/>
  <c r="C6" i="17"/>
  <c r="B6" i="17"/>
  <c r="D5" i="17"/>
  <c r="C5" i="17"/>
  <c r="B5" i="17"/>
  <c r="D4" i="17"/>
  <c r="C4" i="17"/>
  <c r="B4" i="17"/>
  <c r="D109" i="16"/>
  <c r="C109" i="16"/>
  <c r="B109" i="16"/>
  <c r="D108" i="16"/>
  <c r="C108" i="16"/>
  <c r="B108" i="16"/>
  <c r="D107" i="16"/>
  <c r="C107" i="16"/>
  <c r="B107" i="16"/>
  <c r="D106" i="16"/>
  <c r="C106" i="16"/>
  <c r="B106" i="16"/>
  <c r="D105" i="16"/>
  <c r="C105" i="16"/>
  <c r="B105" i="16"/>
  <c r="D104" i="16"/>
  <c r="C104" i="16"/>
  <c r="B104" i="16"/>
  <c r="D103" i="16"/>
  <c r="C103" i="16"/>
  <c r="B103" i="16"/>
  <c r="D102" i="16"/>
  <c r="C102" i="16"/>
  <c r="B102" i="16"/>
  <c r="D101" i="16"/>
  <c r="C101" i="16"/>
  <c r="B101" i="16"/>
  <c r="D100" i="16"/>
  <c r="C100" i="16"/>
  <c r="B100" i="16"/>
  <c r="D99" i="16"/>
  <c r="C99" i="16"/>
  <c r="B99" i="16"/>
  <c r="D98" i="16"/>
  <c r="C98" i="16"/>
  <c r="B98" i="16"/>
  <c r="D97" i="16"/>
  <c r="C97" i="16"/>
  <c r="B97" i="16"/>
  <c r="D96" i="16"/>
  <c r="C96" i="16"/>
  <c r="B96" i="16"/>
  <c r="D95" i="16"/>
  <c r="C95" i="16"/>
  <c r="B95" i="16"/>
  <c r="D94" i="16"/>
  <c r="C94" i="16"/>
  <c r="B94" i="16"/>
  <c r="D93" i="16"/>
  <c r="C93" i="16"/>
  <c r="B93" i="16"/>
  <c r="D92" i="16"/>
  <c r="C92" i="16"/>
  <c r="B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B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D64" i="16"/>
  <c r="C64" i="16"/>
  <c r="B64" i="16"/>
  <c r="D63" i="16"/>
  <c r="C63" i="16"/>
  <c r="B63" i="16"/>
  <c r="D62" i="16"/>
  <c r="C62" i="16"/>
  <c r="B62" i="16"/>
  <c r="D61" i="16"/>
  <c r="C61" i="16"/>
  <c r="B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D50" i="16"/>
  <c r="C50" i="16"/>
  <c r="B50" i="16"/>
  <c r="D49" i="16"/>
  <c r="C49" i="16"/>
  <c r="B49" i="16"/>
  <c r="D48" i="16"/>
  <c r="C48" i="16"/>
  <c r="B48" i="16"/>
  <c r="D47" i="16"/>
  <c r="C47" i="16"/>
  <c r="B47" i="16"/>
  <c r="D46" i="16"/>
  <c r="C46" i="16"/>
  <c r="B46" i="16"/>
  <c r="D45" i="16"/>
  <c r="C45" i="16"/>
  <c r="B45" i="16"/>
  <c r="D44" i="16"/>
  <c r="C44" i="16"/>
  <c r="B44" i="16"/>
  <c r="D43" i="16"/>
  <c r="C43" i="16"/>
  <c r="B43" i="16"/>
  <c r="D42" i="16"/>
  <c r="C42" i="16"/>
  <c r="B42" i="16"/>
  <c r="D41" i="16"/>
  <c r="C41" i="16"/>
  <c r="B41" i="16"/>
  <c r="D40" i="16"/>
  <c r="C40" i="16"/>
  <c r="B40" i="16"/>
  <c r="D39" i="16"/>
  <c r="C39" i="16"/>
  <c r="B39" i="16"/>
  <c r="D38" i="16"/>
  <c r="C38" i="16"/>
  <c r="B38" i="16"/>
  <c r="D37" i="16"/>
  <c r="C37" i="16"/>
  <c r="B37" i="16"/>
  <c r="D36" i="16"/>
  <c r="C36" i="16"/>
  <c r="B36" i="16"/>
  <c r="D35" i="16"/>
  <c r="C35" i="16"/>
  <c r="B35" i="16"/>
  <c r="D34" i="16"/>
  <c r="C34" i="16"/>
  <c r="B34" i="16"/>
  <c r="D33" i="16"/>
  <c r="C33" i="16"/>
  <c r="B33" i="16"/>
  <c r="D32" i="16"/>
  <c r="C32" i="16"/>
  <c r="B32" i="16"/>
  <c r="D31" i="16"/>
  <c r="C31" i="16"/>
  <c r="B31" i="16"/>
  <c r="D30" i="16"/>
  <c r="C30" i="16"/>
  <c r="B30" i="16"/>
  <c r="D29" i="16"/>
  <c r="C29" i="16"/>
  <c r="B29" i="16"/>
  <c r="D28" i="16"/>
  <c r="C28" i="16"/>
  <c r="B28" i="16"/>
  <c r="D27" i="16"/>
  <c r="C27" i="16"/>
  <c r="B27" i="16"/>
  <c r="D26" i="16"/>
  <c r="C26" i="16"/>
  <c r="B26" i="16"/>
  <c r="D25" i="16"/>
  <c r="C25" i="16"/>
  <c r="B25" i="16"/>
  <c r="D24" i="16"/>
  <c r="C24" i="16"/>
  <c r="B24" i="16"/>
  <c r="D23" i="16"/>
  <c r="C23" i="16"/>
  <c r="B23" i="16"/>
  <c r="D22" i="16"/>
  <c r="C22" i="16"/>
  <c r="B22" i="16"/>
  <c r="D21" i="16"/>
  <c r="C21" i="16"/>
  <c r="B21" i="16"/>
  <c r="D20" i="16"/>
  <c r="C20" i="16"/>
  <c r="B20" i="16"/>
  <c r="D19" i="16"/>
  <c r="C19" i="16"/>
  <c r="B19" i="16"/>
  <c r="D18" i="16"/>
  <c r="C18" i="16"/>
  <c r="B18" i="16"/>
  <c r="D17" i="16"/>
  <c r="C17" i="16"/>
  <c r="B17" i="16"/>
  <c r="D16" i="16"/>
  <c r="C16" i="16"/>
  <c r="B16" i="16"/>
  <c r="D15" i="16"/>
  <c r="C15" i="16"/>
  <c r="B15" i="16"/>
  <c r="D14" i="16"/>
  <c r="C14" i="16"/>
  <c r="B14" i="16"/>
  <c r="D13" i="16"/>
  <c r="C13" i="16"/>
  <c r="B13" i="16"/>
  <c r="D12" i="16"/>
  <c r="C12" i="16"/>
  <c r="B12" i="16"/>
  <c r="D11" i="16"/>
  <c r="C11" i="16"/>
  <c r="B11" i="16"/>
  <c r="D10" i="16"/>
  <c r="C10" i="16"/>
  <c r="B10" i="16"/>
  <c r="D9" i="16"/>
  <c r="C9" i="16"/>
  <c r="B9" i="16"/>
  <c r="D8" i="16"/>
  <c r="C8" i="16"/>
  <c r="B8" i="16"/>
  <c r="D7" i="16"/>
  <c r="C7" i="16"/>
  <c r="B7" i="16"/>
  <c r="D6" i="16"/>
  <c r="C6" i="16"/>
  <c r="B6" i="16"/>
  <c r="D5" i="16"/>
  <c r="C5" i="16"/>
  <c r="B5" i="16"/>
  <c r="D4" i="16"/>
  <c r="C4" i="16"/>
  <c r="B4" i="16"/>
  <c r="D109" i="15"/>
  <c r="C109" i="15"/>
  <c r="B109" i="15"/>
  <c r="D108" i="15"/>
  <c r="C108" i="15"/>
  <c r="B108" i="15"/>
  <c r="D107" i="15"/>
  <c r="C107" i="15"/>
  <c r="B107" i="15"/>
  <c r="D106" i="15"/>
  <c r="C106" i="15"/>
  <c r="B106" i="15"/>
  <c r="D105" i="15"/>
  <c r="C105" i="15"/>
  <c r="B105" i="15"/>
  <c r="D104" i="15"/>
  <c r="C104" i="15"/>
  <c r="B104" i="15"/>
  <c r="D103" i="15"/>
  <c r="C103" i="15"/>
  <c r="B103" i="15"/>
  <c r="D102" i="15"/>
  <c r="C102" i="15"/>
  <c r="B102" i="15"/>
  <c r="D101" i="15"/>
  <c r="C101" i="15"/>
  <c r="B101" i="15"/>
  <c r="D100" i="15"/>
  <c r="C100" i="15"/>
  <c r="B100" i="15"/>
  <c r="D99" i="15"/>
  <c r="C99" i="15"/>
  <c r="B99" i="15"/>
  <c r="D98" i="15"/>
  <c r="C98" i="15"/>
  <c r="B98" i="15"/>
  <c r="D97" i="15"/>
  <c r="C97" i="15"/>
  <c r="B97" i="15"/>
  <c r="D96" i="15"/>
  <c r="C96" i="15"/>
  <c r="B96" i="15"/>
  <c r="D95" i="15"/>
  <c r="C95" i="15"/>
  <c r="B95" i="15"/>
  <c r="D94" i="15"/>
  <c r="C94" i="15"/>
  <c r="B94" i="15"/>
  <c r="D93" i="15"/>
  <c r="C93" i="15"/>
  <c r="B93" i="15"/>
  <c r="D92" i="15"/>
  <c r="C92" i="15"/>
  <c r="B92" i="15"/>
  <c r="D91" i="15"/>
  <c r="C91" i="15"/>
  <c r="B91" i="15"/>
  <c r="D90" i="15"/>
  <c r="C90" i="15"/>
  <c r="B90" i="15"/>
  <c r="D89" i="15"/>
  <c r="C89" i="15"/>
  <c r="B89" i="15"/>
  <c r="D88" i="15"/>
  <c r="C88" i="15"/>
  <c r="B88" i="15"/>
  <c r="D87" i="15"/>
  <c r="C87" i="15"/>
  <c r="B87" i="15"/>
  <c r="D86" i="15"/>
  <c r="C86" i="15"/>
  <c r="B86" i="15"/>
  <c r="D85" i="15"/>
  <c r="C85" i="15"/>
  <c r="B85" i="15"/>
  <c r="D84" i="15"/>
  <c r="C84" i="15"/>
  <c r="B84" i="15"/>
  <c r="D83" i="15"/>
  <c r="C83" i="15"/>
  <c r="B83" i="15"/>
  <c r="D82" i="15"/>
  <c r="C82" i="15"/>
  <c r="B82" i="15"/>
  <c r="D81" i="15"/>
  <c r="C81" i="15"/>
  <c r="B81" i="15"/>
  <c r="D80" i="15"/>
  <c r="C80" i="15"/>
  <c r="B80" i="15"/>
  <c r="D79" i="15"/>
  <c r="C79" i="15"/>
  <c r="B79" i="15"/>
  <c r="D78" i="15"/>
  <c r="C78" i="15"/>
  <c r="B78" i="15"/>
  <c r="D77" i="15"/>
  <c r="C77" i="15"/>
  <c r="B77" i="15"/>
  <c r="D76" i="15"/>
  <c r="C76" i="15"/>
  <c r="B76" i="15"/>
  <c r="D75" i="15"/>
  <c r="C75" i="15"/>
  <c r="B75" i="15"/>
  <c r="D74" i="15"/>
  <c r="C74" i="15"/>
  <c r="B74" i="15"/>
  <c r="D73" i="15"/>
  <c r="C73" i="15"/>
  <c r="B73" i="15"/>
  <c r="D72" i="15"/>
  <c r="C72" i="15"/>
  <c r="B72" i="15"/>
  <c r="D71" i="15"/>
  <c r="C71" i="15"/>
  <c r="B71" i="15"/>
  <c r="D70" i="15"/>
  <c r="C70" i="15"/>
  <c r="B70" i="15"/>
  <c r="D69" i="15"/>
  <c r="C69" i="15"/>
  <c r="B69" i="15"/>
  <c r="D68" i="15"/>
  <c r="C68" i="15"/>
  <c r="B68" i="15"/>
  <c r="D67" i="15"/>
  <c r="C67" i="15"/>
  <c r="B67" i="15"/>
  <c r="D66" i="15"/>
  <c r="C66" i="15"/>
  <c r="B66" i="15"/>
  <c r="D65" i="15"/>
  <c r="C65" i="15"/>
  <c r="B65" i="15"/>
  <c r="D64" i="15"/>
  <c r="C64" i="15"/>
  <c r="B64" i="15"/>
  <c r="D63" i="15"/>
  <c r="C63" i="15"/>
  <c r="B63" i="15"/>
  <c r="D62" i="15"/>
  <c r="C62" i="15"/>
  <c r="B62" i="15"/>
  <c r="D61" i="15"/>
  <c r="C61" i="15"/>
  <c r="B61" i="15"/>
  <c r="D60" i="15"/>
  <c r="C60" i="15"/>
  <c r="B60" i="15"/>
  <c r="D59" i="15"/>
  <c r="C59" i="15"/>
  <c r="B59" i="15"/>
  <c r="D58" i="15"/>
  <c r="C58" i="15"/>
  <c r="B58" i="15"/>
  <c r="D57" i="15"/>
  <c r="C57" i="15"/>
  <c r="B57" i="15"/>
  <c r="D56" i="15"/>
  <c r="C56" i="15"/>
  <c r="B56" i="15"/>
  <c r="D55" i="15"/>
  <c r="C55" i="15"/>
  <c r="B55" i="15"/>
  <c r="D54" i="15"/>
  <c r="C54" i="15"/>
  <c r="B54" i="15"/>
  <c r="D53" i="15"/>
  <c r="C53" i="15"/>
  <c r="B53" i="15"/>
  <c r="D52" i="15"/>
  <c r="C52" i="15"/>
  <c r="B52" i="15"/>
  <c r="D51" i="15"/>
  <c r="C51" i="15"/>
  <c r="B51" i="15"/>
  <c r="D50" i="15"/>
  <c r="C50" i="15"/>
  <c r="B50" i="15"/>
  <c r="D49" i="15"/>
  <c r="C49" i="15"/>
  <c r="B49" i="15"/>
  <c r="D48" i="15"/>
  <c r="C48" i="15"/>
  <c r="B48" i="15"/>
  <c r="D47" i="15"/>
  <c r="C47" i="15"/>
  <c r="B47" i="15"/>
  <c r="D46" i="15"/>
  <c r="C46" i="15"/>
  <c r="B46" i="15"/>
  <c r="D45" i="15"/>
  <c r="C45" i="15"/>
  <c r="B45" i="15"/>
  <c r="D44" i="15"/>
  <c r="C44" i="15"/>
  <c r="B44" i="15"/>
  <c r="D43" i="15"/>
  <c r="C43" i="15"/>
  <c r="B43" i="15"/>
  <c r="D42" i="15"/>
  <c r="C42" i="15"/>
  <c r="B42" i="15"/>
  <c r="D41" i="15"/>
  <c r="C41" i="15"/>
  <c r="B41" i="15"/>
  <c r="D40" i="15"/>
  <c r="C40" i="15"/>
  <c r="B40" i="15"/>
  <c r="D39" i="15"/>
  <c r="C39" i="15"/>
  <c r="B39" i="15"/>
  <c r="D38" i="15"/>
  <c r="C38" i="15"/>
  <c r="B38" i="15"/>
  <c r="D37" i="15"/>
  <c r="C37" i="15"/>
  <c r="B37" i="15"/>
  <c r="D36" i="15"/>
  <c r="C36" i="15"/>
  <c r="B36" i="15"/>
  <c r="D35" i="15"/>
  <c r="C35" i="15"/>
  <c r="B35" i="15"/>
  <c r="D34" i="15"/>
  <c r="C34" i="15"/>
  <c r="B34" i="15"/>
  <c r="D33" i="15"/>
  <c r="C33" i="15"/>
  <c r="B33" i="15"/>
  <c r="D32" i="15"/>
  <c r="C32" i="15"/>
  <c r="B32" i="15"/>
  <c r="D31" i="15"/>
  <c r="C31" i="15"/>
  <c r="B31" i="15"/>
  <c r="D30" i="15"/>
  <c r="C30" i="15"/>
  <c r="B30" i="15"/>
  <c r="D29" i="15"/>
  <c r="C29" i="15"/>
  <c r="B29" i="15"/>
  <c r="D28" i="15"/>
  <c r="C28" i="15"/>
  <c r="B28" i="15"/>
  <c r="D27" i="15"/>
  <c r="C27" i="15"/>
  <c r="B27" i="15"/>
  <c r="D26" i="15"/>
  <c r="C26" i="15"/>
  <c r="B26" i="15"/>
  <c r="D25" i="15"/>
  <c r="C25" i="15"/>
  <c r="B25" i="15"/>
  <c r="D24" i="15"/>
  <c r="C24" i="15"/>
  <c r="B24" i="15"/>
  <c r="D23" i="15"/>
  <c r="C23" i="15"/>
  <c r="B23" i="15"/>
  <c r="D22" i="15"/>
  <c r="C22" i="15"/>
  <c r="B22" i="15"/>
  <c r="D21" i="15"/>
  <c r="C21" i="15"/>
  <c r="B21" i="15"/>
  <c r="D20" i="15"/>
  <c r="C20" i="15"/>
  <c r="B20" i="15"/>
  <c r="D19" i="15"/>
  <c r="C19" i="15"/>
  <c r="B19" i="15"/>
  <c r="D18" i="15"/>
  <c r="C18" i="15"/>
  <c r="B18" i="15"/>
  <c r="D17" i="15"/>
  <c r="C17" i="15"/>
  <c r="B17" i="15"/>
  <c r="D16" i="15"/>
  <c r="C16" i="15"/>
  <c r="B16" i="15"/>
  <c r="D15" i="15"/>
  <c r="C15" i="15"/>
  <c r="B15" i="15"/>
  <c r="D14" i="15"/>
  <c r="C14" i="15"/>
  <c r="B14" i="15"/>
  <c r="D13" i="15"/>
  <c r="C13" i="15"/>
  <c r="B13" i="15"/>
  <c r="D12" i="15"/>
  <c r="C12" i="15"/>
  <c r="B12" i="15"/>
  <c r="D11" i="15"/>
  <c r="C11" i="15"/>
  <c r="B11" i="15"/>
  <c r="D10" i="15"/>
  <c r="C10" i="15"/>
  <c r="B10" i="15"/>
  <c r="D9" i="15"/>
  <c r="C9" i="15"/>
  <c r="B9" i="15"/>
  <c r="D8" i="15"/>
  <c r="C8" i="15"/>
  <c r="B8" i="15"/>
  <c r="D7" i="15"/>
  <c r="C7" i="15"/>
  <c r="B7" i="15"/>
  <c r="D6" i="15"/>
  <c r="C6" i="15"/>
  <c r="B6" i="15"/>
  <c r="D5" i="15"/>
  <c r="C5" i="15"/>
  <c r="B5" i="15"/>
  <c r="D4" i="15"/>
  <c r="C4" i="15"/>
  <c r="B4" i="15"/>
  <c r="D109" i="14"/>
  <c r="C109" i="14"/>
  <c r="B109" i="14"/>
  <c r="D108" i="14"/>
  <c r="C108" i="14"/>
  <c r="B108" i="14"/>
  <c r="D107" i="14"/>
  <c r="C107" i="14"/>
  <c r="B107" i="14"/>
  <c r="D106" i="14"/>
  <c r="C106" i="14"/>
  <c r="B106" i="14"/>
  <c r="D105" i="14"/>
  <c r="C105" i="14"/>
  <c r="B105" i="14"/>
  <c r="D104" i="14"/>
  <c r="C104" i="14"/>
  <c r="B104" i="14"/>
  <c r="D103" i="14"/>
  <c r="C103" i="14"/>
  <c r="B103" i="14"/>
  <c r="D102" i="14"/>
  <c r="C102" i="14"/>
  <c r="B102" i="14"/>
  <c r="D101" i="14"/>
  <c r="C101" i="14"/>
  <c r="B101" i="14"/>
  <c r="D100" i="14"/>
  <c r="C100" i="14"/>
  <c r="B100" i="14"/>
  <c r="D99" i="14"/>
  <c r="C99" i="14"/>
  <c r="B99" i="14"/>
  <c r="D98" i="14"/>
  <c r="C98" i="14"/>
  <c r="B98" i="14"/>
  <c r="D97" i="14"/>
  <c r="C97" i="14"/>
  <c r="B97" i="14"/>
  <c r="D96" i="14"/>
  <c r="C96" i="14"/>
  <c r="B96" i="14"/>
  <c r="D95" i="14"/>
  <c r="C95" i="14"/>
  <c r="B95" i="14"/>
  <c r="D94" i="14"/>
  <c r="C94" i="14"/>
  <c r="B94" i="14"/>
  <c r="D93" i="14"/>
  <c r="C93" i="14"/>
  <c r="B93" i="14"/>
  <c r="D92" i="14"/>
  <c r="C92" i="14"/>
  <c r="B92" i="14"/>
  <c r="D91" i="14"/>
  <c r="C91" i="14"/>
  <c r="B91" i="14"/>
  <c r="D90" i="14"/>
  <c r="C90" i="14"/>
  <c r="B90" i="14"/>
  <c r="D89" i="14"/>
  <c r="C89" i="14"/>
  <c r="B89" i="14"/>
  <c r="D88" i="14"/>
  <c r="C88" i="14"/>
  <c r="B88" i="14"/>
  <c r="D87" i="14"/>
  <c r="C87" i="14"/>
  <c r="B87" i="14"/>
  <c r="D86" i="14"/>
  <c r="C86" i="14"/>
  <c r="B86" i="14"/>
  <c r="D85" i="14"/>
  <c r="C85" i="14"/>
  <c r="B85" i="14"/>
  <c r="D84" i="14"/>
  <c r="C84" i="14"/>
  <c r="B84" i="14"/>
  <c r="D83" i="14"/>
  <c r="C83" i="14"/>
  <c r="B83" i="14"/>
  <c r="D82" i="14"/>
  <c r="C82" i="14"/>
  <c r="B82" i="14"/>
  <c r="D81" i="14"/>
  <c r="C81" i="14"/>
  <c r="B81" i="14"/>
  <c r="D80" i="14"/>
  <c r="C80" i="14"/>
  <c r="B80" i="14"/>
  <c r="D79" i="14"/>
  <c r="C79" i="14"/>
  <c r="B79" i="14"/>
  <c r="D78" i="14"/>
  <c r="C78" i="14"/>
  <c r="B78" i="14"/>
  <c r="D77" i="14"/>
  <c r="C77" i="14"/>
  <c r="B77" i="14"/>
  <c r="D76" i="14"/>
  <c r="C76" i="14"/>
  <c r="B76" i="14"/>
  <c r="D75" i="14"/>
  <c r="C75" i="14"/>
  <c r="B75" i="14"/>
  <c r="D74" i="14"/>
  <c r="C74" i="14"/>
  <c r="B74" i="14"/>
  <c r="D73" i="14"/>
  <c r="C73" i="14"/>
  <c r="B73" i="14"/>
  <c r="D72" i="14"/>
  <c r="C72" i="14"/>
  <c r="B72" i="14"/>
  <c r="D71" i="14"/>
  <c r="C71" i="14"/>
  <c r="B71" i="14"/>
  <c r="D70" i="14"/>
  <c r="C70" i="14"/>
  <c r="B70" i="14"/>
  <c r="D69" i="14"/>
  <c r="C69" i="14"/>
  <c r="B69" i="14"/>
  <c r="D68" i="14"/>
  <c r="C68" i="14"/>
  <c r="B68" i="14"/>
  <c r="D67" i="14"/>
  <c r="C67" i="14"/>
  <c r="B67" i="14"/>
  <c r="D66" i="14"/>
  <c r="C66" i="14"/>
  <c r="B66" i="14"/>
  <c r="D65" i="14"/>
  <c r="C65" i="14"/>
  <c r="B65" i="14"/>
  <c r="D64" i="14"/>
  <c r="C64" i="14"/>
  <c r="B64" i="14"/>
  <c r="D63" i="14"/>
  <c r="C63" i="14"/>
  <c r="B63" i="14"/>
  <c r="D62" i="14"/>
  <c r="C62" i="14"/>
  <c r="B62" i="14"/>
  <c r="D61" i="14"/>
  <c r="C61" i="14"/>
  <c r="B61" i="14"/>
  <c r="D60" i="14"/>
  <c r="C60" i="14"/>
  <c r="B60" i="14"/>
  <c r="D59" i="14"/>
  <c r="C59" i="14"/>
  <c r="B59" i="14"/>
  <c r="D58" i="14"/>
  <c r="C58" i="14"/>
  <c r="B58" i="14"/>
  <c r="D57" i="14"/>
  <c r="C57" i="14"/>
  <c r="B57" i="14"/>
  <c r="D56" i="14"/>
  <c r="C56" i="14"/>
  <c r="B56" i="14"/>
  <c r="D55" i="14"/>
  <c r="C55" i="14"/>
  <c r="B55" i="14"/>
  <c r="D54" i="14"/>
  <c r="C54" i="14"/>
  <c r="B54" i="14"/>
  <c r="D53" i="14"/>
  <c r="C53" i="14"/>
  <c r="B53" i="14"/>
  <c r="D52" i="14"/>
  <c r="C52" i="14"/>
  <c r="B52" i="14"/>
  <c r="D51" i="14"/>
  <c r="C51" i="14"/>
  <c r="B51" i="14"/>
  <c r="D50" i="14"/>
  <c r="C50" i="14"/>
  <c r="B50" i="14"/>
  <c r="D49" i="14"/>
  <c r="C49" i="14"/>
  <c r="B49" i="14"/>
  <c r="D48" i="14"/>
  <c r="C48" i="14"/>
  <c r="B48" i="14"/>
  <c r="D47" i="14"/>
  <c r="C47" i="14"/>
  <c r="B47" i="14"/>
  <c r="D46" i="14"/>
  <c r="C46" i="14"/>
  <c r="B46" i="14"/>
  <c r="D45" i="14"/>
  <c r="C45" i="14"/>
  <c r="B45" i="14"/>
  <c r="D44" i="14"/>
  <c r="C44" i="14"/>
  <c r="B44" i="14"/>
  <c r="D43" i="14"/>
  <c r="C43" i="14"/>
  <c r="B43" i="14"/>
  <c r="D42" i="14"/>
  <c r="C42" i="14"/>
  <c r="B42" i="14"/>
  <c r="D41" i="14"/>
  <c r="C41" i="14"/>
  <c r="B41" i="14"/>
  <c r="D40" i="14"/>
  <c r="C40" i="14"/>
  <c r="B40" i="14"/>
  <c r="D39" i="14"/>
  <c r="C39" i="14"/>
  <c r="B39" i="14"/>
  <c r="D38" i="14"/>
  <c r="C38" i="14"/>
  <c r="B38" i="14"/>
  <c r="D37" i="14"/>
  <c r="C37" i="14"/>
  <c r="B37" i="14"/>
  <c r="D36" i="14"/>
  <c r="C36" i="14"/>
  <c r="B36" i="14"/>
  <c r="D35" i="14"/>
  <c r="C35" i="14"/>
  <c r="B35" i="14"/>
  <c r="D34" i="14"/>
  <c r="C34" i="14"/>
  <c r="B34" i="14"/>
  <c r="D33" i="14"/>
  <c r="C33" i="14"/>
  <c r="B33" i="14"/>
  <c r="D32" i="14"/>
  <c r="C32" i="14"/>
  <c r="B32" i="14"/>
  <c r="D31" i="14"/>
  <c r="C31" i="14"/>
  <c r="B31" i="14"/>
  <c r="D30" i="14"/>
  <c r="C30" i="14"/>
  <c r="B30" i="14"/>
  <c r="D29" i="14"/>
  <c r="C29" i="14"/>
  <c r="B29" i="14"/>
  <c r="D28" i="14"/>
  <c r="C28" i="14"/>
  <c r="B28" i="14"/>
  <c r="D27" i="14"/>
  <c r="C27" i="14"/>
  <c r="B27" i="14"/>
  <c r="D26" i="14"/>
  <c r="C26" i="14"/>
  <c r="B26" i="14"/>
  <c r="D25" i="14"/>
  <c r="C25" i="14"/>
  <c r="B25" i="14"/>
  <c r="D24" i="14"/>
  <c r="C24" i="14"/>
  <c r="B24" i="14"/>
  <c r="D23" i="14"/>
  <c r="C23" i="14"/>
  <c r="B23" i="14"/>
  <c r="D22" i="14"/>
  <c r="C22" i="14"/>
  <c r="B22" i="14"/>
  <c r="D21" i="14"/>
  <c r="C21" i="14"/>
  <c r="B21" i="14"/>
  <c r="D20" i="14"/>
  <c r="C20" i="14"/>
  <c r="B20" i="14"/>
  <c r="D19" i="14"/>
  <c r="C19" i="14"/>
  <c r="B19" i="14"/>
  <c r="D18" i="14"/>
  <c r="C18" i="14"/>
  <c r="B18" i="14"/>
  <c r="D17" i="14"/>
  <c r="C17" i="14"/>
  <c r="B17" i="14"/>
  <c r="D16" i="14"/>
  <c r="C16" i="14"/>
  <c r="B16" i="14"/>
  <c r="D15" i="14"/>
  <c r="C15" i="14"/>
  <c r="B15" i="14"/>
  <c r="D14" i="14"/>
  <c r="C14" i="14"/>
  <c r="B14" i="14"/>
  <c r="D13" i="14"/>
  <c r="C13" i="14"/>
  <c r="B13" i="14"/>
  <c r="D12" i="14"/>
  <c r="C12" i="14"/>
  <c r="B12" i="14"/>
  <c r="D11" i="14"/>
  <c r="C11" i="14"/>
  <c r="B11" i="14"/>
  <c r="D10" i="14"/>
  <c r="C10" i="14"/>
  <c r="B10" i="14"/>
  <c r="D9" i="14"/>
  <c r="C9" i="14"/>
  <c r="B9" i="14"/>
  <c r="D8" i="14"/>
  <c r="C8" i="14"/>
  <c r="B8" i="14"/>
  <c r="D7" i="14"/>
  <c r="C7" i="14"/>
  <c r="B7" i="14"/>
  <c r="D6" i="14"/>
  <c r="C6" i="14"/>
  <c r="B6" i="14"/>
  <c r="D5" i="14"/>
  <c r="C5" i="14"/>
  <c r="B5" i="14"/>
  <c r="D4" i="14"/>
  <c r="C4" i="14"/>
  <c r="B4" i="14"/>
  <c r="D109" i="13"/>
  <c r="C109" i="13"/>
  <c r="B109" i="13"/>
  <c r="D108" i="13"/>
  <c r="C108" i="13"/>
  <c r="B108" i="13"/>
  <c r="D107" i="13"/>
  <c r="C107" i="13"/>
  <c r="B107" i="13"/>
  <c r="D106" i="13"/>
  <c r="C106" i="13"/>
  <c r="B106" i="13"/>
  <c r="D105" i="13"/>
  <c r="C105" i="13"/>
  <c r="B105" i="13"/>
  <c r="D104" i="13"/>
  <c r="C104" i="13"/>
  <c r="B104" i="13"/>
  <c r="D103" i="13"/>
  <c r="C103" i="13"/>
  <c r="B103" i="13"/>
  <c r="D102" i="13"/>
  <c r="C102" i="13"/>
  <c r="B102" i="13"/>
  <c r="D101" i="13"/>
  <c r="C101" i="13"/>
  <c r="B101" i="13"/>
  <c r="D100" i="13"/>
  <c r="C100" i="13"/>
  <c r="B100" i="13"/>
  <c r="D99" i="13"/>
  <c r="C99" i="13"/>
  <c r="B99" i="13"/>
  <c r="D98" i="13"/>
  <c r="C98" i="13"/>
  <c r="B98" i="13"/>
  <c r="D97" i="13"/>
  <c r="C97" i="13"/>
  <c r="B97" i="13"/>
  <c r="D96" i="13"/>
  <c r="C96" i="13"/>
  <c r="B96" i="13"/>
  <c r="D95" i="13"/>
  <c r="C95" i="13"/>
  <c r="B95" i="13"/>
  <c r="D94" i="13"/>
  <c r="C94" i="13"/>
  <c r="B94" i="13"/>
  <c r="D93" i="13"/>
  <c r="C93" i="13"/>
  <c r="B93" i="13"/>
  <c r="D92" i="13"/>
  <c r="C92" i="13"/>
  <c r="B92" i="13"/>
  <c r="D91" i="13"/>
  <c r="C91" i="13"/>
  <c r="B91" i="13"/>
  <c r="D90" i="13"/>
  <c r="C90" i="13"/>
  <c r="B90" i="13"/>
  <c r="D89" i="13"/>
  <c r="C89" i="13"/>
  <c r="B89" i="13"/>
  <c r="D88" i="13"/>
  <c r="C88" i="13"/>
  <c r="B88" i="13"/>
  <c r="D87" i="13"/>
  <c r="C87" i="13"/>
  <c r="B87" i="13"/>
  <c r="D86" i="13"/>
  <c r="C86" i="13"/>
  <c r="B86" i="13"/>
  <c r="D85" i="13"/>
  <c r="C85" i="13"/>
  <c r="B85" i="13"/>
  <c r="D84" i="13"/>
  <c r="C84" i="13"/>
  <c r="B84" i="13"/>
  <c r="D83" i="13"/>
  <c r="C83" i="13"/>
  <c r="B83" i="13"/>
  <c r="D82" i="13"/>
  <c r="C82" i="13"/>
  <c r="B82" i="13"/>
  <c r="D81" i="13"/>
  <c r="C81" i="13"/>
  <c r="B81" i="13"/>
  <c r="D80" i="13"/>
  <c r="C80" i="13"/>
  <c r="B80" i="13"/>
  <c r="D79" i="13"/>
  <c r="C79" i="13"/>
  <c r="B79" i="13"/>
  <c r="D78" i="13"/>
  <c r="C78" i="13"/>
  <c r="B78" i="13"/>
  <c r="D77" i="13"/>
  <c r="C77" i="13"/>
  <c r="B77" i="13"/>
  <c r="D76" i="13"/>
  <c r="C76" i="13"/>
  <c r="B76" i="13"/>
  <c r="D75" i="13"/>
  <c r="C75" i="13"/>
  <c r="B75" i="13"/>
  <c r="D74" i="13"/>
  <c r="C74" i="13"/>
  <c r="B74" i="13"/>
  <c r="D73" i="13"/>
  <c r="C73" i="13"/>
  <c r="B73" i="13"/>
  <c r="D72" i="13"/>
  <c r="C72" i="13"/>
  <c r="B72" i="13"/>
  <c r="D71" i="13"/>
  <c r="C71" i="13"/>
  <c r="B71" i="13"/>
  <c r="D70" i="13"/>
  <c r="C70" i="13"/>
  <c r="B70" i="13"/>
  <c r="D69" i="13"/>
  <c r="C69" i="13"/>
  <c r="B69" i="13"/>
  <c r="D68" i="13"/>
  <c r="C68" i="13"/>
  <c r="B68" i="13"/>
  <c r="D67" i="13"/>
  <c r="C67" i="13"/>
  <c r="B67" i="13"/>
  <c r="D66" i="13"/>
  <c r="C66" i="13"/>
  <c r="B66" i="13"/>
  <c r="D65" i="13"/>
  <c r="C65" i="13"/>
  <c r="B65" i="13"/>
  <c r="D64" i="13"/>
  <c r="C64" i="13"/>
  <c r="B64" i="13"/>
  <c r="D63" i="13"/>
  <c r="C63" i="13"/>
  <c r="B63" i="13"/>
  <c r="D62" i="13"/>
  <c r="C62" i="13"/>
  <c r="B62" i="13"/>
  <c r="D61" i="13"/>
  <c r="C61" i="13"/>
  <c r="B61" i="13"/>
  <c r="D60" i="13"/>
  <c r="C60" i="13"/>
  <c r="B60" i="13"/>
  <c r="D59" i="13"/>
  <c r="C59" i="13"/>
  <c r="B59" i="13"/>
  <c r="D58" i="13"/>
  <c r="C58" i="13"/>
  <c r="B58" i="13"/>
  <c r="D57" i="13"/>
  <c r="C57" i="13"/>
  <c r="B57" i="13"/>
  <c r="D56" i="13"/>
  <c r="C56" i="13"/>
  <c r="B56" i="13"/>
  <c r="D55" i="13"/>
  <c r="C55" i="13"/>
  <c r="B55" i="13"/>
  <c r="D54" i="13"/>
  <c r="C54" i="13"/>
  <c r="B54" i="13"/>
  <c r="D53" i="13"/>
  <c r="C53" i="13"/>
  <c r="B53" i="13"/>
  <c r="D52" i="13"/>
  <c r="C52" i="13"/>
  <c r="B52" i="13"/>
  <c r="D51" i="13"/>
  <c r="C51" i="13"/>
  <c r="B51" i="13"/>
  <c r="D50" i="13"/>
  <c r="C50" i="13"/>
  <c r="B50" i="13"/>
  <c r="D49" i="13"/>
  <c r="C49" i="13"/>
  <c r="B49" i="13"/>
  <c r="D48" i="13"/>
  <c r="C48" i="13"/>
  <c r="B48" i="13"/>
  <c r="D47" i="13"/>
  <c r="C47" i="13"/>
  <c r="B47" i="13"/>
  <c r="D46" i="13"/>
  <c r="C46" i="13"/>
  <c r="B46" i="13"/>
  <c r="D45" i="13"/>
  <c r="C45" i="13"/>
  <c r="B45" i="13"/>
  <c r="D44" i="13"/>
  <c r="C44" i="13"/>
  <c r="B44" i="13"/>
  <c r="D43" i="13"/>
  <c r="C43" i="13"/>
  <c r="B43" i="13"/>
  <c r="D42" i="13"/>
  <c r="C42" i="13"/>
  <c r="B42" i="13"/>
  <c r="D41" i="13"/>
  <c r="C41" i="13"/>
  <c r="B41" i="13"/>
  <c r="D40" i="13"/>
  <c r="C40" i="13"/>
  <c r="B40" i="13"/>
  <c r="D39" i="13"/>
  <c r="C39" i="13"/>
  <c r="B39" i="13"/>
  <c r="D38" i="13"/>
  <c r="C38" i="13"/>
  <c r="B38" i="13"/>
  <c r="D37" i="13"/>
  <c r="C37" i="13"/>
  <c r="B37" i="13"/>
  <c r="D36" i="13"/>
  <c r="C36" i="13"/>
  <c r="B36" i="13"/>
  <c r="D35" i="13"/>
  <c r="C35" i="13"/>
  <c r="B35" i="13"/>
  <c r="D34" i="13"/>
  <c r="C34" i="13"/>
  <c r="B34" i="13"/>
  <c r="D33" i="13"/>
  <c r="C33" i="13"/>
  <c r="B33" i="13"/>
  <c r="D32" i="13"/>
  <c r="C32" i="13"/>
  <c r="B32" i="13"/>
  <c r="D31" i="13"/>
  <c r="C31" i="13"/>
  <c r="B31" i="13"/>
  <c r="D30" i="13"/>
  <c r="C30" i="13"/>
  <c r="B30" i="13"/>
  <c r="D29" i="13"/>
  <c r="C29" i="13"/>
  <c r="B29" i="13"/>
  <c r="D28" i="13"/>
  <c r="C28" i="13"/>
  <c r="B28" i="13"/>
  <c r="D27" i="13"/>
  <c r="C27" i="13"/>
  <c r="B27" i="13"/>
  <c r="D26" i="13"/>
  <c r="C26" i="13"/>
  <c r="B26" i="13"/>
  <c r="D25" i="13"/>
  <c r="C25" i="13"/>
  <c r="B25" i="13"/>
  <c r="D24" i="13"/>
  <c r="C24" i="13"/>
  <c r="B24" i="13"/>
  <c r="D23" i="13"/>
  <c r="C23" i="13"/>
  <c r="B23" i="13"/>
  <c r="D22" i="13"/>
  <c r="C22" i="13"/>
  <c r="B22" i="13"/>
  <c r="D21" i="13"/>
  <c r="C21" i="13"/>
  <c r="B21" i="13"/>
  <c r="D20" i="13"/>
  <c r="C20" i="13"/>
  <c r="B20" i="13"/>
  <c r="D19" i="13"/>
  <c r="C19" i="13"/>
  <c r="B19" i="13"/>
  <c r="D18" i="13"/>
  <c r="C18" i="13"/>
  <c r="B18" i="13"/>
  <c r="D17" i="13"/>
  <c r="C17" i="13"/>
  <c r="B17" i="13"/>
  <c r="D16" i="13"/>
  <c r="C16" i="13"/>
  <c r="B16" i="13"/>
  <c r="D15" i="13"/>
  <c r="C15" i="13"/>
  <c r="B15" i="13"/>
  <c r="D14" i="13"/>
  <c r="C14" i="13"/>
  <c r="B14" i="13"/>
  <c r="D13" i="13"/>
  <c r="C13" i="13"/>
  <c r="B13" i="13"/>
  <c r="D12" i="13"/>
  <c r="C12" i="13"/>
  <c r="B12" i="13"/>
  <c r="D11" i="13"/>
  <c r="C11" i="13"/>
  <c r="B11" i="13"/>
  <c r="D10" i="13"/>
  <c r="C10" i="13"/>
  <c r="B10" i="13"/>
  <c r="D9" i="13"/>
  <c r="C9" i="13"/>
  <c r="B9" i="13"/>
  <c r="D8" i="13"/>
  <c r="C8" i="13"/>
  <c r="B8" i="13"/>
  <c r="D7" i="13"/>
  <c r="C7" i="13"/>
  <c r="B7" i="13"/>
  <c r="D6" i="13"/>
  <c r="C6" i="13"/>
  <c r="B6" i="13"/>
  <c r="D5" i="13"/>
  <c r="C5" i="13"/>
  <c r="B5" i="13"/>
  <c r="D4" i="13"/>
  <c r="C4" i="13"/>
  <c r="B4" i="13"/>
  <c r="D109" i="12"/>
  <c r="C109" i="12"/>
  <c r="B109" i="12"/>
  <c r="D108" i="12"/>
  <c r="C108" i="12"/>
  <c r="B108" i="12"/>
  <c r="D107" i="12"/>
  <c r="C107" i="12"/>
  <c r="B107" i="12"/>
  <c r="D106" i="12"/>
  <c r="C106" i="12"/>
  <c r="B106" i="12"/>
  <c r="D105" i="12"/>
  <c r="C105" i="12"/>
  <c r="B105" i="12"/>
  <c r="D104" i="12"/>
  <c r="C104" i="12"/>
  <c r="B104" i="12"/>
  <c r="D103" i="12"/>
  <c r="C103" i="12"/>
  <c r="B103" i="12"/>
  <c r="D102" i="12"/>
  <c r="C102" i="12"/>
  <c r="B102" i="12"/>
  <c r="D101" i="12"/>
  <c r="C101" i="12"/>
  <c r="B101" i="12"/>
  <c r="D100" i="12"/>
  <c r="C100" i="12"/>
  <c r="B100" i="12"/>
  <c r="D99" i="12"/>
  <c r="C99" i="12"/>
  <c r="B99" i="12"/>
  <c r="D98" i="12"/>
  <c r="C98" i="12"/>
  <c r="B98" i="12"/>
  <c r="D97" i="12"/>
  <c r="C97" i="12"/>
  <c r="B97" i="12"/>
  <c r="D96" i="12"/>
  <c r="C96" i="12"/>
  <c r="B96" i="12"/>
  <c r="D95" i="12"/>
  <c r="C95" i="12"/>
  <c r="B95" i="12"/>
  <c r="D94" i="12"/>
  <c r="C94" i="12"/>
  <c r="B94" i="12"/>
  <c r="D93" i="12"/>
  <c r="C93" i="12"/>
  <c r="B93" i="12"/>
  <c r="D92" i="12"/>
  <c r="C92" i="12"/>
  <c r="B92" i="12"/>
  <c r="D91" i="12"/>
  <c r="C91" i="12"/>
  <c r="B91" i="12"/>
  <c r="D90" i="12"/>
  <c r="C90" i="12"/>
  <c r="B90" i="12"/>
  <c r="D89" i="12"/>
  <c r="C89" i="12"/>
  <c r="B89" i="12"/>
  <c r="D88" i="12"/>
  <c r="C88" i="12"/>
  <c r="B88" i="12"/>
  <c r="D87" i="12"/>
  <c r="C87" i="12"/>
  <c r="B87" i="12"/>
  <c r="D86" i="12"/>
  <c r="C86" i="12"/>
  <c r="B86" i="12"/>
  <c r="D85" i="12"/>
  <c r="C85" i="12"/>
  <c r="B85" i="12"/>
  <c r="D84" i="12"/>
  <c r="C84" i="12"/>
  <c r="B84" i="12"/>
  <c r="D83" i="12"/>
  <c r="C83" i="12"/>
  <c r="B83" i="12"/>
  <c r="D82" i="12"/>
  <c r="C82" i="12"/>
  <c r="B82" i="12"/>
  <c r="D81" i="12"/>
  <c r="C81" i="12"/>
  <c r="B81" i="12"/>
  <c r="D80" i="12"/>
  <c r="C80" i="12"/>
  <c r="B80" i="12"/>
  <c r="D79" i="12"/>
  <c r="C79" i="12"/>
  <c r="B79" i="12"/>
  <c r="D78" i="12"/>
  <c r="C78" i="12"/>
  <c r="B78" i="12"/>
  <c r="D77" i="12"/>
  <c r="C77" i="12"/>
  <c r="B77" i="12"/>
  <c r="D76" i="12"/>
  <c r="C76" i="12"/>
  <c r="B76" i="12"/>
  <c r="D75" i="12"/>
  <c r="C75" i="12"/>
  <c r="B75" i="12"/>
  <c r="D74" i="12"/>
  <c r="C74" i="12"/>
  <c r="B74" i="12"/>
  <c r="D73" i="12"/>
  <c r="C73" i="12"/>
  <c r="B73" i="12"/>
  <c r="D72" i="12"/>
  <c r="C72" i="12"/>
  <c r="B72" i="12"/>
  <c r="D71" i="12"/>
  <c r="C71" i="12"/>
  <c r="B71" i="12"/>
  <c r="D70" i="12"/>
  <c r="C70" i="12"/>
  <c r="B70" i="12"/>
  <c r="D69" i="12"/>
  <c r="C69" i="12"/>
  <c r="B69" i="12"/>
  <c r="D68" i="12"/>
  <c r="C68" i="12"/>
  <c r="B68" i="12"/>
  <c r="D67" i="12"/>
  <c r="C67" i="12"/>
  <c r="B67" i="12"/>
  <c r="D66" i="12"/>
  <c r="C66" i="12"/>
  <c r="B66" i="12"/>
  <c r="D65" i="12"/>
  <c r="C65" i="12"/>
  <c r="B65" i="12"/>
  <c r="D64" i="12"/>
  <c r="C64" i="12"/>
  <c r="B64" i="12"/>
  <c r="D63" i="12"/>
  <c r="C63" i="12"/>
  <c r="B63" i="12"/>
  <c r="D62" i="12"/>
  <c r="C62" i="12"/>
  <c r="B62" i="12"/>
  <c r="D61" i="12"/>
  <c r="C61" i="12"/>
  <c r="B61" i="12"/>
  <c r="D60" i="12"/>
  <c r="C60" i="12"/>
  <c r="B60" i="12"/>
  <c r="D59" i="12"/>
  <c r="C59" i="12"/>
  <c r="B59" i="12"/>
  <c r="D58" i="12"/>
  <c r="C58" i="12"/>
  <c r="B58" i="12"/>
  <c r="D57" i="12"/>
  <c r="C57" i="12"/>
  <c r="B57" i="12"/>
  <c r="D56" i="12"/>
  <c r="C56" i="12"/>
  <c r="B56" i="12"/>
  <c r="D55" i="12"/>
  <c r="C55" i="12"/>
  <c r="B55" i="12"/>
  <c r="D54" i="12"/>
  <c r="C54" i="12"/>
  <c r="B54" i="12"/>
  <c r="D53" i="12"/>
  <c r="C53" i="12"/>
  <c r="B53" i="12"/>
  <c r="D52" i="12"/>
  <c r="C52" i="12"/>
  <c r="B52" i="12"/>
  <c r="D51" i="12"/>
  <c r="C51" i="12"/>
  <c r="B51" i="12"/>
  <c r="D50" i="12"/>
  <c r="C50" i="12"/>
  <c r="B50" i="12"/>
  <c r="D49" i="12"/>
  <c r="C49" i="12"/>
  <c r="B49" i="12"/>
  <c r="D48" i="12"/>
  <c r="C48" i="12"/>
  <c r="B48" i="12"/>
  <c r="D47" i="12"/>
  <c r="C47" i="12"/>
  <c r="B47" i="12"/>
  <c r="D46" i="12"/>
  <c r="C46" i="12"/>
  <c r="B46" i="12"/>
  <c r="D45" i="12"/>
  <c r="C45" i="12"/>
  <c r="B45" i="12"/>
  <c r="D44" i="12"/>
  <c r="C44" i="12"/>
  <c r="B44" i="12"/>
  <c r="D43" i="12"/>
  <c r="C43" i="12"/>
  <c r="B43" i="12"/>
  <c r="D42" i="12"/>
  <c r="C42" i="12"/>
  <c r="B42" i="12"/>
  <c r="D41" i="12"/>
  <c r="C41" i="12"/>
  <c r="B41" i="12"/>
  <c r="D40" i="12"/>
  <c r="C40" i="12"/>
  <c r="B40" i="12"/>
  <c r="D39" i="12"/>
  <c r="C39" i="12"/>
  <c r="B39" i="12"/>
  <c r="D38" i="12"/>
  <c r="C38" i="12"/>
  <c r="B38" i="12"/>
  <c r="D37" i="12"/>
  <c r="C37" i="12"/>
  <c r="B37" i="12"/>
  <c r="D36" i="12"/>
  <c r="C36" i="12"/>
  <c r="B36" i="12"/>
  <c r="D35" i="12"/>
  <c r="C35" i="12"/>
  <c r="B35" i="12"/>
  <c r="D34" i="12"/>
  <c r="C34" i="12"/>
  <c r="B34" i="12"/>
  <c r="D33" i="12"/>
  <c r="C33" i="12"/>
  <c r="B33" i="12"/>
  <c r="D32" i="12"/>
  <c r="C32" i="12"/>
  <c r="B32" i="12"/>
  <c r="D31" i="12"/>
  <c r="C31" i="12"/>
  <c r="B31" i="12"/>
  <c r="D30" i="12"/>
  <c r="C30" i="12"/>
  <c r="B30" i="12"/>
  <c r="D29" i="12"/>
  <c r="C29" i="12"/>
  <c r="B29" i="12"/>
  <c r="D28" i="12"/>
  <c r="C28" i="12"/>
  <c r="B28" i="12"/>
  <c r="D27" i="12"/>
  <c r="C27" i="12"/>
  <c r="B27" i="12"/>
  <c r="D26" i="12"/>
  <c r="C26" i="12"/>
  <c r="B26" i="12"/>
  <c r="D25" i="12"/>
  <c r="C25" i="12"/>
  <c r="B25" i="12"/>
  <c r="D24" i="12"/>
  <c r="C24" i="12"/>
  <c r="B24" i="12"/>
  <c r="D23" i="12"/>
  <c r="C23" i="12"/>
  <c r="B23" i="12"/>
  <c r="D22" i="12"/>
  <c r="C22" i="12"/>
  <c r="B22" i="12"/>
  <c r="D21" i="12"/>
  <c r="C21" i="12"/>
  <c r="B21" i="12"/>
  <c r="D20" i="12"/>
  <c r="C20" i="12"/>
  <c r="B20" i="12"/>
  <c r="D19" i="12"/>
  <c r="C19" i="12"/>
  <c r="B19" i="12"/>
  <c r="D18" i="12"/>
  <c r="C18" i="12"/>
  <c r="B18" i="12"/>
  <c r="D17" i="12"/>
  <c r="C17" i="12"/>
  <c r="B17" i="12"/>
  <c r="D16" i="12"/>
  <c r="C16" i="12"/>
  <c r="B16" i="12"/>
  <c r="D15" i="12"/>
  <c r="C15" i="12"/>
  <c r="B15" i="12"/>
  <c r="D14" i="12"/>
  <c r="C14" i="12"/>
  <c r="B14" i="12"/>
  <c r="D13" i="12"/>
  <c r="C13" i="12"/>
  <c r="B13" i="12"/>
  <c r="D12" i="12"/>
  <c r="C12" i="12"/>
  <c r="B12" i="12"/>
  <c r="D11" i="12"/>
  <c r="C11" i="12"/>
  <c r="B11" i="12"/>
  <c r="D10" i="12"/>
  <c r="C10" i="12"/>
  <c r="B10" i="12"/>
  <c r="D9" i="12"/>
  <c r="C9" i="12"/>
  <c r="B9" i="12"/>
  <c r="D8" i="12"/>
  <c r="C8" i="12"/>
  <c r="B8" i="12"/>
  <c r="D7" i="12"/>
  <c r="C7" i="12"/>
  <c r="B7" i="12"/>
  <c r="D6" i="12"/>
  <c r="C6" i="12"/>
  <c r="B6" i="12"/>
  <c r="D5" i="12"/>
  <c r="C5" i="12"/>
  <c r="B5" i="12"/>
  <c r="D4" i="12"/>
  <c r="C4" i="12"/>
  <c r="B4" i="12"/>
  <c r="D109" i="11"/>
  <c r="C109" i="11"/>
  <c r="B109" i="11"/>
  <c r="D108" i="11"/>
  <c r="C108" i="11"/>
  <c r="B108" i="11"/>
  <c r="D107" i="11"/>
  <c r="C107" i="11"/>
  <c r="B107" i="11"/>
  <c r="D106" i="11"/>
  <c r="C106" i="11"/>
  <c r="B106" i="11"/>
  <c r="D105" i="11"/>
  <c r="C105" i="11"/>
  <c r="B105" i="11"/>
  <c r="D104" i="11"/>
  <c r="C104" i="11"/>
  <c r="B104" i="11"/>
  <c r="D103" i="11"/>
  <c r="C103" i="11"/>
  <c r="B103" i="11"/>
  <c r="D102" i="11"/>
  <c r="C102" i="11"/>
  <c r="B102" i="11"/>
  <c r="D101" i="11"/>
  <c r="C101" i="11"/>
  <c r="B101" i="11"/>
  <c r="D100" i="11"/>
  <c r="C100" i="11"/>
  <c r="B100" i="11"/>
  <c r="D99" i="11"/>
  <c r="C99" i="11"/>
  <c r="B99" i="11"/>
  <c r="D98" i="11"/>
  <c r="C98" i="11"/>
  <c r="B98" i="11"/>
  <c r="D97" i="11"/>
  <c r="C97" i="11"/>
  <c r="B97" i="11"/>
  <c r="D96" i="11"/>
  <c r="C96" i="11"/>
  <c r="B96" i="11"/>
  <c r="D95" i="11"/>
  <c r="C95" i="11"/>
  <c r="B95" i="11"/>
  <c r="D94" i="11"/>
  <c r="C94" i="11"/>
  <c r="B94" i="11"/>
  <c r="D93" i="11"/>
  <c r="C93" i="11"/>
  <c r="B93" i="11"/>
  <c r="D92" i="11"/>
  <c r="C92" i="11"/>
  <c r="B92" i="11"/>
  <c r="D91" i="11"/>
  <c r="C91" i="11"/>
  <c r="B91" i="11"/>
  <c r="D90" i="11"/>
  <c r="C90" i="11"/>
  <c r="B90" i="11"/>
  <c r="D89" i="11"/>
  <c r="C89" i="11"/>
  <c r="B89" i="11"/>
  <c r="D88" i="11"/>
  <c r="C88" i="11"/>
  <c r="B88" i="11"/>
  <c r="D87" i="11"/>
  <c r="C87" i="11"/>
  <c r="B87" i="11"/>
  <c r="D86" i="11"/>
  <c r="C86" i="11"/>
  <c r="B86" i="11"/>
  <c r="D85" i="11"/>
  <c r="C85" i="11"/>
  <c r="B85" i="11"/>
  <c r="D84" i="11"/>
  <c r="C84" i="11"/>
  <c r="B84" i="11"/>
  <c r="D83" i="11"/>
  <c r="C83" i="11"/>
  <c r="B83" i="11"/>
  <c r="D82" i="11"/>
  <c r="C82" i="11"/>
  <c r="B82" i="11"/>
  <c r="D81" i="11"/>
  <c r="C81" i="11"/>
  <c r="B81" i="11"/>
  <c r="D80" i="11"/>
  <c r="C80" i="11"/>
  <c r="B80" i="11"/>
  <c r="D79" i="11"/>
  <c r="C79" i="11"/>
  <c r="B79" i="11"/>
  <c r="D78" i="11"/>
  <c r="C78" i="11"/>
  <c r="B78" i="11"/>
  <c r="D77" i="11"/>
  <c r="C77" i="11"/>
  <c r="B77" i="11"/>
  <c r="D76" i="11"/>
  <c r="C76" i="11"/>
  <c r="B76" i="11"/>
  <c r="D75" i="11"/>
  <c r="C75" i="11"/>
  <c r="B75" i="11"/>
  <c r="D74" i="11"/>
  <c r="C74" i="11"/>
  <c r="B74" i="11"/>
  <c r="D73" i="11"/>
  <c r="C73" i="11"/>
  <c r="B73" i="11"/>
  <c r="D72" i="11"/>
  <c r="C72" i="11"/>
  <c r="B72" i="11"/>
  <c r="D71" i="11"/>
  <c r="C71" i="11"/>
  <c r="B71" i="11"/>
  <c r="D70" i="11"/>
  <c r="C70" i="11"/>
  <c r="B70" i="11"/>
  <c r="D69" i="11"/>
  <c r="C69" i="11"/>
  <c r="B69" i="11"/>
  <c r="D68" i="11"/>
  <c r="C68" i="11"/>
  <c r="B68" i="11"/>
  <c r="D67" i="11"/>
  <c r="C67" i="11"/>
  <c r="B67" i="11"/>
  <c r="D66" i="11"/>
  <c r="C66" i="11"/>
  <c r="B66" i="11"/>
  <c r="D65" i="11"/>
  <c r="C65" i="11"/>
  <c r="B65" i="11"/>
  <c r="D64" i="11"/>
  <c r="C64" i="11"/>
  <c r="B64" i="11"/>
  <c r="D63" i="11"/>
  <c r="C63" i="11"/>
  <c r="B63" i="11"/>
  <c r="D62" i="11"/>
  <c r="C62" i="11"/>
  <c r="B62" i="11"/>
  <c r="D61" i="11"/>
  <c r="C61" i="11"/>
  <c r="B61" i="11"/>
  <c r="D60" i="11"/>
  <c r="C60" i="11"/>
  <c r="B60" i="11"/>
  <c r="D59" i="11"/>
  <c r="C59" i="11"/>
  <c r="B59" i="11"/>
  <c r="D58" i="11"/>
  <c r="C58" i="11"/>
  <c r="B58" i="11"/>
  <c r="D57" i="11"/>
  <c r="C57" i="11"/>
  <c r="B57" i="11"/>
  <c r="D56" i="11"/>
  <c r="C56" i="11"/>
  <c r="B56" i="11"/>
  <c r="D55" i="11"/>
  <c r="C55" i="11"/>
  <c r="B55" i="11"/>
  <c r="D54" i="11"/>
  <c r="C54" i="11"/>
  <c r="B54" i="11"/>
  <c r="D53" i="11"/>
  <c r="C53" i="11"/>
  <c r="B53" i="11"/>
  <c r="D52" i="11"/>
  <c r="C52" i="11"/>
  <c r="B52" i="11"/>
  <c r="D51" i="11"/>
  <c r="C51" i="11"/>
  <c r="B51" i="11"/>
  <c r="D50" i="11"/>
  <c r="C50" i="11"/>
  <c r="B50" i="11"/>
  <c r="D49" i="11"/>
  <c r="C49" i="11"/>
  <c r="B49" i="11"/>
  <c r="D48" i="11"/>
  <c r="C48" i="11"/>
  <c r="B48" i="11"/>
  <c r="D47" i="11"/>
  <c r="C47" i="11"/>
  <c r="B47" i="11"/>
  <c r="D46" i="11"/>
  <c r="C46" i="11"/>
  <c r="B46" i="11"/>
  <c r="D45" i="11"/>
  <c r="C45" i="11"/>
  <c r="B45" i="11"/>
  <c r="D44" i="11"/>
  <c r="C44" i="11"/>
  <c r="B44" i="11"/>
  <c r="D43" i="11"/>
  <c r="C43" i="11"/>
  <c r="B43" i="11"/>
  <c r="D42" i="11"/>
  <c r="C42" i="11"/>
  <c r="B42" i="11"/>
  <c r="D41" i="11"/>
  <c r="C41" i="11"/>
  <c r="B41" i="11"/>
  <c r="D40" i="11"/>
  <c r="C40" i="11"/>
  <c r="B40" i="11"/>
  <c r="D39" i="11"/>
  <c r="C39" i="11"/>
  <c r="B39" i="11"/>
  <c r="D38" i="11"/>
  <c r="C38" i="11"/>
  <c r="B38" i="11"/>
  <c r="D37" i="11"/>
  <c r="C37" i="11"/>
  <c r="B37" i="11"/>
  <c r="D36" i="11"/>
  <c r="C36" i="11"/>
  <c r="B36" i="11"/>
  <c r="D35" i="11"/>
  <c r="C35" i="11"/>
  <c r="B35" i="11"/>
  <c r="D34" i="11"/>
  <c r="C34" i="11"/>
  <c r="B34" i="11"/>
  <c r="D33" i="11"/>
  <c r="C33" i="11"/>
  <c r="B33" i="11"/>
  <c r="D32" i="11"/>
  <c r="C32" i="11"/>
  <c r="B32" i="11"/>
  <c r="D31" i="11"/>
  <c r="C31" i="11"/>
  <c r="B31" i="11"/>
  <c r="D30" i="11"/>
  <c r="C30" i="11"/>
  <c r="B30" i="11"/>
  <c r="D29" i="11"/>
  <c r="C29" i="11"/>
  <c r="B29" i="11"/>
  <c r="D28" i="11"/>
  <c r="C28" i="11"/>
  <c r="B28" i="11"/>
  <c r="D27" i="11"/>
  <c r="C27" i="11"/>
  <c r="B27" i="11"/>
  <c r="D26" i="11"/>
  <c r="C26" i="11"/>
  <c r="B26" i="11"/>
  <c r="D25" i="11"/>
  <c r="C25" i="11"/>
  <c r="B25" i="11"/>
  <c r="D24" i="11"/>
  <c r="C24" i="11"/>
  <c r="B24" i="11"/>
  <c r="D23" i="11"/>
  <c r="C23" i="11"/>
  <c r="B23" i="11"/>
  <c r="D22" i="11"/>
  <c r="C22" i="11"/>
  <c r="B22" i="11"/>
  <c r="D21" i="11"/>
  <c r="C21" i="11"/>
  <c r="B21" i="11"/>
  <c r="D20" i="11"/>
  <c r="C20" i="11"/>
  <c r="B20" i="11"/>
  <c r="D19" i="11"/>
  <c r="C19" i="11"/>
  <c r="B19" i="11"/>
  <c r="D18" i="11"/>
  <c r="C18" i="11"/>
  <c r="B18" i="11"/>
  <c r="D17" i="11"/>
  <c r="C17" i="11"/>
  <c r="B17" i="11"/>
  <c r="D16" i="11"/>
  <c r="C16" i="11"/>
  <c r="B16" i="11"/>
  <c r="D15" i="11"/>
  <c r="C15" i="11"/>
  <c r="B15" i="11"/>
  <c r="D14" i="11"/>
  <c r="C14" i="11"/>
  <c r="B14" i="11"/>
  <c r="D13" i="11"/>
  <c r="C13" i="11"/>
  <c r="B13" i="11"/>
  <c r="D12" i="11"/>
  <c r="C12" i="11"/>
  <c r="B12" i="11"/>
  <c r="D11" i="11"/>
  <c r="C11" i="11"/>
  <c r="B11" i="11"/>
  <c r="D10" i="11"/>
  <c r="C10" i="11"/>
  <c r="B10" i="11"/>
  <c r="D9" i="11"/>
  <c r="C9" i="11"/>
  <c r="B9" i="11"/>
  <c r="D8" i="11"/>
  <c r="C8" i="11"/>
  <c r="B8" i="11"/>
  <c r="D7" i="11"/>
  <c r="C7" i="11"/>
  <c r="B7" i="11"/>
  <c r="D6" i="11"/>
  <c r="C6" i="11"/>
  <c r="B6" i="11"/>
  <c r="D5" i="11"/>
  <c r="C5" i="11"/>
  <c r="B5" i="11"/>
  <c r="D4" i="11"/>
  <c r="C4" i="11"/>
  <c r="B4" i="11"/>
  <c r="AW111" i="37" l="1"/>
  <c r="AW59" i="37"/>
  <c r="AW24" i="37"/>
  <c r="AW79" i="37"/>
  <c r="AW70" i="37"/>
  <c r="AW78" i="37"/>
  <c r="AW71" i="37"/>
  <c r="AW91" i="37"/>
  <c r="AW85" i="37"/>
  <c r="AW50" i="37"/>
  <c r="AW108" i="37"/>
  <c r="AW60" i="37"/>
  <c r="AW45" i="37"/>
  <c r="AW73" i="37"/>
  <c r="AW65" i="37"/>
  <c r="AW37" i="37"/>
  <c r="AW42" i="37"/>
  <c r="AW83" i="37"/>
  <c r="AW89" i="37"/>
  <c r="AW82" i="37"/>
  <c r="AW20" i="37"/>
  <c r="AW87" i="37"/>
  <c r="AW97" i="37"/>
  <c r="AW104" i="37"/>
  <c r="AW35" i="37"/>
  <c r="AW110" i="37"/>
  <c r="AW13" i="37"/>
  <c r="AW56" i="37"/>
  <c r="AW43" i="37"/>
  <c r="AW109" i="37"/>
  <c r="AW88" i="37"/>
  <c r="AW105" i="37"/>
  <c r="AW9" i="37"/>
  <c r="AW94" i="37"/>
  <c r="AW86" i="37"/>
  <c r="AW96" i="37"/>
  <c r="AW16" i="37"/>
  <c r="AW10" i="37"/>
  <c r="AW26" i="37"/>
  <c r="AW48" i="37"/>
  <c r="AW52" i="37"/>
  <c r="AW47" i="37"/>
  <c r="AW55" i="37"/>
  <c r="AW12" i="37"/>
  <c r="AW22" i="37"/>
  <c r="AW92" i="37"/>
  <c r="AW102" i="37"/>
  <c r="AW41" i="37"/>
  <c r="AW29" i="37"/>
  <c r="AW72" i="37"/>
  <c r="AW68" i="37"/>
  <c r="AW38" i="37"/>
  <c r="AW106" i="37"/>
  <c r="AW28" i="37"/>
  <c r="AW101" i="37"/>
  <c r="AW11" i="37"/>
  <c r="AW34" i="37"/>
  <c r="AW58" i="37"/>
  <c r="AW39" i="37"/>
  <c r="AW57" i="37"/>
  <c r="AW32" i="37"/>
  <c r="AW40" i="37"/>
  <c r="AW77" i="37"/>
  <c r="AW95" i="37"/>
  <c r="AW90" i="37"/>
  <c r="AW44" i="37"/>
  <c r="AW23" i="37"/>
  <c r="AW36" i="37"/>
  <c r="AW21" i="37"/>
  <c r="AW84" i="37"/>
  <c r="AW103" i="37"/>
  <c r="AW46" i="37"/>
  <c r="AW14" i="37"/>
  <c r="AW61" i="37"/>
  <c r="AW80" i="37"/>
  <c r="AW31" i="37"/>
  <c r="AW25" i="37"/>
  <c r="AW64" i="37"/>
  <c r="AW107" i="37"/>
  <c r="AW33" i="37"/>
  <c r="AW75" i="37"/>
  <c r="AW67" i="37"/>
  <c r="AW62" i="37"/>
  <c r="AW81" i="37"/>
  <c r="AW51" i="37"/>
  <c r="AW74" i="37"/>
  <c r="AW19" i="37"/>
  <c r="AW63" i="37"/>
  <c r="AW30" i="37"/>
  <c r="AW15" i="37"/>
  <c r="AW98" i="37"/>
  <c r="AW100" i="37"/>
  <c r="AW27" i="37"/>
  <c r="AW113" i="37"/>
  <c r="AW66" i="37"/>
  <c r="AW69" i="37"/>
  <c r="AW54" i="37"/>
  <c r="AW99" i="37"/>
  <c r="AW112" i="37"/>
  <c r="AW49" i="37"/>
  <c r="AW53" i="37"/>
  <c r="AW76" i="37"/>
  <c r="AW18" i="37"/>
  <c r="AW17" i="37"/>
  <c r="I93" i="37" l="1"/>
  <c r="AV93" i="37" l="1"/>
  <c r="AT93" i="37"/>
  <c r="AU93" i="37"/>
  <c r="I5" i="37" l="1"/>
  <c r="I4" i="37"/>
  <c r="AW93" i="37"/>
  <c r="I3" i="37"/>
  <c r="I6" i="37" l="1"/>
  <c r="E6" i="37" s="1"/>
  <c r="AW4" i="37"/>
  <c r="AW5" i="37" l="1"/>
  <c r="AW3" i="37"/>
  <c r="AW6" i="37" s="1"/>
  <c r="J3" i="11"/>
  <c r="J3" i="12"/>
  <c r="K3" i="40"/>
  <c r="K3" i="56"/>
  <c r="K3" i="27"/>
  <c r="K3" i="59"/>
  <c r="K3" i="26"/>
  <c r="K3" i="39"/>
  <c r="K3" i="20"/>
  <c r="K3" i="50"/>
  <c r="K3" i="43"/>
  <c r="K3" i="25"/>
  <c r="K3" i="12"/>
  <c r="K3" i="11"/>
  <c r="K3" i="47"/>
  <c r="K3" i="23"/>
  <c r="K3" i="54"/>
  <c r="K3" i="42"/>
  <c r="K3" i="19"/>
  <c r="K3" i="22"/>
  <c r="K3" i="45"/>
  <c r="K3" i="18"/>
  <c r="K3" i="28"/>
  <c r="K3" i="46"/>
  <c r="K3" i="13"/>
  <c r="K3" i="60"/>
  <c r="K3" i="55"/>
  <c r="K3" i="16"/>
  <c r="K3" i="48"/>
  <c r="K3" i="17"/>
  <c r="K3" i="14"/>
  <c r="K3" i="29"/>
  <c r="K3" i="21"/>
  <c r="K3" i="51"/>
  <c r="K3" i="15"/>
  <c r="K3" i="41"/>
  <c r="K3" i="44"/>
  <c r="K3" i="24"/>
  <c r="K3" i="57"/>
  <c r="K3" i="49"/>
  <c r="K3" i="58"/>
  <c r="F3" i="17"/>
  <c r="F3" i="51"/>
  <c r="F3" i="46"/>
  <c r="F3" i="28"/>
  <c r="F3" i="12"/>
  <c r="F3" i="54"/>
  <c r="F3" i="58"/>
  <c r="F3" i="45"/>
  <c r="F3" i="39"/>
  <c r="F3" i="56"/>
  <c r="F3" i="43"/>
  <c r="F3" i="50"/>
  <c r="F3" i="47"/>
  <c r="F3" i="27"/>
  <c r="F3" i="48"/>
  <c r="F3" i="25"/>
  <c r="F3" i="49"/>
  <c r="F3" i="24"/>
  <c r="F3" i="16"/>
  <c r="F3" i="14"/>
  <c r="F3" i="20"/>
  <c r="F3" i="26"/>
  <c r="F3" i="42"/>
  <c r="F3" i="40"/>
  <c r="F3" i="22"/>
  <c r="F3" i="57"/>
  <c r="F3" i="60"/>
  <c r="F3" i="21"/>
  <c r="F3" i="55"/>
  <c r="F3" i="15"/>
  <c r="F3" i="59"/>
  <c r="F3" i="13"/>
  <c r="F3" i="18"/>
  <c r="F3" i="19"/>
  <c r="F3" i="41"/>
  <c r="F3" i="11"/>
  <c r="F3" i="29"/>
  <c r="F3" i="44"/>
  <c r="F3" i="23"/>
  <c r="E3" i="11"/>
  <c r="E3" i="40"/>
  <c r="E3" i="17"/>
  <c r="E3" i="50"/>
  <c r="E3" i="29"/>
  <c r="E3" i="46"/>
  <c r="E3" i="16"/>
  <c r="E3" i="22"/>
  <c r="E3" i="20"/>
  <c r="E3" i="26"/>
  <c r="E3" i="19"/>
  <c r="E3" i="27"/>
  <c r="E3" i="55"/>
  <c r="E3" i="47"/>
  <c r="E3" i="39"/>
  <c r="E3" i="28"/>
  <c r="E3" i="18"/>
  <c r="E3" i="14"/>
  <c r="E3" i="60"/>
  <c r="E3" i="49"/>
  <c r="E3" i="48"/>
  <c r="E3" i="25"/>
  <c r="E3" i="59"/>
  <c r="E3" i="24"/>
  <c r="E3" i="41"/>
  <c r="E3" i="13"/>
  <c r="E3" i="44"/>
  <c r="E3" i="45"/>
  <c r="E3" i="58"/>
  <c r="E3" i="23"/>
  <c r="E3" i="42"/>
  <c r="E3" i="57"/>
  <c r="E3" i="21"/>
  <c r="E3" i="51"/>
  <c r="E3" i="56"/>
  <c r="E3" i="12"/>
  <c r="E3" i="43"/>
  <c r="E3" i="15"/>
  <c r="E3" i="54"/>
  <c r="G3" i="20"/>
  <c r="G3" i="13"/>
  <c r="G3" i="57"/>
  <c r="G3" i="26"/>
  <c r="G3" i="59"/>
  <c r="G3" i="60"/>
  <c r="G3" i="40"/>
  <c r="G3" i="49"/>
  <c r="G3" i="18"/>
  <c r="G3" i="14"/>
  <c r="G3" i="24"/>
  <c r="G3" i="11"/>
  <c r="G3" i="41"/>
  <c r="G3" i="54"/>
  <c r="G3" i="55"/>
  <c r="G3" i="29"/>
  <c r="G3" i="22"/>
  <c r="G3" i="28"/>
  <c r="G3" i="58"/>
  <c r="G3" i="12"/>
  <c r="G3" i="48"/>
  <c r="G3" i="17"/>
  <c r="G3" i="46"/>
  <c r="G3" i="56"/>
  <c r="G3" i="15"/>
  <c r="G3" i="43"/>
  <c r="G3" i="42"/>
  <c r="G3" i="44"/>
  <c r="G3" i="51"/>
  <c r="G3" i="47"/>
  <c r="G3" i="27"/>
  <c r="G3" i="45"/>
  <c r="G3" i="19"/>
  <c r="G3" i="25"/>
  <c r="G3" i="23"/>
  <c r="G3" i="50"/>
  <c r="G3" i="39"/>
  <c r="G3" i="16"/>
  <c r="G3" i="21"/>
  <c r="C14" i="4" l="1"/>
  <c r="H1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<sst xmlns="http://schemas.openxmlformats.org/spreadsheetml/2006/main" count="1592" uniqueCount="480">
  <si>
    <t>Capgemini ♠</t>
  </si>
  <si>
    <t>Informations</t>
  </si>
  <si>
    <t>Échantillon évalué</t>
  </si>
  <si>
    <t>P01</t>
  </si>
  <si>
    <t>P02</t>
  </si>
  <si>
    <t>P03</t>
  </si>
  <si>
    <t>P04</t>
  </si>
  <si>
    <t>P05</t>
  </si>
  <si>
    <t>P06</t>
  </si>
  <si>
    <t>P07</t>
  </si>
  <si>
    <t>P08</t>
  </si>
  <si>
    <t>P09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</si>
  <si>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</si>
  <si>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</si>
  <si>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</si>
  <si>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</si>
  <si>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</si>
  <si>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</si>
  <si>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</si>
  <si>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</si>
  <si>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</si>
  <si>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</si>
  <si>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</si>
  <si>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</si>
  <si>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</si>
  <si>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</si>
  <si>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</si>
  <si>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</si>
  <si>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</si>
  <si>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</si>
  <si>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</si>
  <si>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</si>
  <si>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</si>
  <si>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</si>
  <si>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</si>
  <si>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</si>
  <si>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</si>
  <si>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</si>
  <si>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</si>
  <si>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</si>
  <si>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</si>
  <si>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</si>
  <si>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</si>
  <si>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 Synthèse des résultats</t>
  </si>
  <si>
    <t>Évaluation de taux conformité globale au RGAA</t>
  </si>
  <si>
    <t>C</t>
  </si>
  <si>
    <t>NC</t>
  </si>
  <si>
    <t>NA</t>
  </si>
  <si>
    <t>D</t>
  </si>
  <si>
    <t>| Liste des critères RGAA 4.1.2</t>
  </si>
  <si>
    <t>Thématique</t>
  </si>
  <si>
    <t>n°critères</t>
  </si>
  <si>
    <t>Intitulé des critères</t>
  </si>
  <si>
    <t xml:space="preserve">Déficiences concernées </t>
  </si>
  <si>
    <t>Planification des correctifs</t>
  </si>
  <si>
    <t>Impacts utilisateurs</t>
  </si>
  <si>
    <t>Méthodologie de test du RGAA</t>
  </si>
  <si>
    <t>IMAGES</t>
  </si>
  <si>
    <t>1.1</t>
  </si>
  <si>
    <t>A</t>
  </si>
  <si>
    <t>Chaque image porteuse d’information a-t-elle une alternative textuelle ?</t>
  </si>
  <si>
    <t>Aveugles
Déficients visuels</t>
  </si>
  <si>
    <t>Principale</t>
  </si>
  <si>
    <t>Majeur</t>
  </si>
  <si>
    <t>Tests et références du critère 1.1</t>
  </si>
  <si>
    <t>1.2</t>
  </si>
  <si>
    <t>Chaque image de décoration est-elle correctement ignorée par les technologies d’assistance ?</t>
  </si>
  <si>
    <t>Faible à important</t>
  </si>
  <si>
    <t>Faible à fort</t>
  </si>
  <si>
    <t>Tests et références du critère 1.2</t>
  </si>
  <si>
    <t>1.3</t>
  </si>
  <si>
    <t>Pour chaque image porteuse d'information ayant une alternative textuelle, cette alternative est-elle pertinente (hors cas particuliers) ?</t>
  </si>
  <si>
    <t>Tests et références du critère 1.3</t>
  </si>
  <si>
    <t>1.4</t>
  </si>
  <si>
    <t>Pour chaque image utilisée comme CAPTCHA ou comme image-test, ayant une alternative textuelle, cette alternative permet-elle d’identifier la nature et la fonction de l’image ?</t>
  </si>
  <si>
    <t>Aveugles, 
Déficients visuels, 
Dyslexiques</t>
  </si>
  <si>
    <t>Tests et références du critère 1.4</t>
  </si>
  <si>
    <t>1.5</t>
  </si>
  <si>
    <t>Pour chaque image utilisée comme CAPTCHA, une solution d’accès alternatif au contenu ou à la fonction du CAPTCHA est-elle présente ?</t>
  </si>
  <si>
    <t>Tests et références du critère 1.5</t>
  </si>
  <si>
    <t>1.6</t>
  </si>
  <si>
    <t>Chaque image porteuse d’information a-t-elle, si nécessaire, une description détaillée ?</t>
  </si>
  <si>
    <t>Tests et références du critère 1.6</t>
  </si>
  <si>
    <t>1.7</t>
  </si>
  <si>
    <t>Pour chaque image porteuse d’information ayant une description détaillée, cette description est-elle pertinente ?</t>
  </si>
  <si>
    <t>Tests et références du critère 1.7</t>
  </si>
  <si>
    <t>1.8</t>
  </si>
  <si>
    <t>AA</t>
  </si>
  <si>
    <t>Chaque image texte porteuse d’information, en l’absence d’un mécanisme de remplacement, doit si possible être remplacée par du texte stylé. Cette règle est-elle respectée (hors cas particuliers) ?</t>
  </si>
  <si>
    <t>Moyen à important</t>
  </si>
  <si>
    <t>Modéré à fort</t>
  </si>
  <si>
    <t>Tests et références du critère 1.8</t>
  </si>
  <si>
    <t>1.9</t>
  </si>
  <si>
    <t>Chaque légende d’image est-elle, si nécessaire, correctement reliée à l’image correspondante ?</t>
  </si>
  <si>
    <t>Aveugles</t>
  </si>
  <si>
    <t>Important à principale</t>
  </si>
  <si>
    <t>Fort à majeur</t>
  </si>
  <si>
    <t>Tests et références du critère 1.9</t>
  </si>
  <si>
    <t>CADRE</t>
  </si>
  <si>
    <t>2.1</t>
  </si>
  <si>
    <t>Chaque cadre a-t-il un titre de cadre ?</t>
  </si>
  <si>
    <t>Tests et références du critère 2.1</t>
  </si>
  <si>
    <t>2.2</t>
  </si>
  <si>
    <t>Pour chaque cadre ayant un titre de cadre, ce titre de cadre est-il pertinent ?</t>
  </si>
  <si>
    <t>Tests et références du critère 2.2</t>
  </si>
  <si>
    <t>COULEURS</t>
  </si>
  <si>
    <t>3.1</t>
  </si>
  <si>
    <t>Dans chaque page web, l’information ne doit pas être donnée uniquement par la couleur. Cette règle est-elle respectée ?</t>
  </si>
  <si>
    <t>Tests et références du critère 3.1</t>
  </si>
  <si>
    <t>3.2</t>
  </si>
  <si>
    <t>Dans chaque page web, le contraste entre la couleur du texte et la couleur de son arrière-plan est-il suffisamment élevé (hors cas particuliers) ?</t>
  </si>
  <si>
    <t xml:space="preserve">Déficients visuels </t>
  </si>
  <si>
    <t>Tests et références du critère 3.2</t>
  </si>
  <si>
    <t>3.3</t>
  </si>
  <si>
    <t>Dans chaque page web, les couleurs utilisées dans les composants d’interface ou les éléments graphiques porteurs d’informations sont-elles suffisamment contrastées (hors cas particuliers) ?</t>
  </si>
  <si>
    <t>Tests et références du critère 3.3</t>
  </si>
  <si>
    <t>MULTIMÉDIA</t>
  </si>
  <si>
    <t>4.1</t>
  </si>
  <si>
    <t>Chaque média temporel préenregistré a-t-il, si nécessaire, une transcription textuelle ou une audiodescription (hors cas particuliers) ?</t>
  </si>
  <si>
    <t>Tous les utilisateurs</t>
  </si>
  <si>
    <t>Tests et références du critère 4.1</t>
  </si>
  <si>
    <t>4.2</t>
  </si>
  <si>
    <t>Pour chaque média temporel préenregistré ayant une transcription textuelle ou une audiodescription synchronisée, celles-ci sont-elles pertinentes (hors cas particuliers) ?</t>
  </si>
  <si>
    <t>Tests et références du critère 4.2</t>
  </si>
  <si>
    <t>4.3</t>
  </si>
  <si>
    <t>Chaque média temporel synchronisé préenregistré a-t-il, si nécessaire, des sous-titres synchronisés (hors cas particuliers) ?</t>
  </si>
  <si>
    <t>Sourds et malentendants</t>
  </si>
  <si>
    <t>Tests et références du critère 4.3</t>
  </si>
  <si>
    <t>4.4</t>
  </si>
  <si>
    <t>Pour chaque média temporel synchronisé préenregistré ayant des sous-titres synchronisés, ces sous-titres sont-ils pertinents ?</t>
  </si>
  <si>
    <t>Tests et références du critère 4.4</t>
  </si>
  <si>
    <t>4.5</t>
  </si>
  <si>
    <t>Chaque média temporel préenregistré a-t-il, si nécessaire, une audiodescription synchronisée (hors cas particuliers) ?</t>
  </si>
  <si>
    <t>Fort</t>
  </si>
  <si>
    <t>Tests et références du critère 4.5</t>
  </si>
  <si>
    <t>4.6</t>
  </si>
  <si>
    <t>Pour chaque média temporel préenregistré ayant une audiodescription synchronisée, celle-ci est-elle pertinente ?</t>
  </si>
  <si>
    <t>Tests et références du critère 4.6</t>
  </si>
  <si>
    <t>4.7</t>
  </si>
  <si>
    <t>Chaque média temporel est-il clairement identifiable (hors cas particuliers) ?</t>
  </si>
  <si>
    <t>Important</t>
  </si>
  <si>
    <t>Modéré</t>
  </si>
  <si>
    <t>Tests et références du critère 4.7</t>
  </si>
  <si>
    <t>4.8</t>
  </si>
  <si>
    <t>Chaque média non temporel a-t-il, si nécessaire, une alternative (hors cas particuliers) ?</t>
  </si>
  <si>
    <t>Aveugles
Déficients visuels
Malvoyants
Sourds et malentendants
Handicapés moteurs
Handicapés mentaux</t>
  </si>
  <si>
    <t>Tests et références du critère 4.8</t>
  </si>
  <si>
    <t>4.9</t>
  </si>
  <si>
    <t>Pour chaque média non temporel ayant une alternative, cette alternative est-elle pertinente ?</t>
  </si>
  <si>
    <t>Moyen</t>
  </si>
  <si>
    <t>Tests et références du critère 4.9</t>
  </si>
  <si>
    <t>4.10</t>
  </si>
  <si>
    <t>Chaque son déclenché automatiquement est-il contrôlable par l’utilisateur ?</t>
  </si>
  <si>
    <t>Tests et références du critère 4.10</t>
  </si>
  <si>
    <t>4.11</t>
  </si>
  <si>
    <t>La consultation de chaque média temporel est-elle, si nécessaire, contrôlable par le clavier et tout dispositif de pointage ?</t>
  </si>
  <si>
    <t>Tests et références du critère 4.11</t>
  </si>
  <si>
    <t>4.12</t>
  </si>
  <si>
    <t>La consultation de chaque média non temporel est-elle contrôlable par le clavier et tout dispositif de pointage ?</t>
  </si>
  <si>
    <t>Tests et références du critère 4.12</t>
  </si>
  <si>
    <t>4.13</t>
  </si>
  <si>
    <t>Chaque média temporel et non temporel est-il compatible avec les technologies d’assistance (hors cas particuliers) ?</t>
  </si>
  <si>
    <t>Tests et références du critère 4.13</t>
  </si>
  <si>
    <t>TABLEAUX</t>
  </si>
  <si>
    <t>5.1</t>
  </si>
  <si>
    <t>Chaque tableau de données complexe a-t-il un résumé ?</t>
  </si>
  <si>
    <t xml:space="preserve">Aveugles
Déficients visuels 
Handicapés intellectuels </t>
  </si>
  <si>
    <t xml:space="preserve">Tests et références du critère 5.1 </t>
  </si>
  <si>
    <t>5.2</t>
  </si>
  <si>
    <t>Pour chaque tableau de données complexe ayant un résumé, celui-ci est-il pertinent ?</t>
  </si>
  <si>
    <t>Tests et références du critère 5.2</t>
  </si>
  <si>
    <t>5.3</t>
  </si>
  <si>
    <t>Pour chaque tableau de mise en forme, le contenu linéarisé reste-t-il compréhensible ?</t>
  </si>
  <si>
    <t>Tests et références du critère 5.3</t>
  </si>
  <si>
    <t>5.4</t>
  </si>
  <si>
    <t>Pour chaque tableau de données ayant un titre, le titre est-il correctement associé au tableau de données ?</t>
  </si>
  <si>
    <t>Tests et références du critère 5.4</t>
  </si>
  <si>
    <t>5.5</t>
  </si>
  <si>
    <t>Pour chaque tableau de données ayant un titre, celui-ci est-il pertinent ?</t>
  </si>
  <si>
    <t>Tests et références du critère 5.5</t>
  </si>
  <si>
    <t>5.6</t>
  </si>
  <si>
    <t>Pour chaque tableau de données, chaque en-tête de colonnes et chaque en-tête de lignes sont-ils correctement déclarés ?</t>
  </si>
  <si>
    <t>Tests et références du critère 5.6</t>
  </si>
  <si>
    <t>5.7</t>
  </si>
  <si>
    <t>Pour chaque tableau de données, la technique appropriée permettant d’associer chaque cellule avec ses en-têtes est-elle utilisée (hors cas particuliers) ?</t>
  </si>
  <si>
    <t>Tests et références du critère 5.7</t>
  </si>
  <si>
    <t>5.8</t>
  </si>
  <si>
    <t>Chaque tableau de mise en forme ne doit pas utiliser d’éléments propres aux tableaux de données. Cette règle est-elle respectée ?</t>
  </si>
  <si>
    <t>Tests et références du critère 5.8</t>
  </si>
  <si>
    <t>LIENS</t>
  </si>
  <si>
    <t>6.1</t>
  </si>
  <si>
    <t>Chaque lien est-il explicite (hors cas particuliers) ?</t>
  </si>
  <si>
    <t xml:space="preserve">Aveugles
Déficients visuels
Handicapés intellectuels </t>
  </si>
  <si>
    <t>Tests et références du critère 6.1</t>
  </si>
  <si>
    <t>6.2</t>
  </si>
  <si>
    <t>Dans chaque page web, chaque lien a-t-il un intitulé ?</t>
  </si>
  <si>
    <t>Tests et références du critère 6.2</t>
  </si>
  <si>
    <t>SCRIPTS</t>
  </si>
  <si>
    <t>7.1</t>
  </si>
  <si>
    <t>Chaque script est-il, si nécessaire, compatible avec les technologies d’assistance ?</t>
  </si>
  <si>
    <t xml:space="preserve">Aveugles
Déficients visuels
Handicapés moteurs . </t>
  </si>
  <si>
    <t>Tests et références du critère 7.1</t>
  </si>
  <si>
    <t>7.2</t>
  </si>
  <si>
    <t>Pour chaque script ayant une alternative, cette alternative est-elle pertinente ?</t>
  </si>
  <si>
    <t>Tests et références du critère 7.2</t>
  </si>
  <si>
    <t>7.3</t>
  </si>
  <si>
    <t>Chaque script est-il contrôlable par le clavier et par tout dispositif de pointage (hors cas particuliers) ?</t>
  </si>
  <si>
    <t>Tests et références du critère 7.3</t>
  </si>
  <si>
    <t>7.4</t>
  </si>
  <si>
    <t>Pour chaque script qui initie un changement de contexte, l’utilisateur est-il averti ou en a-t-il le contrôle ?</t>
  </si>
  <si>
    <t xml:space="preserve">Aveugles
Déficients visuels  
Handicapés moteurs 
Handicapés intellectuels
Handicapés cognitifs </t>
  </si>
  <si>
    <t>Tests et références du critère 7.4</t>
  </si>
  <si>
    <t>7.5</t>
  </si>
  <si>
    <t>Dans chaque page web, les messages de statut sont-ils correctement restitués par les technologies d’assistance ?</t>
  </si>
  <si>
    <t>Tests et références du critère 7.5</t>
  </si>
  <si>
    <t>8.1</t>
  </si>
  <si>
    <t>Chaque page web est-elle définie par un type de document ?</t>
  </si>
  <si>
    <t>Normal</t>
  </si>
  <si>
    <t>Faible à modéré</t>
  </si>
  <si>
    <t>Tests et références du critère 8.1</t>
  </si>
  <si>
    <t>8.2</t>
  </si>
  <si>
    <t>Pour chaque page web, le code source généré est-il valide selon le type de document spécifié (hors cas particuliers) ?</t>
  </si>
  <si>
    <t>Tests et références du critère 8.2</t>
  </si>
  <si>
    <t>8.3</t>
  </si>
  <si>
    <t>Dans chaque page web, la langue par défaut est-elle présente ?</t>
  </si>
  <si>
    <t>Tests et références du critère 8.3</t>
  </si>
  <si>
    <t>8.4</t>
  </si>
  <si>
    <t>Pour chaque page web ayant une langue par défaut, le code de langue est-il pertinent ?</t>
  </si>
  <si>
    <t>Tests et références du critère 8.4</t>
  </si>
  <si>
    <t>8.5</t>
  </si>
  <si>
    <t>Chaque page web a-t-elle un titre de page ?</t>
  </si>
  <si>
    <t xml:space="preserve">Aveugles 
Handicapés moteurs </t>
  </si>
  <si>
    <t>Tests et références du critère 8.5</t>
  </si>
  <si>
    <t>8.6</t>
  </si>
  <si>
    <t>Pour chaque page web ayant un titre de page, ce titre est-il pertinent ?</t>
  </si>
  <si>
    <t>Tests et références du critère 8.6</t>
  </si>
  <si>
    <t>8.7</t>
  </si>
  <si>
    <t>Dans chaque page web, chaque changement de langue est-il indiqué dans le code source (hors cas particuliers) ?</t>
  </si>
  <si>
    <t>Tests et références du critère 8.7</t>
  </si>
  <si>
    <t>8.8</t>
  </si>
  <si>
    <t>Dans chaque page web, le code de langue de chaque changement de langue est-il valide et pertinent ?</t>
  </si>
  <si>
    <t>Tests et références du critère 8.8</t>
  </si>
  <si>
    <t>8.9</t>
  </si>
  <si>
    <t>Dans chaque page web, les balises ne doivent pas être utilisées uniquement à des fins de présentation. Cette règle est-elle respectée ?</t>
  </si>
  <si>
    <t>Faible à majeur</t>
  </si>
  <si>
    <t>Tests et références du critère 8.9</t>
  </si>
  <si>
    <t>8.10</t>
  </si>
  <si>
    <t>Dans chaque page web, les changements du sens de lecture sont-ils signalés ?</t>
  </si>
  <si>
    <t>Tests et références du critère 8.10</t>
  </si>
  <si>
    <t>STRUCTURATION</t>
  </si>
  <si>
    <t>9.1</t>
  </si>
  <si>
    <t>Dans chaque page web, l’information est-elle structurée par l’utilisation appropriée de titres ?</t>
  </si>
  <si>
    <t>Tests et références du critère 9.1</t>
  </si>
  <si>
    <t>9.2</t>
  </si>
  <si>
    <t>Dans chaque page web, la structure du document est-elle cohérente (hors cas particuliers) ?</t>
  </si>
  <si>
    <t>Tests et références du critère 9.2</t>
  </si>
  <si>
    <t>9.3</t>
  </si>
  <si>
    <t>Dans chaque page web, chaque liste est-elle correctement structurée ?</t>
  </si>
  <si>
    <t>Tests et références du critère 9.3</t>
  </si>
  <si>
    <t>9.4</t>
  </si>
  <si>
    <t>Dans chaque page web, chaque citation est-elle correctement indiquée ?</t>
  </si>
  <si>
    <t>Tests et références du critère 9.4</t>
  </si>
  <si>
    <t>10.1</t>
  </si>
  <si>
    <t>Dans le site web, des feuilles de styles sont-elles utilisées pour contrôler la présentation de l’information ?</t>
  </si>
  <si>
    <t>Déficients visuels Déficient cognitifs</t>
  </si>
  <si>
    <t>Tests et références du critère 10.1</t>
  </si>
  <si>
    <t>10.2</t>
  </si>
  <si>
    <t>Dans chaque page web, le contenu visible porteur d’information reste-t-il présent lorsque les feuilles de styles sont désactivées ?</t>
  </si>
  <si>
    <t>Tests et références du critère 10.2</t>
  </si>
  <si>
    <t>10.3</t>
  </si>
  <si>
    <t>Dans chaque page web, l’information reste-t-elle compréhensible lorsque les feuilles de styles sont désactivées ?</t>
  </si>
  <si>
    <t>Tests et références du critère 10.3</t>
  </si>
  <si>
    <t>10.4</t>
  </si>
  <si>
    <t>Dans chaque page web, le texte reste-t-il lisible lorsque la taille des caractères est augmentée jusqu’à 200%, au moins (hors cas particuliers) ?</t>
  </si>
  <si>
    <t>Tests et références du critère 10.4</t>
  </si>
  <si>
    <t>10.5</t>
  </si>
  <si>
    <t>Dans chaque page web, les déclarations CSS de couleurs de fond d’élément et de police sont-elles correctement utilisées ?</t>
  </si>
  <si>
    <t>Tests et références du critère 10.5</t>
  </si>
  <si>
    <t>10.6</t>
  </si>
  <si>
    <t>Dans chaque page web, chaque lien dont la nature n’est pas évidente est-il visible par rapport au texte environnant ?</t>
  </si>
  <si>
    <t>Tests et références du critère 10.6</t>
  </si>
  <si>
    <t>10.7</t>
  </si>
  <si>
    <t>Dans chaque page web, pour chaque élément recevant le focus, la prise de focus est-elle visible ?</t>
  </si>
  <si>
    <t xml:space="preserve">Handicapés moteurs  </t>
  </si>
  <si>
    <t>Tests et références du critère 10.7</t>
  </si>
  <si>
    <t>10.8</t>
  </si>
  <si>
    <t>Pour chaque page web, les contenus cachés ont-ils vocation à être ignorés par les technologies d’assistance ?</t>
  </si>
  <si>
    <t>Tests et références du critère 10.8</t>
  </si>
  <si>
    <t>10.9</t>
  </si>
  <si>
    <t>Dans chaque page web, l’information ne doit pas être donnée uniquement par la forme, taille ou position. Cette règle est-elle respectée ?</t>
  </si>
  <si>
    <t>Tests et références du critère 10.9</t>
  </si>
  <si>
    <t>10.10</t>
  </si>
  <si>
    <t>Dans chaque page web, l’information ne doit pas être donnée par la forme, taille ou position uniquement. Cette règle est-elle implémentée de façon pertinente ?</t>
  </si>
  <si>
    <t>Tests et références du critère 10.10</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</si>
  <si>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</si>
  <si>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</si>
  <si>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 xml:space="preserve">Déficients visuels  
Handicapés moteurs . </t>
  </si>
  <si>
    <t>Tests et références du critère 10.11</t>
  </si>
  <si>
    <t>10.12</t>
  </si>
  <si>
    <t>Dans chaque page web, les propriétés d’espacement du texte peuvent-elles être redéfinies par l’utilisateur sans perte de contenu ou de fonctionnalité (hors cas particuliers) ?</t>
  </si>
  <si>
    <t xml:space="preserve">Dyslexiques. </t>
  </si>
  <si>
    <t>Tests et références du critère 10.12</t>
  </si>
  <si>
    <t>10.13</t>
  </si>
  <si>
    <t>Dans chaque page web, les contenus additionnels apparaissant à la prise de focus ou au survol d’un composant d’interface sont-ils contrôlables par l’utilisateur (hors cas particuliers) ?</t>
  </si>
  <si>
    <t xml:space="preserve">Aveugles 
Déficients visuels  
Handicapés moteurs . </t>
  </si>
  <si>
    <t>Tests et références du critère 10.13</t>
  </si>
  <si>
    <t>10.14</t>
  </si>
  <si>
    <t>Dans chaque page web, les contenus additionnels apparaissant via les styles CSS uniquement peuvent-ils être rendus visibles au clavier et par tout dispositif de pointage ?</t>
  </si>
  <si>
    <t>Tests et références du critère 10.14</t>
  </si>
  <si>
    <t>FORMULAIRES</t>
  </si>
  <si>
    <t>11.1</t>
  </si>
  <si>
    <t>Chaque champ de formulaire a-t-il une étiquette ?</t>
  </si>
  <si>
    <t>Tests et références du critère 11.1</t>
  </si>
  <si>
    <t>11.2</t>
  </si>
  <si>
    <t>Chaque étiquette associée à un champ de formulaire est-elle pertinente (hors cas particuliers) ?</t>
  </si>
  <si>
    <t>Tests et références du critère 11.2</t>
  </si>
  <si>
    <t>11.3</t>
  </si>
  <si>
    <t>Dans chaque formulaire, chaque étiquette associée à un champ de formulaire ayant la même fonction et répétée plusieurs fois dans une même page ou dans un ensemble de pages est-elle cohérente ?</t>
  </si>
  <si>
    <t>Tests et références du critère 11.3</t>
  </si>
  <si>
    <t>11.4</t>
  </si>
  <si>
    <t>Dans chaque formulaire, chaque étiquette de champ et son champ associé sont-ils accolés (hors cas particuliers) ?</t>
  </si>
  <si>
    <t>Tests et références du critère 11.4</t>
  </si>
  <si>
    <t>11.5</t>
  </si>
  <si>
    <t>Dans chaque formulaire, les champs de même nature sont-ils regroupés, si nécessaire ?</t>
  </si>
  <si>
    <t>Tests et références du critère 11.5</t>
  </si>
  <si>
    <t>11.6</t>
  </si>
  <si>
    <t>Dans chaque formulaire, chaque regroupement de champs de même nature a-t-il une légende ?</t>
  </si>
  <si>
    <t>Tests et références du critère 11.6</t>
  </si>
  <si>
    <t>11.7</t>
  </si>
  <si>
    <t>Dans chaque formulaire, chaque légende associée à un regroupement de champs de même nature est-elle pertinente ?</t>
  </si>
  <si>
    <t>Tests et références du critère 11.7</t>
  </si>
  <si>
    <t>11.8</t>
  </si>
  <si>
    <t>Dans chaque formulaire, les items de même nature d’une liste de choix sont-ils regroupés de manière pertinente ?</t>
  </si>
  <si>
    <t>Tests et références du critère 11.8</t>
  </si>
  <si>
    <t>11.9</t>
  </si>
  <si>
    <t>Dans chaque formulaire, l’intitulé de chaque bouton est-il pertinent (hors cas particuliers) ?</t>
  </si>
  <si>
    <t xml:space="preserve">Aveugles 
Déficients visuels   
Handicapés intellectuels. </t>
  </si>
  <si>
    <t>Tests et références du critère 11.9</t>
  </si>
  <si>
    <t>11.10</t>
  </si>
  <si>
    <t>Dans chaque formulaire, le contrôle de saisie est-il utilisé de manière pertinente (hors cas particuliers) ?</t>
  </si>
  <si>
    <t>Aveugles
Handicapés intellectuels</t>
  </si>
  <si>
    <t>Tests et références du critère 11.10</t>
  </si>
  <si>
    <t>11.11</t>
  </si>
  <si>
    <t>Dans chaque formulaire, le contrôle de saisie est-il accompagné, si nécessaire, de suggestions facilitant la correction des erreurs de saisie ?</t>
  </si>
  <si>
    <t>Tests et références du critère 11.11</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</si>
  <si>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</si>
  <si>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</si>
  <si>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Tests et références du critère 11.12</t>
  </si>
  <si>
    <t>11.13</t>
  </si>
  <si>
    <t>La finalité d’un champ de saisie peut-elle être déduite pour faciliter le remplissage automatique des champs avec les données de l’utilisateur ?</t>
  </si>
  <si>
    <t>Handicapés intellectuels
Handicapés moteurs</t>
  </si>
  <si>
    <t>Tests et références du critère 11.13</t>
  </si>
  <si>
    <t>NAVIGATION</t>
  </si>
  <si>
    <t>12.1</t>
  </si>
  <si>
    <t>Chaque ensemble de pages dispose-t-il de deux systèmes de navigation différents, au moins (hors cas particuliers) ?</t>
  </si>
  <si>
    <t xml:space="preserve">Handicapés moteurs 
Handicapés intellectuels
Handicapés cognitifs </t>
  </si>
  <si>
    <t>Tests et références du critère 12.1</t>
  </si>
  <si>
    <t>12.2</t>
  </si>
  <si>
    <t>Dans chaque ensemble de pages, le menu et les barres de navigation sont-ils toujours à la même place (hors cas particuliers) ?</t>
  </si>
  <si>
    <t xml:space="preserve">Handicapés intellectuels 
Handicapés cognitifs </t>
  </si>
  <si>
    <t>Tests et références du critère 12.2</t>
  </si>
  <si>
    <t>12.3</t>
  </si>
  <si>
    <t>La page « plan du site » est-elle pertinente ?</t>
  </si>
  <si>
    <t>Tests et références du critère 12.3</t>
  </si>
  <si>
    <t>12.4</t>
  </si>
  <si>
    <t>Dans chaque ensemble de pages, la page « plan du site » est-elle atteignable de manière identique ?</t>
  </si>
  <si>
    <t xml:space="preserve">Déficients visuels 
Handicapés intellectuels
Handicapés cognitifs </t>
  </si>
  <si>
    <t>Tests et références du critère 12.4</t>
  </si>
  <si>
    <t>12.5</t>
  </si>
  <si>
    <t>Dans chaque ensemble de pages, le moteur de recherche est-il atteignable de manière identique ?</t>
  </si>
  <si>
    <t>Tests et références du critère 12.5</t>
  </si>
  <si>
    <t>12.6</t>
  </si>
  <si>
    <t>Les zones de regroupement de contenus présentes dans plusieurs pages web (zones d’en-tête, de navigation principale, de contenu principal, de pied de page et de moteur de recherche) peuvent-elles être atteintes ou évitées ?</t>
  </si>
  <si>
    <t>Aveugles 
Déficients visuels  
Handicapés moteurs</t>
  </si>
  <si>
    <t>Tests et références du critère 12.6</t>
  </si>
  <si>
    <t>12.7</t>
  </si>
  <si>
    <t>Dans chaque page web, un lien d’évitement ou d’accès rapide à la zone de contenu principal est-il présent (hors cas particuliers) ?</t>
  </si>
  <si>
    <t>Tests et références du critère 12.7</t>
  </si>
  <si>
    <t>12.8</t>
  </si>
  <si>
    <t>Dans chaque page web, l’ordre de tabulation est-il cohérent ?</t>
  </si>
  <si>
    <t>Aveugles 
Handicapés moteurs</t>
  </si>
  <si>
    <t>Tests et références du critère 12.8</t>
  </si>
  <si>
    <t>12.9</t>
  </si>
  <si>
    <t>Dans chaque page web, la navigation ne doit pas contenir de piège au clavier. Cette règle est-elle respectée ?</t>
  </si>
  <si>
    <t>Tests et références du critère 12.9</t>
  </si>
  <si>
    <t>12.10</t>
  </si>
  <si>
    <t>Dans chaque page web, les raccourcis clavier n’utilisant qu’une seule touche (lettre minuscule ou majuscule, ponctuation, chiffre ou symbole) sont-ils contrôlables par l’utilisateur ?</t>
  </si>
  <si>
    <t>Tests et références du critère 12.10</t>
  </si>
  <si>
    <t>12.11</t>
  </si>
  <si>
    <t>Dans chaque page web, les contenus additionnels apparaissant au survol, à la prise de focus ou à l’activation d’un composant d’interface sont-ils si nécessaire atteignables au clavier ?</t>
  </si>
  <si>
    <t>Tests et références du critère 12.11</t>
  </si>
  <si>
    <t>CONSULTATION</t>
  </si>
  <si>
    <t>13.1</t>
  </si>
  <si>
    <t>Pour chaque page web, l’utilisateur a-t-il le contrôle de chaque limite de temps modifiant le contenu (hors cas particuliers) ?</t>
  </si>
  <si>
    <t>Tests et références du critère 13.1</t>
  </si>
  <si>
    <t>13.2</t>
  </si>
  <si>
    <t>Dans chaque page web, l’ouverture d’une nouvelle fenêtre ne doit pas être déclenchée sans action de l’utilisateur. Cette règle est-elle respectée ?</t>
  </si>
  <si>
    <t>Tests et références du critère 13.2</t>
  </si>
  <si>
    <t>13.3</t>
  </si>
  <si>
    <t>Dans chaque page web, chaque document bureautique en téléchargement possède-t-il, si nécessaire, une version accessible (hors cas particuliers) ?</t>
  </si>
  <si>
    <t>Tests et références du critère 13.3</t>
  </si>
  <si>
    <t>13.4</t>
  </si>
  <si>
    <t>Pour chaque document bureautique ayant une version accessible, cette version offre-t-elle la même information ?</t>
  </si>
  <si>
    <t>Tests et références du critère 13.4</t>
  </si>
  <si>
    <t>13.5</t>
  </si>
  <si>
    <t>Dans chaque page web, chaque contenu cryptique (art ASCII, émoticon, syntaxe cryptique) a-t-il une alternative ?</t>
  </si>
  <si>
    <t>Tests et références du critère 13.5</t>
  </si>
  <si>
    <t>13.6</t>
  </si>
  <si>
    <t>Dans chaque page web, pour chaque contenu cryptique (art ASCII, émoticon, syntaxe cryptique) ayant une alternative, cette alternative est-elle pertinente ?</t>
  </si>
  <si>
    <t>Tests et références du critère 13.6</t>
  </si>
  <si>
    <t>13.7</t>
  </si>
  <si>
    <t>Dans chaque page web, les changements brusques de luminosité ou les effets de flash sont-ils correctement utilisés ?</t>
  </si>
  <si>
    <t xml:space="preserve">Épileptiques </t>
  </si>
  <si>
    <t>Tests et références du critère 13.7</t>
  </si>
  <si>
    <t>13.8</t>
  </si>
  <si>
    <t>Dans chaque page web, chaque contenu en mouvement ou clignotant est-il contrôlable par l’utilisateur ?</t>
  </si>
  <si>
    <t xml:space="preserve">Aveugles
Déficients visuels  
Autistes  
Handicapés intellectuels. </t>
  </si>
  <si>
    <t>Tests et références du critère 13.8</t>
  </si>
  <si>
    <t>13.9</t>
  </si>
  <si>
    <t>Dans chaque page web, le contenu proposé est-il consultable, quelle que soit l’orientation de l’écran (portrait ou paysage) (hors cas particuliers) ?</t>
  </si>
  <si>
    <t xml:space="preserve">Déficients visuels  
Handicapés moteurs </t>
  </si>
  <si>
    <t>Tests et références du critère 13.9</t>
  </si>
  <si>
    <t>13.10</t>
  </si>
  <si>
    <t>Dans chaque page web, les fonctionnalités utilisables ou disponibles au moyen d’un geste complexe peuvent-elles être également disponibles au moyen d’un geste simple (hors cas particuliers) ?</t>
  </si>
  <si>
    <t>Tests et références du critère 13.10</t>
  </si>
  <si>
    <t>13.11</t>
  </si>
  <si>
    <t>Dans chaque page web, les actions déclenchées au moyen d’un dispositif de pointage sur un point unique de l’écran peuvent-elles faire l’objet d’une annulation (hors cas particuliers) ?</t>
  </si>
  <si>
    <t>Tests et références du critère 13.11</t>
  </si>
  <si>
    <t>13.12</t>
  </si>
  <si>
    <t>Dans chaque page web, les fonctionnalités qui impliquent un mouvement de l’appareil ou vers l’appareil peuvent-elles être satisfaites de manière alternative (hors cas particuliers) ?</t>
  </si>
  <si>
    <t>Handicapés moteurs</t>
  </si>
  <si>
    <t>Tests et références du critère 13.12</t>
  </si>
  <si>
    <t>Global</t>
  </si>
  <si>
    <t>Résultats par page :</t>
  </si>
  <si>
    <t>Total C</t>
  </si>
  <si>
    <t>Total NC</t>
  </si>
  <si>
    <t>Total NA</t>
  </si>
  <si>
    <t>|  Grille évaluation RGAA 4.1.2</t>
  </si>
  <si>
    <t>Url :</t>
  </si>
  <si>
    <t>Taux conformité de la page :</t>
  </si>
  <si>
    <t>Statut</t>
  </si>
  <si>
    <t>Transverse</t>
  </si>
  <si>
    <t>Dérogation</t>
  </si>
  <si>
    <t>Commentaires</t>
  </si>
  <si>
    <t>Cause dérogation</t>
  </si>
  <si>
    <t>N° page</t>
  </si>
  <si>
    <t>Titre de la page</t>
  </si>
  <si>
    <t>URL</t>
  </si>
  <si>
    <t>Date</t>
  </si>
  <si>
    <t>Auditeur</t>
  </si>
  <si>
    <t>Page auditée :</t>
  </si>
  <si>
    <t>Grille RGAA 4.1.2</t>
  </si>
  <si>
    <t>Service numérique</t>
  </si>
  <si>
    <t>Client</t>
  </si>
  <si>
    <t>Défauts</t>
  </si>
  <si>
    <t>Éléments transverses</t>
  </si>
  <si>
    <t>Eléments Transverses</t>
  </si>
  <si>
    <t xml:space="preserve">  </t>
  </si>
  <si>
    <r>
      <rPr>
        <b/>
        <sz val="10"/>
        <color theme="1"/>
        <rFont val="Ubuntu"/>
        <family val="2"/>
      </rPr>
      <t>Pour rappel, les pages obligatoires dans un échantillon d'audit sont :</t>
    </r>
    <r>
      <rPr>
        <sz val="10"/>
        <color theme="1"/>
        <rFont val="Ubuntu"/>
        <family val="2"/>
      </rPr>
      <t xml:space="preserve">
- Page d'accueil
- Page contact
- Page mentions légale
- Page « accessibilité » (page comprenant la déclaration d’accessibilité)
- Page aide
- Page plan du site
- Page d’authentification</t>
    </r>
  </si>
  <si>
    <t>Niveau WCAG</t>
  </si>
  <si>
    <t>RGAA</t>
  </si>
  <si>
    <t>Etat de conformité</t>
  </si>
  <si>
    <t>Taux de conformité global</t>
  </si>
  <si>
    <t>Total critères</t>
  </si>
  <si>
    <t>Taux moyen de conformité du service</t>
  </si>
  <si>
    <t>Statut et nombre de pages où le critère est non conforme</t>
  </si>
  <si>
    <t>Référenciel</t>
  </si>
  <si>
    <r>
      <t xml:space="preserve">Le pourcentage de critères RGAA respectés s’obtient en divisant le nombre de critères conformes 
par le nombre de critères applicables (conformes + non conformes)
</t>
    </r>
    <r>
      <rPr>
        <b/>
        <sz val="11"/>
        <color theme="1"/>
        <rFont val="Ubuntu"/>
        <family val="2"/>
      </rPr>
      <t>Rappel sur les états de conformités du taux de conformité global au RGAA :</t>
    </r>
    <r>
      <rPr>
        <sz val="11"/>
        <color theme="1"/>
        <rFont val="Ubuntu"/>
        <family val="2"/>
      </rPr>
      <t xml:space="preserve">
- </t>
    </r>
    <r>
      <rPr>
        <b/>
        <sz val="11"/>
        <color theme="1"/>
        <rFont val="Ubuntu"/>
        <family val="2"/>
      </rPr>
      <t xml:space="preserve">Totalement conforme : </t>
    </r>
    <r>
      <rPr>
        <sz val="11"/>
        <color theme="1"/>
        <rFont val="Ubuntu"/>
        <family val="2"/>
      </rPr>
      <t xml:space="preserve">si 100 % des critères de contrôle sont respectés
- </t>
    </r>
    <r>
      <rPr>
        <b/>
        <sz val="11"/>
        <color theme="1"/>
        <rFont val="Ubuntu"/>
        <family val="2"/>
      </rPr>
      <t>Partiellement conforme :</t>
    </r>
    <r>
      <rPr>
        <sz val="11"/>
        <color theme="1"/>
        <rFont val="Ubuntu"/>
        <family val="2"/>
      </rPr>
      <t xml:space="preserve"> si au moins 50 % des critères de contrôle sont respectés
- </t>
    </r>
    <r>
      <rPr>
        <b/>
        <sz val="11"/>
        <color theme="1"/>
        <rFont val="Ubuntu"/>
        <family val="2"/>
      </rPr>
      <t xml:space="preserve">Non conforme : </t>
    </r>
    <r>
      <rPr>
        <sz val="11"/>
        <color theme="1"/>
        <rFont val="Ubuntu"/>
        <family val="2"/>
      </rPr>
      <t xml:space="preserve"> si moins de 50 % des critères de contrôle sont respectés </t>
    </r>
  </si>
  <si>
    <r>
      <t xml:space="preserve">Légende :
- </t>
    </r>
    <r>
      <rPr>
        <b/>
        <sz val="10"/>
        <color theme="9" tint="-0.499984740745262"/>
        <rFont val="Ubuntu"/>
        <family val="2"/>
      </rPr>
      <t>C : Conforme</t>
    </r>
    <r>
      <rPr>
        <sz val="10"/>
        <color theme="1"/>
        <rFont val="Ubuntu"/>
        <family val="2"/>
      </rPr>
      <t xml:space="preserve"> - Le critère est conforme pour l'ensemble des éléments de la page
- </t>
    </r>
    <r>
      <rPr>
        <b/>
        <sz val="10"/>
        <color rgb="FFC00000"/>
        <rFont val="Ubuntu"/>
        <family val="2"/>
      </rPr>
      <t xml:space="preserve">NC : Non conforme </t>
    </r>
    <r>
      <rPr>
        <sz val="10"/>
        <color theme="1"/>
        <rFont val="Ubuntu"/>
        <family val="2"/>
      </rPr>
      <t xml:space="preserve">- Le critère n'est pas conforme
- </t>
    </r>
    <r>
      <rPr>
        <b/>
        <sz val="10"/>
        <color theme="1"/>
        <rFont val="Ubuntu"/>
        <family val="2"/>
      </rPr>
      <t>NA : Non applicable</t>
    </r>
    <r>
      <rPr>
        <sz val="10"/>
        <color theme="1"/>
        <rFont val="Ubuntu"/>
        <family val="2"/>
      </rPr>
      <t xml:space="preserve"> - Ou bien aucun élément dans la page ne concerne le critère, ou bien le seul contenu qui concerne le critère est exempté, ou bien le seul contenu qui concerne le critère est soumis à dérogation et il propose une alternative numérique accessible
- </t>
    </r>
    <r>
      <rPr>
        <b/>
        <sz val="10"/>
        <color theme="7" tint="-0.249977111117893"/>
        <rFont val="Ubuntu"/>
        <family val="2"/>
      </rPr>
      <t>D : Dérogation</t>
    </r>
    <r>
      <rPr>
        <sz val="10"/>
        <color theme="1"/>
        <rFont val="Ubuntu"/>
        <family val="2"/>
      </rPr>
      <t xml:space="preserve"> - Critère dont la correction constituerait une charge disproportionnée
------------------------------------------------------------------------------------------------------------
- NT : Non testé - Le critère n'est pas testé. Ce statut sert à mesurer l'évolution de l'audit
Un critère est jugé non conforme dans l'évaluation globale à partir du moment où il existe une page de l'échantillon pour laquelle ce critère n'est pas conforme.
</t>
    </r>
  </si>
  <si>
    <t>RGAA : résultats pas pages</t>
  </si>
  <si>
    <t>Nombre de pages auditées :</t>
  </si>
  <si>
    <t>Taux par page</t>
  </si>
  <si>
    <t>| Visualisation de l'ensemble des critères &amp; dérogations</t>
  </si>
  <si>
    <t>Viewing all criteria</t>
  </si>
  <si>
    <t>Evaluation des critères</t>
  </si>
  <si>
    <t>Dérogations</t>
  </si>
  <si>
    <t>Résultats RGAA</t>
  </si>
  <si>
    <t>Taux de conformité par page</t>
  </si>
  <si>
    <t>Taux global RGAA</t>
  </si>
  <si>
    <t>Derog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</si>
</sst>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43" formatCode="_-* #,##0.00_-;\-* #,##0.00_-;_-* &quot;-&quot;??_-;_-@_-"/>
    <numFmt numFmtId="164" formatCode="_-* #,##0.0000_-;\-* #,##0.0000_-;_-* &quot;-&quot;??_-;_-@_-"/>
  </numFmts>
  <fonts count="46">
    <font>
      <sz val="11"/>
      <color theme="1"/>
      <name val="Calibri"/>
      <family val="2"/>
      <scheme val="minor"/>
    </font>
    <font>
      <sz val="8"/>
      <name val="Calibri"/>
      <family val="2"/>
      <scheme val="minor"/>
    </font>
    <font>
      <u/>
      <sz val="10"/>
      <color rgb="FF0000D4"/>
      <name val="Arial"/>
      <family val="2"/>
    </font>
    <font>
      <sz val="11"/>
      <color theme="1"/>
      <name val="Calibri"/>
      <family val="2"/>
      <scheme val="minor"/>
    </font>
    <font>
      <sz val="11"/>
      <color theme="1"/>
      <name val="Ubuntu"/>
      <family val="2"/>
    </font>
    <font>
      <b/>
      <sz val="11"/>
      <color theme="1"/>
      <name val="Ubuntu"/>
      <family val="2"/>
    </font>
    <font>
      <b/>
      <sz val="11"/>
      <color theme="0"/>
      <name val="Ubuntu"/>
      <family val="2"/>
    </font>
    <font>
      <b/>
      <sz val="11"/>
      <color theme="1" tint="0.249977111117893"/>
      <name val="Ubuntu"/>
      <family val="2"/>
    </font>
    <font>
      <b/>
      <sz val="10"/>
      <color theme="0"/>
      <name val="Ubuntu"/>
      <family val="2"/>
    </font>
    <font>
      <sz val="10"/>
      <color theme="1"/>
      <name val="Ubuntu"/>
      <family val="2"/>
    </font>
    <font>
      <u/>
      <sz val="11"/>
      <color theme="10"/>
      <name val="Calibri"/>
      <family val="2"/>
      <scheme val="minor"/>
    </font>
    <font>
      <b/>
      <sz val="11"/>
      <color rgb="FF272936"/>
      <name val="Ubuntu"/>
      <family val="2"/>
    </font>
    <font>
      <sz val="11"/>
      <color rgb="FF272936"/>
      <name val="Ubuntu"/>
      <family val="2"/>
    </font>
    <font>
      <sz val="11"/>
      <color indexed="63"/>
      <name val="Ubuntu"/>
      <family val="2"/>
    </font>
    <font>
      <b/>
      <sz val="10"/>
      <color theme="1"/>
      <name val="Ubuntu"/>
      <family val="2"/>
    </font>
    <font>
      <sz val="9"/>
      <color theme="1"/>
      <name val="Ubuntu"/>
      <family val="2"/>
    </font>
    <font>
      <b/>
      <sz val="10"/>
      <color rgb="FFC00000"/>
      <name val="Ubuntu"/>
      <family val="2"/>
    </font>
    <font>
      <b/>
      <sz val="10"/>
      <color rgb="FFFFFFFF"/>
      <name val="Liberation Sans1"/>
    </font>
    <font>
      <sz val="10"/>
      <color rgb="FF000000"/>
      <name val="Arial"/>
      <family val="2"/>
    </font>
    <font>
      <b/>
      <sz val="12"/>
      <color theme="0"/>
      <name val="Ubuntu"/>
      <family val="2"/>
    </font>
    <font>
      <sz val="11"/>
      <color theme="1"/>
      <name val="Verdana"/>
      <family val="2"/>
    </font>
    <font>
      <sz val="11"/>
      <color theme="2" tint="-0.89999084444715716"/>
      <name val="Ubuntu"/>
      <family val="2"/>
    </font>
    <font>
      <u/>
      <sz val="11"/>
      <color theme="10"/>
      <name val="Verdana"/>
      <family val="2"/>
    </font>
    <font>
      <b/>
      <sz val="14"/>
      <color theme="0"/>
      <name val="Ubuntu"/>
      <family val="2"/>
    </font>
    <font>
      <sz val="14"/>
      <color theme="1"/>
      <name val="Ubuntu"/>
      <family val="2"/>
    </font>
    <font>
      <sz val="11"/>
      <color theme="0"/>
      <name val="Ubuntu"/>
      <family val="2"/>
    </font>
    <font>
      <sz val="9"/>
      <color theme="0"/>
      <name val="Ubuntu"/>
      <family val="2"/>
    </font>
    <font>
      <b/>
      <sz val="12"/>
      <color rgb="FFFFFFFF"/>
      <name val="Ubuntu"/>
      <family val="2"/>
    </font>
    <font>
      <b/>
      <sz val="14"/>
      <color rgb="FFFFFFFF"/>
      <name val="Ubuntu"/>
      <family val="2"/>
    </font>
    <font>
      <sz val="12"/>
      <color theme="1"/>
      <name val="Ubuntu"/>
      <family val="2"/>
    </font>
    <font>
      <b/>
      <sz val="10"/>
      <color theme="9" tint="-0.499984740745262"/>
      <name val="Ubuntu"/>
      <family val="2"/>
    </font>
    <font>
      <b/>
      <sz val="10"/>
      <color theme="7" tint="-0.249977111117893"/>
      <name val="Ubuntu"/>
      <family val="2"/>
    </font>
    <font>
      <sz val="12"/>
      <color theme="0"/>
      <name val="Ubuntu"/>
      <family val="2"/>
    </font>
    <font>
      <u/>
      <sz val="11"/>
      <color theme="10"/>
      <name val="Ubuntu"/>
      <family val="2"/>
    </font>
    <font>
      <b/>
      <sz val="12"/>
      <color theme="9" tint="-0.249977111117893"/>
      <name val="Ubuntu"/>
      <family val="2"/>
    </font>
    <font>
      <b/>
      <sz val="12"/>
      <color rgb="FFC00000"/>
      <name val="Ubuntu"/>
      <family val="2"/>
    </font>
    <font>
      <b/>
      <sz val="12"/>
      <color theme="1"/>
      <name val="Ubuntu"/>
      <family val="2"/>
    </font>
    <font>
      <sz val="11"/>
      <color rgb="FF000000"/>
      <name val="Ubuntu"/>
      <family val="2"/>
    </font>
    <font>
      <sz val="12"/>
      <color rgb="FFFFFFFF"/>
      <name val="Ubuntu"/>
      <family val="2"/>
    </font>
    <font>
      <b/>
      <sz val="11"/>
      <name val="Ubuntu"/>
      <family val="2"/>
    </font>
    <font>
      <sz val="11"/>
      <color theme="1" tint="4.9989318521683403E-2"/>
      <name val="Ubuntu"/>
      <family val="2"/>
    </font>
    <font>
      <sz val="10"/>
      <color theme="0"/>
      <name val="Ubuntu"/>
      <family val="2"/>
    </font>
    <font>
      <b/>
      <sz val="10"/>
      <name val="Ubuntu"/>
      <family val="2"/>
    </font>
    <font>
      <sz val="12"/>
      <name val="Ubuntu"/>
      <family val="2"/>
    </font>
    <font>
      <sz val="10"/>
      <name val="Ubuntu"/>
      <family val="2"/>
    </font>
    <font>
      <sz val="11"/>
      <name val="Ubuntu"/>
      <family val="2"/>
    </font>
  </fonts>
  <fills count="16">
    <fill>
      <patternFill patternType="none"/>
    </fill>
    <fill>
      <patternFill patternType="gray125"/>
    </fill>
    <fill>
      <patternFill patternType="solid">
        <fgColor rgb="FFFFC000"/>
        <bgColor indexed="64"/>
      </patternFill>
    </fill>
    <fill>
      <patternFill patternType="solid">
        <fgColor rgb="FF272936"/>
        <bgColor indexed="64"/>
      </patternFill>
    </fill>
    <fill>
      <patternFill patternType="solid">
        <fgColor rgb="FFECECEC"/>
        <bgColor indexed="64"/>
      </patternFill>
    </fill>
    <fill>
      <patternFill patternType="solid">
        <fgColor theme="0"/>
        <bgColor indexed="64"/>
      </patternFill>
    </fill>
    <fill>
      <patternFill patternType="solid">
        <fgColor rgb="FFC00000"/>
        <bgColor indexed="64"/>
      </patternFill>
    </fill>
    <fill>
      <patternFill patternType="solid">
        <fgColor theme="9" tint="-0.249977111117893"/>
        <bgColor indexed="64"/>
      </patternFill>
    </fill>
    <fill>
      <patternFill patternType="solid">
        <fgColor rgb="FF266077"/>
        <bgColor rgb="FF266077"/>
      </patternFill>
    </fill>
    <fill>
      <patternFill patternType="solid">
        <fgColor rgb="FF272936"/>
        <bgColor rgb="FF000000"/>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0"/>
        <bgColor rgb="FF000000"/>
      </patternFill>
    </fill>
    <fill>
      <patternFill patternType="solid">
        <fgColor rgb="FFF7B011"/>
        <bgColor indexed="64"/>
      </patternFill>
    </fill>
    <fill>
      <patternFill patternType="solid">
        <fgColor rgb="FF548235"/>
        <bgColor indexed="64"/>
      </patternFill>
    </fill>
    <fill>
      <patternFill patternType="solid">
        <fgColor theme="3" tint="-0.249977111117893"/>
        <bgColor indexed="64"/>
      </patternFill>
    </fill>
  </fills>
  <borders count="68">
    <border>
      <left/>
      <right/>
      <top/>
      <bottom/>
      <diagonal/>
    </border>
    <border>
      <left style="thin">
        <color theme="0" tint="-0.34998626667073579"/>
      </left>
      <right/>
      <top/>
      <bottom/>
      <diagonal/>
    </border>
    <border>
      <left style="thin">
        <color theme="0"/>
      </left>
      <right style="thin">
        <color theme="0"/>
      </right>
      <top style="thin">
        <color theme="0"/>
      </top>
      <bottom style="thin">
        <color theme="0"/>
      </bottom>
      <diagonal/>
    </border>
    <border>
      <left style="thin">
        <color rgb="FFECECEC"/>
      </left>
      <right style="thin">
        <color rgb="FFECECEC"/>
      </right>
      <top/>
      <bottom style="thin">
        <color rgb="FFECECEC"/>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rgb="FFECECEC"/>
      </left>
      <right style="thin">
        <color rgb="FFECECEC"/>
      </right>
      <top style="thin">
        <color rgb="FFECECEC"/>
      </top>
      <bottom/>
      <diagonal/>
    </border>
    <border>
      <left style="thin">
        <color theme="0"/>
      </left>
      <right/>
      <top style="thin">
        <color theme="0"/>
      </top>
      <bottom/>
      <diagonal/>
    </border>
    <border>
      <left style="thin">
        <color rgb="FFECECEC"/>
      </left>
      <right/>
      <top style="thin">
        <color rgb="FFECECEC"/>
      </top>
      <bottom style="thin">
        <color rgb="FFECECEC"/>
      </bottom>
      <diagonal/>
    </border>
    <border>
      <left/>
      <right/>
      <top style="thin">
        <color theme="0"/>
      </top>
      <bottom style="thin">
        <color theme="0"/>
      </bottom>
      <diagonal/>
    </border>
    <border>
      <left style="thin">
        <color theme="0"/>
      </left>
      <right style="thin">
        <color theme="0"/>
      </right>
      <top/>
      <bottom/>
      <diagonal/>
    </border>
    <border>
      <left/>
      <right/>
      <top style="thin">
        <color theme="0"/>
      </top>
      <bottom/>
      <diagonal/>
    </border>
    <border>
      <left/>
      <right/>
      <top/>
      <bottom style="thin">
        <color rgb="FFECECEC"/>
      </bottom>
      <diagonal/>
    </border>
    <border>
      <left/>
      <right/>
      <top/>
      <bottom style="thin">
        <color theme="0"/>
      </bottom>
      <diagonal/>
    </border>
    <border>
      <left style="thin">
        <color rgb="FFECECEC"/>
      </left>
      <right style="thin">
        <color rgb="FFECECEC"/>
      </right>
      <top/>
      <bottom/>
      <diagonal/>
    </border>
    <border>
      <left style="thin">
        <color rgb="FFECECEC"/>
      </left>
      <right/>
      <top/>
      <bottom style="thin">
        <color rgb="FFECECEC"/>
      </bottom>
      <diagonal/>
    </border>
    <border>
      <left style="thin">
        <color rgb="FF0070AD"/>
      </left>
      <right/>
      <top style="thin">
        <color rgb="FF0070AD"/>
      </top>
      <bottom style="thin">
        <color theme="0"/>
      </bottom>
      <diagonal/>
    </border>
    <border>
      <left/>
      <right style="thin">
        <color theme="0"/>
      </right>
      <top style="thin">
        <color theme="0"/>
      </top>
      <bottom/>
      <diagonal/>
    </border>
    <border>
      <left style="thin">
        <color rgb="FF0070AD"/>
      </left>
      <right/>
      <top/>
      <bottom/>
      <diagonal/>
    </border>
    <border>
      <left style="thin">
        <color rgb="FF0070AD"/>
      </left>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rgb="FFECECEC"/>
      </right>
      <top/>
      <bottom style="thin">
        <color rgb="FFECECEC"/>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272936"/>
      </left>
      <right style="thin">
        <color rgb="FF272936"/>
      </right>
      <top style="thin">
        <color rgb="FF272936"/>
      </top>
      <bottom style="thin">
        <color rgb="FF272936"/>
      </bottom>
      <diagonal/>
    </border>
    <border>
      <left/>
      <right/>
      <top style="thin">
        <color rgb="FF0070AD"/>
      </top>
      <bottom style="thin">
        <color theme="0"/>
      </bottom>
      <diagonal/>
    </border>
    <border>
      <left/>
      <right/>
      <top style="thin">
        <color theme="0" tint="-0.34998626667073579"/>
      </top>
      <bottom style="thin">
        <color theme="0" tint="-0.34998626667073579"/>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thin">
        <color rgb="FFECECEC"/>
      </left>
      <right/>
      <top style="thin">
        <color theme="0"/>
      </top>
      <bottom style="thin">
        <color rgb="FFECECEC"/>
      </bottom>
      <diagonal/>
    </border>
    <border>
      <left/>
      <right/>
      <top style="thin">
        <color theme="0"/>
      </top>
      <bottom style="thin">
        <color rgb="FFECECEC"/>
      </bottom>
      <diagonal/>
    </border>
    <border>
      <left style="thin">
        <color theme="0" tint="-0.249977111117893"/>
      </left>
      <right style="thin">
        <color theme="0" tint="-0.249977111117893"/>
      </right>
      <top/>
      <bottom style="thin">
        <color theme="0" tint="-0.249977111117893"/>
      </bottom>
      <diagonal/>
    </border>
    <border>
      <left/>
      <right style="thin">
        <color theme="0"/>
      </right>
      <top style="thin">
        <color theme="0"/>
      </top>
      <bottom style="thin">
        <color theme="0"/>
      </bottom>
      <diagonal/>
    </border>
    <border>
      <left/>
      <right style="thin">
        <color rgb="FFECECEC"/>
      </right>
      <top style="thin">
        <color theme="0"/>
      </top>
      <bottom style="thin">
        <color rgb="FFECECEC"/>
      </bottom>
      <diagonal/>
    </border>
    <border>
      <left style="thin">
        <color theme="0" tint="-0.34998626667073579"/>
      </left>
      <right style="thin">
        <color theme="0"/>
      </right>
      <top style="thin">
        <color theme="0" tint="-0.34998626667073579"/>
      </top>
      <bottom style="thin">
        <color theme="0" tint="-0.34998626667073579"/>
      </bottom>
      <diagonal/>
    </border>
    <border>
      <left style="thin">
        <color theme="0"/>
      </left>
      <right/>
      <top style="thin">
        <color theme="0"/>
      </top>
      <bottom style="thin">
        <color theme="0" tint="-0.34998626667073579"/>
      </bottom>
      <diagonal/>
    </border>
    <border>
      <left style="thin">
        <color theme="0"/>
      </left>
      <right/>
      <top/>
      <bottom style="thin">
        <color theme="0" tint="-0.34998626667073579"/>
      </bottom>
      <diagonal/>
    </border>
    <border>
      <left/>
      <right style="thin">
        <color rgb="FFECECEC"/>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style="thin">
        <color rgb="FF0070AD"/>
      </right>
      <top/>
      <bottom style="thin">
        <color theme="0"/>
      </bottom>
      <diagonal/>
    </border>
    <border>
      <left/>
      <right/>
      <top style="thin">
        <color rgb="FFECECEC"/>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rgb="FFFFFFFF"/>
      </top>
      <bottom style="thin">
        <color rgb="FF8EA9DB"/>
      </bottom>
      <diagonal/>
    </border>
    <border>
      <left/>
      <right style="thin">
        <color indexed="64"/>
      </right>
      <top style="thin">
        <color indexed="64"/>
      </top>
      <bottom/>
      <diagonal/>
    </border>
    <border>
      <left style="thin">
        <color rgb="FF272936"/>
      </left>
      <right/>
      <top style="thin">
        <color indexed="64"/>
      </top>
      <bottom style="thin">
        <color rgb="FF272936"/>
      </bottom>
      <diagonal/>
    </border>
    <border>
      <left/>
      <right style="thin">
        <color rgb="FF272936"/>
      </right>
      <top style="thin">
        <color indexed="64"/>
      </top>
      <bottom style="thin">
        <color rgb="FF272936"/>
      </bottom>
      <diagonal/>
    </border>
    <border>
      <left style="thin">
        <color rgb="FF272936"/>
      </left>
      <right style="thin">
        <color rgb="FF272936"/>
      </right>
      <top/>
      <bottom style="thin">
        <color rgb="FF272936"/>
      </bottom>
      <diagonal/>
    </border>
    <border>
      <left/>
      <right style="thin">
        <color theme="0" tint="-0.249977111117893"/>
      </right>
      <top style="thin">
        <color theme="0" tint="-0.249977111117893"/>
      </top>
      <bottom style="thin">
        <color theme="0" tint="-0.249977111117893"/>
      </bottom>
      <diagonal/>
    </border>
    <border>
      <left style="thin">
        <color rgb="FF272936"/>
      </left>
      <right style="thin">
        <color theme="0"/>
      </right>
      <top style="thin">
        <color theme="0"/>
      </top>
      <bottom style="thin">
        <color theme="0"/>
      </bottom>
      <diagonal/>
    </border>
    <border>
      <left style="thin">
        <color rgb="FF272936"/>
      </left>
      <right style="thin">
        <color theme="0"/>
      </right>
      <top/>
      <bottom style="thin">
        <color theme="0"/>
      </bottom>
      <diagonal/>
    </border>
    <border>
      <left style="thin">
        <color theme="0" tint="-0.249977111117893"/>
      </left>
      <right/>
      <top style="thin">
        <color theme="0"/>
      </top>
      <bottom style="thin">
        <color theme="0"/>
      </bottom>
      <diagonal/>
    </border>
    <border>
      <left/>
      <right style="thin">
        <color theme="0" tint="-0.249977111117893"/>
      </right>
      <top style="thin">
        <color theme="0"/>
      </top>
      <bottom style="thin">
        <color theme="0"/>
      </bottom>
      <diagonal/>
    </border>
    <border>
      <left/>
      <right style="thin">
        <color theme="0" tint="-0.249977111117893"/>
      </right>
      <top/>
      <bottom style="thin">
        <color theme="0" tint="-0.249977111117893"/>
      </bottom>
      <diagonal/>
    </border>
  </borders>
  <cellStyleXfs count="8">
    <xf numFmtId="0" fontId="0" fillId="0" borderId="0"/>
    <xf numFmtId="0" fontId="2" fillId="0" borderId="0"/>
    <xf numFmtId="9" fontId="3" fillId="0" borderId="0" applyFont="0" applyFill="0" applyBorder="0" applyAlignment="0" applyProtection="0"/>
    <xf numFmtId="0" fontId="10" fillId="0" borderId="0" applyNumberFormat="0" applyFill="0" applyBorder="0" applyAlignment="0" applyProtection="0"/>
    <xf numFmtId="0" fontId="17" fillId="8" borderId="0">
      <alignment vertical="center"/>
    </xf>
    <xf numFmtId="0" fontId="18" fillId="0" borderId="0"/>
    <xf numFmtId="43" fontId="3" fillId="0" borderId="0" applyFont="0" applyFill="0" applyBorder="0" applyAlignment="0" applyProtection="0"/>
    <xf numFmtId="44" fontId="3" fillId="0" borderId="0" applyFont="0" applyFill="0" applyBorder="0" applyAlignment="0" applyProtection="0"/>
  </cellStyleXfs>
  <cellXfs count="251">
    <xf numFmtId="0" fontId="0" fillId="0" borderId="0" xfId="0"/>
    <xf numFmtId="0" fontId="0" fillId="0" borderId="0" xfId="0" applyAlignment="1">
      <alignment vertical="center"/>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9" fillId="0" borderId="0" xfId="0" applyFont="1"/>
    <xf numFmtId="0" fontId="9" fillId="0" borderId="0" xfId="0" applyFont="1" applyAlignment="1">
      <alignment vertical="center"/>
    </xf>
    <xf numFmtId="0" fontId="0" fillId="0" borderId="0" xfId="0" applyAlignment="1">
      <alignment horizontal="center" vertical="center" wrapText="1"/>
    </xf>
    <xf numFmtId="0" fontId="15" fillId="0" borderId="0" xfId="0" applyFont="1" applyAlignment="1">
      <alignment horizontal="center" vertical="center"/>
    </xf>
    <xf numFmtId="0" fontId="14" fillId="4" borderId="2" xfId="0" applyFont="1" applyFill="1" applyBorder="1" applyAlignment="1">
      <alignment horizontal="center" vertical="center"/>
    </xf>
    <xf numFmtId="0" fontId="15" fillId="0" borderId="3" xfId="0" applyFont="1" applyBorder="1" applyAlignment="1">
      <alignment horizontal="center" vertical="center"/>
    </xf>
    <xf numFmtId="0" fontId="15" fillId="0" borderId="16" xfId="0" applyFont="1" applyBorder="1" applyAlignment="1">
      <alignment horizontal="center" vertical="center"/>
    </xf>
    <xf numFmtId="0" fontId="9" fillId="0" borderId="2" xfId="0" applyFont="1" applyBorder="1"/>
    <xf numFmtId="0" fontId="4" fillId="0" borderId="0" xfId="0" applyFont="1" applyAlignment="1">
      <alignment vertical="center" wrapText="1"/>
    </xf>
    <xf numFmtId="0" fontId="4" fillId="0" borderId="0" xfId="0" applyFont="1" applyAlignment="1">
      <alignment horizontal="left" vertical="center" wrapText="1" indent="1"/>
    </xf>
    <xf numFmtId="0" fontId="9" fillId="0" borderId="0" xfId="0" applyFont="1" applyAlignment="1">
      <alignment vertical="top" wrapText="1"/>
    </xf>
    <xf numFmtId="0" fontId="6" fillId="3" borderId="2" xfId="0" applyFont="1" applyFill="1" applyBorder="1" applyAlignment="1">
      <alignment horizontal="center" vertical="center" textRotation="90"/>
    </xf>
    <xf numFmtId="0" fontId="6" fillId="3" borderId="6" xfId="0" applyFont="1" applyFill="1" applyBorder="1" applyAlignment="1">
      <alignment horizontal="center" vertical="center" textRotation="90"/>
    </xf>
    <xf numFmtId="0" fontId="6" fillId="3" borderId="6" xfId="0" applyFont="1" applyFill="1" applyBorder="1" applyAlignment="1">
      <alignment horizontal="center" vertical="center"/>
    </xf>
    <xf numFmtId="0" fontId="8" fillId="3" borderId="5" xfId="0" applyFont="1" applyFill="1" applyBorder="1" applyAlignment="1">
      <alignment horizontal="right" vertical="center"/>
    </xf>
    <xf numFmtId="0" fontId="7" fillId="0" borderId="23" xfId="0" applyFont="1" applyBorder="1" applyAlignment="1">
      <alignment horizontal="center" vertical="center"/>
    </xf>
    <xf numFmtId="0" fontId="21" fillId="0" borderId="23" xfId="0" applyFont="1" applyBorder="1" applyAlignment="1">
      <alignment horizontal="left" vertical="center" indent="1"/>
    </xf>
    <xf numFmtId="49" fontId="21" fillId="0" borderId="23" xfId="0" applyNumberFormat="1" applyFont="1" applyBorder="1" applyAlignment="1">
      <alignment horizontal="left" vertical="center" indent="1"/>
    </xf>
    <xf numFmtId="0" fontId="6" fillId="3" borderId="8" xfId="0" applyFont="1" applyFill="1" applyBorder="1" applyAlignment="1">
      <alignment horizontal="right" vertical="center" wrapText="1"/>
    </xf>
    <xf numFmtId="0" fontId="6" fillId="3" borderId="2"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0" xfId="0" applyFont="1" applyFill="1" applyBorder="1" applyAlignment="1">
      <alignment horizontal="right" vertical="center"/>
    </xf>
    <xf numFmtId="0" fontId="4" fillId="0" borderId="23" xfId="0" applyFont="1" applyBorder="1" applyAlignment="1">
      <alignment horizontal="center" vertical="center"/>
    </xf>
    <xf numFmtId="0" fontId="4" fillId="0" borderId="23" xfId="0" applyFont="1" applyBorder="1" applyAlignment="1">
      <alignment horizontal="left" vertical="center" wrapText="1"/>
    </xf>
    <xf numFmtId="0" fontId="6" fillId="3" borderId="6"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4" fillId="0" borderId="23" xfId="0" applyFont="1" applyBorder="1" applyAlignment="1">
      <alignment horizontal="left" vertical="center" wrapText="1" indent="1"/>
    </xf>
    <xf numFmtId="0" fontId="9" fillId="10" borderId="27" xfId="0" applyFont="1" applyFill="1" applyBorder="1" applyAlignment="1">
      <alignment horizontal="center" vertical="center"/>
    </xf>
    <xf numFmtId="10" fontId="9" fillId="10" borderId="27" xfId="2" applyNumberFormat="1" applyFont="1" applyFill="1" applyBorder="1" applyAlignment="1">
      <alignment horizontal="center" vertical="center"/>
    </xf>
    <xf numFmtId="10" fontId="19" fillId="3" borderId="18" xfId="2" applyNumberFormat="1" applyFont="1" applyFill="1" applyBorder="1" applyAlignment="1">
      <alignment horizontal="center" vertical="center"/>
    </xf>
    <xf numFmtId="10" fontId="19" fillId="3" borderId="18" xfId="2" applyNumberFormat="1" applyFont="1" applyFill="1" applyBorder="1" applyAlignment="1">
      <alignment horizontal="center" vertical="center" wrapText="1"/>
    </xf>
    <xf numFmtId="0" fontId="6" fillId="3" borderId="0" xfId="0" applyFont="1" applyFill="1" applyAlignment="1">
      <alignment horizontal="center" vertical="center"/>
    </xf>
    <xf numFmtId="0" fontId="15" fillId="0" borderId="9" xfId="0" applyFont="1" applyBorder="1" applyAlignment="1">
      <alignment horizontal="center" vertical="center"/>
    </xf>
    <xf numFmtId="0" fontId="9" fillId="0" borderId="2" xfId="0" applyFont="1" applyBorder="1" applyAlignment="1">
      <alignment vertical="center"/>
    </xf>
    <xf numFmtId="0" fontId="9" fillId="0" borderId="0" xfId="0" applyFont="1" applyAlignment="1">
      <alignment horizontal="center" vertical="center"/>
    </xf>
    <xf numFmtId="0" fontId="6" fillId="3" borderId="5" xfId="0" applyFont="1" applyFill="1" applyBorder="1" applyAlignment="1">
      <alignment horizontal="center" vertical="center"/>
    </xf>
    <xf numFmtId="0" fontId="4" fillId="0" borderId="23" xfId="0" applyFont="1" applyBorder="1" applyAlignment="1">
      <alignment horizontal="center" vertical="center" wrapText="1"/>
    </xf>
    <xf numFmtId="0" fontId="6" fillId="3" borderId="8" xfId="0" applyFont="1" applyFill="1" applyBorder="1" applyAlignment="1">
      <alignment horizontal="right" vertical="center"/>
    </xf>
    <xf numFmtId="0" fontId="6" fillId="3" borderId="12" xfId="0" applyFont="1" applyFill="1" applyBorder="1" applyAlignment="1">
      <alignment horizontal="right" vertical="center"/>
    </xf>
    <xf numFmtId="0" fontId="6" fillId="3" borderId="2" xfId="0" applyFont="1" applyFill="1" applyBorder="1" applyAlignment="1">
      <alignment horizontal="right" vertical="center"/>
    </xf>
    <xf numFmtId="0" fontId="6" fillId="3" borderId="5" xfId="0" applyFont="1" applyFill="1" applyBorder="1" applyAlignment="1">
      <alignment horizontal="right" vertical="center"/>
    </xf>
    <xf numFmtId="0" fontId="5" fillId="0" borderId="23" xfId="0" applyFont="1" applyBorder="1" applyAlignment="1">
      <alignment horizontal="left" vertical="center" wrapText="1" indent="1"/>
    </xf>
    <xf numFmtId="0" fontId="0" fillId="0" borderId="0" xfId="0" applyAlignment="1">
      <alignment horizontal="left" vertical="center"/>
    </xf>
    <xf numFmtId="0" fontId="0" fillId="0" borderId="0" xfId="0" applyAlignment="1">
      <alignment horizontal="left" vertical="center" indent="1"/>
    </xf>
    <xf numFmtId="0" fontId="6" fillId="0" borderId="0" xfId="0" applyFont="1" applyAlignment="1">
      <alignment horizontal="center" vertical="center"/>
    </xf>
    <xf numFmtId="0" fontId="6" fillId="3" borderId="2" xfId="0" applyFont="1" applyFill="1" applyBorder="1" applyAlignment="1">
      <alignment horizontal="center" vertical="center" wrapText="1"/>
    </xf>
    <xf numFmtId="0" fontId="9" fillId="0" borderId="0" xfId="0" applyFont="1" applyAlignment="1">
      <alignment wrapText="1"/>
    </xf>
    <xf numFmtId="0" fontId="23" fillId="3" borderId="2" xfId="0" applyFont="1" applyFill="1" applyBorder="1" applyAlignment="1">
      <alignment horizontal="center" vertical="center"/>
    </xf>
    <xf numFmtId="0" fontId="6" fillId="0" borderId="2" xfId="0" applyFont="1" applyBorder="1" applyAlignment="1">
      <alignment horizontal="center" vertical="center"/>
    </xf>
    <xf numFmtId="0" fontId="14" fillId="4" borderId="4" xfId="0" applyFont="1" applyFill="1" applyBorder="1" applyAlignment="1">
      <alignment horizontal="center" vertical="center"/>
    </xf>
    <xf numFmtId="0" fontId="9" fillId="0" borderId="4" xfId="0" applyFont="1" applyBorder="1"/>
    <xf numFmtId="0" fontId="6" fillId="7" borderId="2" xfId="0" applyFont="1" applyFill="1" applyBorder="1" applyAlignment="1">
      <alignment horizontal="center" vertical="center"/>
    </xf>
    <xf numFmtId="0" fontId="6" fillId="6" borderId="2" xfId="0" applyFont="1" applyFill="1" applyBorder="1" applyAlignment="1">
      <alignment horizontal="center" vertical="center"/>
    </xf>
    <xf numFmtId="0" fontId="23" fillId="3" borderId="0" xfId="0" applyFont="1" applyFill="1" applyAlignment="1">
      <alignment horizontal="left" vertical="center" indent="1"/>
    </xf>
    <xf numFmtId="0" fontId="19" fillId="3" borderId="6" xfId="0" applyFont="1" applyFill="1" applyBorder="1" applyAlignment="1">
      <alignment horizontal="center" vertical="center" textRotation="90"/>
    </xf>
    <xf numFmtId="0" fontId="6" fillId="3" borderId="5" xfId="0" applyFont="1" applyFill="1" applyBorder="1" applyAlignment="1">
      <alignment horizontal="center" vertical="center" wrapText="1"/>
    </xf>
    <xf numFmtId="0" fontId="20" fillId="0" borderId="21" xfId="0" applyFont="1" applyBorder="1" applyAlignment="1">
      <alignment horizontal="center" vertical="center"/>
    </xf>
    <xf numFmtId="0" fontId="20" fillId="0" borderId="21" xfId="0" applyFont="1" applyBorder="1" applyAlignment="1">
      <alignment horizontal="left" vertical="center" wrapText="1" indent="1"/>
    </xf>
    <xf numFmtId="0" fontId="0" fillId="0" borderId="21" xfId="0" applyBorder="1" applyAlignment="1">
      <alignment horizontal="left" vertical="center" wrapText="1" indent="1"/>
    </xf>
    <xf numFmtId="0" fontId="0" fillId="0" borderId="21" xfId="0" applyBorder="1" applyAlignment="1">
      <alignment horizontal="center" vertical="center"/>
    </xf>
    <xf numFmtId="0" fontId="22" fillId="0" borderId="21" xfId="3" applyFont="1" applyFill="1" applyBorder="1" applyAlignment="1">
      <alignment horizontal="center" vertical="center"/>
    </xf>
    <xf numFmtId="10" fontId="19" fillId="3" borderId="37" xfId="2" applyNumberFormat="1" applyFont="1" applyFill="1" applyBorder="1" applyAlignment="1">
      <alignment horizontal="center" vertical="center"/>
    </xf>
    <xf numFmtId="10" fontId="19" fillId="3" borderId="10" xfId="2" applyNumberFormat="1" applyFont="1" applyFill="1" applyBorder="1" applyAlignment="1">
      <alignment horizontal="right" vertical="center"/>
    </xf>
    <xf numFmtId="0" fontId="19" fillId="3" borderId="6" xfId="0" applyFont="1" applyFill="1" applyBorder="1" applyAlignment="1">
      <alignment horizontal="center" vertical="center"/>
    </xf>
    <xf numFmtId="0" fontId="19" fillId="3" borderId="6" xfId="0" applyFont="1" applyFill="1" applyBorder="1" applyAlignment="1">
      <alignment horizontal="center" vertical="center" wrapText="1"/>
    </xf>
    <xf numFmtId="0" fontId="6" fillId="3" borderId="0" xfId="0" applyFont="1" applyFill="1" applyAlignment="1">
      <alignment horizontal="centerContinuous" vertical="center"/>
    </xf>
    <xf numFmtId="49" fontId="12" fillId="5" borderId="28" xfId="0" applyNumberFormat="1" applyFont="1" applyFill="1" applyBorder="1" applyAlignment="1">
      <alignment horizontal="centerContinuous" vertical="center"/>
    </xf>
    <xf numFmtId="0" fontId="4" fillId="0" borderId="25" xfId="0" applyFont="1" applyBorder="1" applyAlignment="1">
      <alignment horizontal="centerContinuous" vertical="center" wrapText="1"/>
    </xf>
    <xf numFmtId="0" fontId="4" fillId="0" borderId="29" xfId="0" applyFont="1" applyBorder="1" applyAlignment="1">
      <alignment horizontal="centerContinuous" vertical="center" wrapText="1"/>
    </xf>
    <xf numFmtId="49" fontId="13" fillId="5" borderId="19" xfId="0" applyNumberFormat="1" applyFont="1" applyFill="1" applyBorder="1" applyAlignment="1">
      <alignment horizontal="centerContinuous" vertical="center"/>
    </xf>
    <xf numFmtId="49" fontId="13" fillId="5" borderId="0" xfId="0" applyNumberFormat="1" applyFont="1" applyFill="1" applyAlignment="1">
      <alignment horizontal="centerContinuous" vertical="center"/>
    </xf>
    <xf numFmtId="49" fontId="13" fillId="5" borderId="20" xfId="0" applyNumberFormat="1" applyFont="1" applyFill="1" applyBorder="1" applyAlignment="1">
      <alignment horizontal="centerContinuous" vertical="center"/>
    </xf>
    <xf numFmtId="49" fontId="13" fillId="5" borderId="14" xfId="0" applyNumberFormat="1" applyFont="1" applyFill="1" applyBorder="1" applyAlignment="1">
      <alignment horizontal="centerContinuous" vertical="center"/>
    </xf>
    <xf numFmtId="0" fontId="4" fillId="0" borderId="1" xfId="0" applyFont="1" applyBorder="1" applyAlignment="1">
      <alignment horizontal="centerContinuous" vertical="center" wrapText="1"/>
    </xf>
    <xf numFmtId="0" fontId="13" fillId="5" borderId="19" xfId="0" applyFont="1" applyFill="1" applyBorder="1" applyAlignment="1">
      <alignment horizontal="centerContinuous" vertical="center"/>
    </xf>
    <xf numFmtId="0" fontId="6" fillId="3" borderId="14" xfId="0" applyFont="1" applyFill="1" applyBorder="1" applyAlignment="1">
      <alignment horizontal="centerContinuous" vertical="center"/>
    </xf>
    <xf numFmtId="0" fontId="6" fillId="3" borderId="24" xfId="0" applyFont="1" applyFill="1" applyBorder="1" applyAlignment="1">
      <alignment horizontal="centerContinuous" vertical="center"/>
    </xf>
    <xf numFmtId="0" fontId="23" fillId="3" borderId="14" xfId="0" applyFont="1" applyFill="1" applyBorder="1" applyAlignment="1">
      <alignment horizontal="centerContinuous" vertical="center"/>
    </xf>
    <xf numFmtId="0" fontId="4" fillId="0" borderId="39" xfId="0" applyFont="1" applyBorder="1" applyAlignment="1">
      <alignment horizontal="centerContinuous" vertical="center" wrapText="1"/>
    </xf>
    <xf numFmtId="0" fontId="11" fillId="2" borderId="40" xfId="0" applyFont="1" applyFill="1" applyBorder="1" applyAlignment="1">
      <alignment horizontal="centerContinuous" vertical="center"/>
    </xf>
    <xf numFmtId="0" fontId="11" fillId="2" borderId="41" xfId="0" applyFont="1" applyFill="1" applyBorder="1" applyAlignment="1">
      <alignment horizontal="centerContinuous" vertical="center" wrapText="1"/>
    </xf>
    <xf numFmtId="0" fontId="11" fillId="2" borderId="41" xfId="0" applyFont="1" applyFill="1" applyBorder="1" applyAlignment="1">
      <alignment horizontal="centerContinuous" vertical="center"/>
    </xf>
    <xf numFmtId="0" fontId="26" fillId="11" borderId="22" xfId="0" applyFont="1" applyFill="1" applyBorder="1" applyAlignment="1">
      <alignment horizontal="center" vertical="center" wrapText="1"/>
    </xf>
    <xf numFmtId="0" fontId="26" fillId="11" borderId="3" xfId="0" applyFont="1" applyFill="1" applyBorder="1" applyAlignment="1">
      <alignment horizontal="center" vertical="center" wrapText="1"/>
    </xf>
    <xf numFmtId="0" fontId="13" fillId="5" borderId="0" xfId="0" applyFont="1" applyFill="1" applyAlignment="1">
      <alignment horizontal="center" vertical="center"/>
    </xf>
    <xf numFmtId="0" fontId="4" fillId="0" borderId="0" xfId="0" applyFont="1" applyAlignment="1">
      <alignment horizontal="center" vertical="center" wrapText="1"/>
    </xf>
    <xf numFmtId="49" fontId="13" fillId="5" borderId="0" xfId="0" applyNumberFormat="1" applyFont="1" applyFill="1" applyAlignment="1">
      <alignment horizontal="center" vertical="center"/>
    </xf>
    <xf numFmtId="0" fontId="23" fillId="3" borderId="0" xfId="0" applyFont="1" applyFill="1" applyAlignment="1">
      <alignment horizontal="left" vertical="center"/>
    </xf>
    <xf numFmtId="0" fontId="6" fillId="3" borderId="2" xfId="0" applyFont="1" applyFill="1" applyBorder="1" applyAlignment="1">
      <alignment horizontal="centerContinuous" vertical="center"/>
    </xf>
    <xf numFmtId="0" fontId="4" fillId="0" borderId="23" xfId="0" applyFont="1" applyBorder="1" applyAlignment="1">
      <alignment horizontal="centerContinuous" vertical="center"/>
    </xf>
    <xf numFmtId="0" fontId="0" fillId="0" borderId="0" xfId="0" applyAlignment="1">
      <alignment horizontal="centerContinuous" vertical="center"/>
    </xf>
    <xf numFmtId="0" fontId="6" fillId="3" borderId="0" xfId="0" applyFont="1" applyFill="1" applyAlignment="1">
      <alignment vertical="center"/>
    </xf>
    <xf numFmtId="0" fontId="12" fillId="5" borderId="19" xfId="0" applyFont="1" applyFill="1" applyBorder="1" applyAlignment="1">
      <alignment horizontal="left" vertical="center" indent="1"/>
    </xf>
    <xf numFmtId="49" fontId="12" fillId="5" borderId="17" xfId="0" applyNumberFormat="1" applyFont="1" applyFill="1" applyBorder="1" applyAlignment="1">
      <alignment horizontal="left" vertical="center" indent="1"/>
    </xf>
    <xf numFmtId="0" fontId="28" fillId="9" borderId="10" xfId="0" applyFont="1" applyFill="1" applyBorder="1" applyAlignment="1">
      <alignment horizontal="right" vertical="center"/>
    </xf>
    <xf numFmtId="0" fontId="23" fillId="3" borderId="36" xfId="0" applyFont="1" applyFill="1" applyBorder="1" applyAlignment="1">
      <alignment horizontal="centerContinuous" vertical="center"/>
    </xf>
    <xf numFmtId="0" fontId="24" fillId="3" borderId="36" xfId="0" applyFont="1" applyFill="1" applyBorder="1" applyAlignment="1">
      <alignment horizontal="centerContinuous" vertical="center"/>
    </xf>
    <xf numFmtId="0" fontId="9" fillId="0" borderId="31" xfId="0" applyFont="1" applyBorder="1" applyAlignment="1">
      <alignment vertical="top" wrapText="1"/>
    </xf>
    <xf numFmtId="0" fontId="9" fillId="0" borderId="32" xfId="0" applyFont="1" applyBorder="1" applyAlignment="1">
      <alignment vertical="top" wrapText="1"/>
    </xf>
    <xf numFmtId="0" fontId="9" fillId="0" borderId="33" xfId="0" applyFont="1" applyBorder="1" applyAlignment="1">
      <alignment vertical="top" wrapText="1"/>
    </xf>
    <xf numFmtId="0" fontId="29" fillId="0" borderId="33" xfId="0" applyFont="1" applyBorder="1" applyAlignment="1">
      <alignment vertical="top" wrapText="1"/>
    </xf>
    <xf numFmtId="0" fontId="23" fillId="3" borderId="16" xfId="0" applyFont="1" applyFill="1" applyBorder="1" applyAlignment="1">
      <alignment horizontal="centerContinuous" vertical="center"/>
    </xf>
    <xf numFmtId="0" fontId="23" fillId="3" borderId="13" xfId="0" applyFont="1" applyFill="1" applyBorder="1" applyAlignment="1">
      <alignment horizontal="centerContinuous" vertical="center"/>
    </xf>
    <xf numFmtId="0" fontId="23" fillId="3" borderId="22" xfId="0" applyFont="1" applyFill="1" applyBorder="1" applyAlignment="1">
      <alignment horizontal="centerContinuous" vertical="center"/>
    </xf>
    <xf numFmtId="0" fontId="23" fillId="3" borderId="1" xfId="0" applyFont="1" applyFill="1" applyBorder="1" applyAlignment="1">
      <alignment horizontal="right" vertical="center" indent="1"/>
    </xf>
    <xf numFmtId="0" fontId="23" fillId="3" borderId="14" xfId="0" applyFont="1" applyFill="1" applyBorder="1" applyAlignment="1">
      <alignment horizontal="left" vertical="center"/>
    </xf>
    <xf numFmtId="0" fontId="6" fillId="3" borderId="14" xfId="0" applyFont="1" applyFill="1" applyBorder="1" applyAlignment="1">
      <alignment horizontal="left" vertical="center"/>
    </xf>
    <xf numFmtId="0" fontId="23" fillId="3" borderId="0" xfId="0" applyFont="1" applyFill="1" applyAlignment="1">
      <alignment horizontal="right" vertical="center" indent="1"/>
    </xf>
    <xf numFmtId="0" fontId="6" fillId="3" borderId="34" xfId="0" applyFont="1" applyFill="1" applyBorder="1" applyAlignment="1">
      <alignment horizontal="centerContinuous" vertical="center"/>
    </xf>
    <xf numFmtId="0" fontId="6" fillId="3" borderId="35" xfId="0" applyFont="1" applyFill="1" applyBorder="1" applyAlignment="1">
      <alignment horizontal="centerContinuous" vertical="center"/>
    </xf>
    <xf numFmtId="0" fontId="6" fillId="3" borderId="38" xfId="0" applyFont="1" applyFill="1" applyBorder="1" applyAlignment="1">
      <alignment horizontal="centerContinuous" vertical="center"/>
    </xf>
    <xf numFmtId="0" fontId="23" fillId="3" borderId="14" xfId="0" applyFont="1" applyFill="1" applyBorder="1" applyAlignment="1">
      <alignment horizontal="right" vertical="center" indent="1"/>
    </xf>
    <xf numFmtId="0" fontId="26" fillId="11" borderId="42" xfId="0" applyFont="1" applyFill="1" applyBorder="1" applyAlignment="1">
      <alignment horizontal="center" vertical="center" wrapText="1"/>
    </xf>
    <xf numFmtId="0" fontId="26" fillId="11" borderId="15" xfId="0" applyFont="1" applyFill="1" applyBorder="1" applyAlignment="1">
      <alignment horizontal="center" vertical="center" wrapText="1"/>
    </xf>
    <xf numFmtId="0" fontId="6" fillId="3" borderId="14" xfId="0" applyFont="1" applyFill="1" applyBorder="1" applyAlignment="1">
      <alignment horizontal="center" vertical="center"/>
    </xf>
    <xf numFmtId="10" fontId="15" fillId="5" borderId="21" xfId="0" applyNumberFormat="1" applyFont="1" applyFill="1" applyBorder="1" applyAlignment="1">
      <alignment horizontal="center" vertical="center"/>
    </xf>
    <xf numFmtId="0" fontId="19" fillId="3" borderId="2" xfId="0" applyFont="1" applyFill="1" applyBorder="1" applyAlignment="1">
      <alignment horizontal="center" vertical="center" wrapText="1"/>
    </xf>
    <xf numFmtId="0" fontId="6" fillId="3" borderId="2" xfId="3" applyFont="1" applyFill="1" applyBorder="1" applyAlignment="1">
      <alignment horizontal="center" vertical="center"/>
    </xf>
    <xf numFmtId="0" fontId="4" fillId="0" borderId="21" xfId="0" applyFont="1" applyBorder="1" applyAlignment="1">
      <alignment horizontal="center" vertical="center"/>
    </xf>
    <xf numFmtId="0" fontId="4" fillId="0" borderId="43" xfId="0" applyFont="1" applyBorder="1" applyAlignment="1">
      <alignment horizontal="center" vertical="center"/>
    </xf>
    <xf numFmtId="0" fontId="25" fillId="3" borderId="0" xfId="0" applyFont="1" applyFill="1" applyAlignment="1">
      <alignment horizontal="center" vertical="center"/>
    </xf>
    <xf numFmtId="0" fontId="25" fillId="3" borderId="0" xfId="0" applyFont="1" applyFill="1" applyAlignment="1">
      <alignment horizontal="right" vertical="center"/>
    </xf>
    <xf numFmtId="0" fontId="4" fillId="0" borderId="21" xfId="0" applyFont="1" applyBorder="1" applyAlignment="1">
      <alignment horizontal="left" vertical="center" wrapText="1" indent="1"/>
    </xf>
    <xf numFmtId="0" fontId="33" fillId="0" borderId="21" xfId="3" applyFont="1" applyFill="1" applyBorder="1" applyAlignment="1">
      <alignment horizontal="center" vertical="center"/>
    </xf>
    <xf numFmtId="0" fontId="4" fillId="0" borderId="0" xfId="0" applyFont="1"/>
    <xf numFmtId="0" fontId="4" fillId="0" borderId="0" xfId="0" applyFont="1" applyAlignment="1">
      <alignment horizontal="left" vertical="center" indent="1"/>
    </xf>
    <xf numFmtId="0" fontId="19" fillId="3" borderId="31" xfId="0" applyFont="1" applyFill="1" applyBorder="1" applyAlignment="1">
      <alignment horizontal="center" vertical="center"/>
    </xf>
    <xf numFmtId="0" fontId="19" fillId="3" borderId="0" xfId="0" applyFont="1" applyFill="1" applyAlignment="1">
      <alignment horizontal="right" vertical="center" indent="1"/>
    </xf>
    <xf numFmtId="0" fontId="6" fillId="7" borderId="5" xfId="0" applyFont="1" applyFill="1" applyBorder="1" applyAlignment="1">
      <alignment horizontal="right" vertical="center" indent="1"/>
    </xf>
    <xf numFmtId="0" fontId="34" fillId="0" borderId="21" xfId="0" applyFont="1" applyBorder="1" applyAlignment="1">
      <alignment horizontal="center" vertical="center"/>
    </xf>
    <xf numFmtId="0" fontId="6" fillId="6" borderId="5" xfId="0" applyFont="1" applyFill="1" applyBorder="1" applyAlignment="1">
      <alignment horizontal="right" vertical="center" indent="1"/>
    </xf>
    <xf numFmtId="0" fontId="35" fillId="0" borderId="21" xfId="0" applyFont="1" applyBorder="1" applyAlignment="1">
      <alignment horizontal="center" vertical="center"/>
    </xf>
    <xf numFmtId="0" fontId="4" fillId="0" borderId="44" xfId="0" applyFont="1" applyBorder="1" applyAlignment="1">
      <alignment horizontal="right" vertical="center" indent="1"/>
    </xf>
    <xf numFmtId="0" fontId="36" fillId="0" borderId="21" xfId="0" applyFont="1" applyBorder="1" applyAlignment="1">
      <alignment horizontal="center" vertical="center"/>
    </xf>
    <xf numFmtId="49" fontId="9" fillId="0" borderId="12" xfId="0" applyNumberFormat="1" applyFont="1" applyBorder="1" applyAlignment="1">
      <alignment horizontal="left" vertical="center" wrapText="1" indent="1" readingOrder="1"/>
    </xf>
    <xf numFmtId="0" fontId="10" fillId="0" borderId="24" xfId="3" applyFill="1" applyBorder="1" applyAlignment="1">
      <alignment horizontal="center" vertical="center"/>
    </xf>
    <xf numFmtId="0" fontId="6" fillId="15" borderId="15" xfId="0" applyFont="1" applyFill="1" applyBorder="1" applyAlignment="1">
      <alignment horizontal="center" vertical="center"/>
    </xf>
    <xf numFmtId="0" fontId="6" fillId="15" borderId="7" xfId="0" applyFont="1" applyFill="1" applyBorder="1" applyAlignment="1">
      <alignment horizontal="left" vertical="center" indent="1"/>
    </xf>
    <xf numFmtId="0" fontId="6" fillId="15" borderId="7" xfId="1" applyFont="1" applyFill="1" applyBorder="1" applyAlignment="1">
      <alignment horizontal="left" vertical="center" wrapText="1" indent="1"/>
    </xf>
    <xf numFmtId="49" fontId="5" fillId="0" borderId="23" xfId="0" applyNumberFormat="1" applyFont="1" applyBorder="1" applyAlignment="1">
      <alignment horizontal="left" vertical="center" wrapText="1" indent="1"/>
    </xf>
    <xf numFmtId="0" fontId="12" fillId="5" borderId="0" xfId="0" applyFont="1" applyFill="1" applyAlignment="1">
      <alignment horizontal="center" vertical="center"/>
    </xf>
    <xf numFmtId="0" fontId="5" fillId="0" borderId="23" xfId="0" applyFont="1" applyBorder="1" applyAlignment="1">
      <alignment horizontal="center" vertical="center" wrapText="1"/>
    </xf>
    <xf numFmtId="0" fontId="12" fillId="5" borderId="19" xfId="0" applyFont="1" applyFill="1" applyBorder="1" applyAlignment="1">
      <alignment horizontal="center" vertical="center"/>
    </xf>
    <xf numFmtId="49" fontId="5" fillId="0" borderId="23" xfId="0" applyNumberFormat="1" applyFont="1" applyBorder="1" applyAlignment="1">
      <alignment horizontal="center" vertical="center" wrapText="1"/>
    </xf>
    <xf numFmtId="0" fontId="23" fillId="3" borderId="14" xfId="0" applyFont="1" applyFill="1" applyBorder="1" applyAlignment="1">
      <alignment horizontal="center" vertical="center"/>
    </xf>
    <xf numFmtId="0" fontId="11" fillId="2" borderId="40" xfId="0" applyFont="1" applyFill="1" applyBorder="1" applyAlignment="1">
      <alignment horizontal="center" vertical="center"/>
    </xf>
    <xf numFmtId="0" fontId="19" fillId="12" borderId="0" xfId="0" applyFont="1" applyFill="1" applyAlignment="1">
      <alignment vertical="center"/>
    </xf>
    <xf numFmtId="0" fontId="19" fillId="12" borderId="0" xfId="0" applyFont="1" applyFill="1" applyAlignment="1">
      <alignment horizontal="right" vertical="center"/>
    </xf>
    <xf numFmtId="0" fontId="25" fillId="5" borderId="0" xfId="0" applyFont="1" applyFill="1" applyAlignment="1">
      <alignment horizontal="center" vertical="center"/>
    </xf>
    <xf numFmtId="0" fontId="27" fillId="9" borderId="57" xfId="0" applyFont="1" applyFill="1" applyBorder="1" applyAlignment="1">
      <alignment horizontal="center" vertical="center" wrapText="1"/>
    </xf>
    <xf numFmtId="0" fontId="37" fillId="0" borderId="0" xfId="0" applyFont="1" applyAlignment="1">
      <alignment horizontal="center" vertical="center"/>
    </xf>
    <xf numFmtId="0" fontId="4" fillId="0" borderId="1" xfId="0" applyFont="1" applyBorder="1" applyAlignment="1">
      <alignment horizontal="center" vertical="center"/>
    </xf>
    <xf numFmtId="0" fontId="23" fillId="3" borderId="0" xfId="0" applyFont="1" applyFill="1" applyAlignment="1">
      <alignment horizontal="center" vertical="center"/>
    </xf>
    <xf numFmtId="0" fontId="4" fillId="0" borderId="0" xfId="0" applyFont="1" applyAlignment="1">
      <alignment horizontal="left" vertical="top" wrapText="1" indent="1"/>
    </xf>
    <xf numFmtId="0" fontId="4" fillId="0" borderId="0" xfId="0" applyFont="1" applyAlignment="1">
      <alignment horizontal="left" vertical="top" indent="1"/>
    </xf>
    <xf numFmtId="0" fontId="9" fillId="0" borderId="0" xfId="0" applyFont="1" applyAlignment="1">
      <alignment horizontal="left" vertical="top" wrapText="1" indent="1"/>
    </xf>
    <xf numFmtId="0" fontId="9" fillId="0" borderId="33" xfId="0" applyFont="1" applyBorder="1" applyAlignment="1">
      <alignment horizontal="left" vertical="top" wrapText="1" indent="1"/>
    </xf>
    <xf numFmtId="0" fontId="19" fillId="3" borderId="47" xfId="0" applyFont="1" applyFill="1" applyBorder="1" applyAlignment="1">
      <alignment horizontal="centerContinuous" vertical="center"/>
    </xf>
    <xf numFmtId="0" fontId="19" fillId="3" borderId="48" xfId="0" applyFont="1" applyFill="1" applyBorder="1" applyAlignment="1">
      <alignment horizontal="centerContinuous" vertical="center"/>
    </xf>
    <xf numFmtId="0" fontId="19" fillId="3" borderId="0" xfId="0" applyFont="1" applyFill="1" applyAlignment="1">
      <alignment vertical="center"/>
    </xf>
    <xf numFmtId="0" fontId="25" fillId="7" borderId="52" xfId="0" applyFont="1" applyFill="1" applyBorder="1" applyAlignment="1">
      <alignment horizontal="center" vertical="center"/>
    </xf>
    <xf numFmtId="0" fontId="25" fillId="6" borderId="52" xfId="0" applyFont="1" applyFill="1" applyBorder="1" applyAlignment="1">
      <alignment horizontal="center" vertical="center"/>
    </xf>
    <xf numFmtId="0" fontId="40" fillId="13" borderId="52" xfId="0" applyFont="1" applyFill="1" applyBorder="1" applyAlignment="1">
      <alignment horizontal="center" vertical="center"/>
    </xf>
    <xf numFmtId="0" fontId="39" fillId="5" borderId="52" xfId="0" applyFont="1" applyFill="1" applyBorder="1" applyAlignment="1">
      <alignment horizontal="center" vertical="center"/>
    </xf>
    <xf numFmtId="0" fontId="19" fillId="3" borderId="56" xfId="0" applyFont="1" applyFill="1" applyBorder="1" applyAlignment="1">
      <alignment vertical="center"/>
    </xf>
    <xf numFmtId="10" fontId="39" fillId="0" borderId="52" xfId="2" applyNumberFormat="1" applyFont="1" applyFill="1" applyBorder="1" applyAlignment="1">
      <alignment horizontal="center" vertical="center"/>
    </xf>
    <xf numFmtId="0" fontId="41" fillId="7" borderId="52" xfId="0" applyFont="1" applyFill="1" applyBorder="1" applyAlignment="1">
      <alignment horizontal="center" vertical="center"/>
    </xf>
    <xf numFmtId="0" fontId="26" fillId="6" borderId="52" xfId="0" applyFont="1" applyFill="1" applyBorder="1" applyAlignment="1">
      <alignment horizontal="center" vertical="center"/>
    </xf>
    <xf numFmtId="0" fontId="9" fillId="13" borderId="52" xfId="0" applyFont="1" applyFill="1" applyBorder="1" applyAlignment="1">
      <alignment horizontal="center" vertical="center"/>
    </xf>
    <xf numFmtId="0" fontId="8" fillId="3" borderId="16" xfId="0" applyFont="1" applyFill="1" applyBorder="1" applyAlignment="1">
      <alignment horizontal="center" vertical="center"/>
    </xf>
    <xf numFmtId="0" fontId="9" fillId="10" borderId="61" xfId="0" applyFont="1" applyFill="1" applyBorder="1" applyAlignment="1">
      <alignment horizontal="center" vertical="center"/>
    </xf>
    <xf numFmtId="10" fontId="9" fillId="10" borderId="61" xfId="2" applyNumberFormat="1" applyFont="1" applyFill="1" applyBorder="1" applyAlignment="1">
      <alignment horizontal="center" vertical="center"/>
    </xf>
    <xf numFmtId="0" fontId="23" fillId="3" borderId="0" xfId="0" applyFont="1" applyFill="1" applyAlignment="1">
      <alignment horizontal="right" vertical="center"/>
    </xf>
    <xf numFmtId="0" fontId="6" fillId="3" borderId="0" xfId="0" applyFont="1" applyFill="1" applyAlignment="1">
      <alignment horizontal="left" vertical="center" indent="1"/>
    </xf>
    <xf numFmtId="0" fontId="6" fillId="0" borderId="6" xfId="0" applyFont="1" applyBorder="1" applyAlignment="1">
      <alignment horizontal="centerContinuous" vertical="center"/>
    </xf>
    <xf numFmtId="0" fontId="42" fillId="0" borderId="14" xfId="0" applyFont="1" applyBorder="1" applyAlignment="1">
      <alignment horizontal="center" vertical="center"/>
    </xf>
    <xf numFmtId="0" fontId="42" fillId="0" borderId="5" xfId="0" applyFont="1" applyBorder="1" applyAlignment="1">
      <alignment horizontal="center" vertical="center"/>
    </xf>
    <xf numFmtId="0" fontId="9" fillId="0" borderId="62" xfId="0" applyFont="1" applyBorder="1" applyAlignment="1">
      <alignment horizontal="center" vertical="center"/>
    </xf>
    <xf numFmtId="10" fontId="43" fillId="0" borderId="0" xfId="0" applyNumberFormat="1" applyFont="1" applyAlignment="1">
      <alignment horizontal="center" vertical="center"/>
    </xf>
    <xf numFmtId="0" fontId="6" fillId="6" borderId="63" xfId="0" applyFont="1" applyFill="1" applyBorder="1" applyAlignment="1">
      <alignment horizontal="center" vertical="center"/>
    </xf>
    <xf numFmtId="0" fontId="6" fillId="0" borderId="8" xfId="0" applyFont="1" applyBorder="1" applyAlignment="1">
      <alignment horizontal="centerContinuous" vertical="center"/>
    </xf>
    <xf numFmtId="0" fontId="6" fillId="7" borderId="64" xfId="0" applyFont="1" applyFill="1" applyBorder="1" applyAlignment="1">
      <alignment horizontal="center" vertical="center"/>
    </xf>
    <xf numFmtId="0" fontId="9" fillId="0" borderId="67" xfId="0" applyFont="1" applyBorder="1" applyAlignment="1">
      <alignment horizontal="center" vertical="center"/>
    </xf>
    <xf numFmtId="0" fontId="42" fillId="0" borderId="12" xfId="0" applyFont="1" applyBorder="1" applyAlignment="1">
      <alignment horizontal="center" vertical="center"/>
    </xf>
    <xf numFmtId="0" fontId="14" fillId="0" borderId="0" xfId="0" applyFont="1" applyAlignment="1">
      <alignment horizontal="right" vertical="center"/>
    </xf>
    <xf numFmtId="0" fontId="14" fillId="0" borderId="0" xfId="0" applyFont="1" applyAlignment="1">
      <alignment horizontal="center" vertical="center"/>
    </xf>
    <xf numFmtId="0" fontId="4" fillId="0" borderId="21" xfId="0" applyFont="1" applyBorder="1" applyAlignment="1">
      <alignment horizontal="left" vertical="center"/>
    </xf>
    <xf numFmtId="0" fontId="6" fillId="3" borderId="52" xfId="0" applyFont="1" applyFill="1" applyBorder="1" applyAlignment="1">
      <alignment horizontal="left" vertical="center"/>
    </xf>
    <xf numFmtId="0" fontId="6" fillId="3" borderId="2" xfId="0" quotePrefix="1" applyFont="1" applyFill="1" applyBorder="1" applyAlignment="1">
      <alignment horizontal="center" vertical="center" wrapText="1"/>
    </xf>
    <xf numFmtId="0" fontId="44" fillId="4" borderId="52" xfId="0" applyFont="1" applyFill="1" applyBorder="1" applyAlignment="1">
      <alignment horizontal="center" vertical="center"/>
    </xf>
    <xf numFmtId="0" fontId="45" fillId="4" borderId="52" xfId="0" applyFont="1" applyFill="1" applyBorder="1" applyAlignment="1">
      <alignment horizontal="center" vertical="center"/>
    </xf>
    <xf numFmtId="10" fontId="43"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14" fontId="7" fillId="0" borderId="25" xfId="1" applyNumberFormat="1" applyFont="1" applyBorder="1" applyAlignment="1">
      <alignment horizontal="left" vertical="center" wrapText="1"/>
    </xf>
    <xf numFmtId="14" fontId="7" fillId="0" borderId="29" xfId="1" applyNumberFormat="1" applyFont="1" applyBorder="1" applyAlignment="1">
      <alignment horizontal="left" vertical="center" wrapText="1"/>
    </xf>
    <xf numFmtId="14" fontId="7" fillId="0" borderId="26" xfId="1" applyNumberFormat="1" applyFont="1" applyBorder="1" applyAlignment="1">
      <alignment horizontal="left" vertical="center" wrapText="1"/>
    </xf>
    <xf numFmtId="49" fontId="9" fillId="0" borderId="46" xfId="0" applyNumberFormat="1" applyFont="1" applyBorder="1" applyAlignment="1">
      <alignment horizontal="left" vertical="center" wrapText="1" readingOrder="1"/>
    </xf>
    <xf numFmtId="49" fontId="9" fillId="0" borderId="14" xfId="0" applyNumberFormat="1" applyFont="1" applyBorder="1" applyAlignment="1">
      <alignment horizontal="left" vertical="center" wrapText="1" readingOrder="1"/>
    </xf>
    <xf numFmtId="0" fontId="9" fillId="10" borderId="59" xfId="0" applyFont="1" applyFill="1" applyBorder="1" applyAlignment="1">
      <alignment horizontal="right" vertical="center"/>
    </xf>
    <xf numFmtId="0" fontId="9" fillId="10" borderId="60" xfId="0" applyFont="1" applyFill="1" applyBorder="1" applyAlignment="1">
      <alignment horizontal="right" vertical="center"/>
    </xf>
    <xf numFmtId="0" fontId="19" fillId="3" borderId="50" xfId="0" applyFont="1" applyFill="1" applyBorder="1" applyAlignment="1">
      <alignment horizontal="center" vertical="center"/>
    </xf>
    <xf numFmtId="0" fontId="19" fillId="3" borderId="51" xfId="0" applyFont="1" applyFill="1" applyBorder="1" applyAlignment="1">
      <alignment horizontal="center" vertical="center"/>
    </xf>
    <xf numFmtId="0" fontId="6" fillId="3" borderId="50" xfId="0" applyFont="1" applyFill="1" applyBorder="1" applyAlignment="1">
      <alignment horizontal="right" vertical="center"/>
    </xf>
    <xf numFmtId="0" fontId="6" fillId="3" borderId="53" xfId="0" applyFont="1" applyFill="1" applyBorder="1" applyAlignment="1">
      <alignment horizontal="right" vertical="center"/>
    </xf>
    <xf numFmtId="0" fontId="9" fillId="0" borderId="30" xfId="0" applyFont="1" applyBorder="1" applyAlignment="1">
      <alignment horizontal="left" vertical="top" wrapText="1" indent="1"/>
    </xf>
    <xf numFmtId="0" fontId="9" fillId="0" borderId="31" xfId="0" applyFont="1" applyBorder="1" applyAlignment="1">
      <alignment horizontal="left" vertical="top" wrapText="1" indent="1"/>
    </xf>
    <xf numFmtId="0" fontId="9" fillId="0" borderId="32" xfId="0" applyFont="1" applyBorder="1" applyAlignment="1">
      <alignment horizontal="left" vertical="top" wrapText="1" indent="1"/>
    </xf>
    <xf numFmtId="0" fontId="19" fillId="3" borderId="48" xfId="0" applyFont="1" applyFill="1" applyBorder="1" applyAlignment="1">
      <alignment horizontal="center" vertical="center"/>
    </xf>
    <xf numFmtId="0" fontId="19" fillId="3" borderId="58" xfId="0" applyFont="1" applyFill="1" applyBorder="1" applyAlignment="1">
      <alignment horizontal="center" vertical="center"/>
    </xf>
    <xf numFmtId="0" fontId="38" fillId="9" borderId="49" xfId="0" applyFont="1" applyFill="1" applyBorder="1" applyAlignment="1">
      <alignment horizontal="right" vertical="center"/>
    </xf>
    <xf numFmtId="0" fontId="38" fillId="9" borderId="0" xfId="0" applyFont="1" applyFill="1" applyAlignment="1">
      <alignment horizontal="right" vertical="center"/>
    </xf>
    <xf numFmtId="0" fontId="38" fillId="9" borderId="54" xfId="0" applyFont="1" applyFill="1" applyBorder="1" applyAlignment="1">
      <alignment horizontal="right" vertical="center"/>
    </xf>
    <xf numFmtId="10" fontId="5" fillId="0" borderId="52" xfId="2" applyNumberFormat="1" applyFont="1" applyBorder="1" applyAlignment="1">
      <alignment horizontal="center" vertical="center"/>
    </xf>
    <xf numFmtId="44" fontId="38" fillId="9" borderId="49" xfId="7" applyFont="1" applyFill="1" applyBorder="1" applyAlignment="1">
      <alignment horizontal="right" vertical="center"/>
    </xf>
    <xf numFmtId="44" fontId="38" fillId="9" borderId="0" xfId="7" applyFont="1" applyFill="1" applyBorder="1" applyAlignment="1">
      <alignment horizontal="right" vertical="center"/>
    </xf>
    <xf numFmtId="44" fontId="38" fillId="9" borderId="54" xfId="7" applyFont="1" applyFill="1" applyBorder="1" applyAlignment="1">
      <alignment horizontal="right" vertical="center"/>
    </xf>
    <xf numFmtId="0" fontId="38" fillId="9" borderId="55" xfId="0" applyFont="1" applyFill="1" applyBorder="1" applyAlignment="1">
      <alignment horizontal="right" vertical="center"/>
    </xf>
    <xf numFmtId="0" fontId="38" fillId="9" borderId="56" xfId="0" applyFont="1" applyFill="1" applyBorder="1" applyAlignment="1">
      <alignment horizontal="right" vertical="center"/>
    </xf>
    <xf numFmtId="164" fontId="25" fillId="5" borderId="0" xfId="6" applyNumberFormat="1" applyFont="1" applyFill="1" applyBorder="1" applyAlignment="1">
      <alignment horizontal="center" vertical="center"/>
    </xf>
    <xf numFmtId="0" fontId="4" fillId="0" borderId="16" xfId="0" applyFont="1" applyBorder="1" applyAlignment="1">
      <alignment horizontal="left" vertical="top" wrapText="1" indent="1"/>
    </xf>
    <xf numFmtId="0" fontId="4" fillId="0" borderId="13" xfId="0" applyFont="1" applyBorder="1" applyAlignment="1">
      <alignment horizontal="left" vertical="top" indent="1"/>
    </xf>
    <xf numFmtId="0" fontId="39" fillId="0" borderId="50" xfId="0" applyFont="1" applyBorder="1" applyAlignment="1">
      <alignment horizontal="center" vertical="center"/>
    </xf>
    <xf numFmtId="0" fontId="39" fillId="0" borderId="51" xfId="0" applyFont="1" applyBorder="1" applyAlignment="1">
      <alignment horizontal="center" vertical="center"/>
    </xf>
    <xf numFmtId="0" fontId="39" fillId="0" borderId="53" xfId="0" applyFont="1" applyBorder="1" applyAlignment="1">
      <alignment horizontal="center" vertical="center"/>
    </xf>
    <xf numFmtId="0" fontId="43" fillId="0" borderId="10" xfId="0" applyFont="1" applyBorder="1" applyAlignment="1">
      <alignment horizontal="center" vertical="center"/>
    </xf>
    <xf numFmtId="0" fontId="42" fillId="0" borderId="65" xfId="0" applyFont="1" applyBorder="1" applyAlignment="1">
      <alignment horizontal="right" vertical="center"/>
    </xf>
    <xf numFmtId="0" fontId="42" fillId="0" borderId="10" xfId="0" applyFont="1" applyBorder="1" applyAlignment="1">
      <alignment horizontal="right" vertical="center"/>
    </xf>
    <xf numFmtId="0" fontId="42" fillId="0" borderId="66" xfId="0" applyFont="1" applyBorder="1" applyAlignment="1">
      <alignment horizontal="right" vertical="center"/>
    </xf>
    <xf numFmtId="0" fontId="6" fillId="3" borderId="8" xfId="0" applyFont="1" applyFill="1" applyBorder="1" applyAlignment="1">
      <alignment horizontal="center" vertical="center"/>
    </xf>
    <xf numFmtId="0" fontId="6" fillId="3" borderId="12" xfId="0" applyFont="1" applyFill="1" applyBorder="1" applyAlignment="1">
      <alignment horizontal="center" vertical="center"/>
    </xf>
    <xf numFmtId="0" fontId="8" fillId="14" borderId="65" xfId="0" applyFont="1" applyFill="1" applyBorder="1" applyAlignment="1">
      <alignment horizontal="right" vertical="center"/>
    </xf>
    <xf numFmtId="0" fontId="8" fillId="14" borderId="10" xfId="0" applyFont="1" applyFill="1" applyBorder="1" applyAlignment="1">
      <alignment horizontal="right" vertical="center"/>
    </xf>
    <xf numFmtId="0" fontId="8" fillId="6" borderId="65" xfId="0" applyFont="1" applyFill="1" applyBorder="1" applyAlignment="1">
      <alignment horizontal="right" vertical="center"/>
    </xf>
    <xf numFmtId="0" fontId="8" fillId="6" borderId="10" xfId="0" applyFont="1" applyFill="1" applyBorder="1" applyAlignment="1">
      <alignment horizontal="right" vertical="center"/>
    </xf>
    <xf numFmtId="0" fontId="14" fillId="4" borderId="65" xfId="0" applyFont="1" applyFill="1" applyBorder="1" applyAlignment="1">
      <alignment horizontal="right" vertical="center"/>
    </xf>
    <xf numFmtId="0" fontId="14" fillId="4" borderId="10" xfId="0" applyFont="1" applyFill="1" applyBorder="1" applyAlignment="1">
      <alignment horizontal="right" vertical="center"/>
    </xf>
    <xf numFmtId="0" fontId="14" fillId="4" borderId="37" xfId="0" applyFont="1" applyFill="1" applyBorder="1" applyAlignment="1">
      <alignment horizontal="right" vertical="center"/>
    </xf>
    <xf numFmtId="0" fontId="32" fillId="3" borderId="0" xfId="0" applyFont="1" applyFill="1" applyAlignment="1">
      <alignment horizontal="center" vertical="center"/>
    </xf>
    <xf numFmtId="0" fontId="32" fillId="3" borderId="1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37" xfId="0" applyFont="1" applyFill="1" applyBorder="1" applyAlignment="1">
      <alignment horizontal="center" vertical="center"/>
    </xf>
    <xf numFmtId="49" fontId="12" fillId="5" borderId="20" xfId="0" applyNumberFormat="1" applyFont="1" applyFill="1" applyBorder="1" applyAlignment="1">
      <alignment horizontal="center" vertical="center"/>
    </xf>
    <xf numFmtId="49" fontId="12" fillId="5" borderId="14" xfId="0" applyNumberFormat="1" applyFont="1" applyFill="1" applyBorder="1" applyAlignment="1">
      <alignment horizontal="center" vertical="center"/>
    </xf>
    <xf numFmtId="49" fontId="12" fillId="5" borderId="45" xfId="0" applyNumberFormat="1" applyFont="1" applyFill="1" applyBorder="1" applyAlignment="1">
      <alignment horizontal="center" vertical="center"/>
    </xf>
  </cellXfs>
  <cellStyles count="8">
    <cellStyle name="Entête tableau" xfId="4" xr:uid="{A714AF0C-251A-461F-80D1-60B11E96C61B}"/>
    <cellStyle name="Excel Built-in Hyperlink" xfId="1" xr:uid="{07440515-244B-4CB0-B1F0-5F62EDCE6843}"/>
    <cellStyle name="Lien hypertexte" xfId="3" builtinId="8"/>
    <cellStyle name="Milliers" xfId="6" builtinId="3"/>
    <cellStyle name="Monétaire" xfId="7" builtinId="4"/>
    <cellStyle name="Normal" xfId="0" builtinId="0"/>
    <cellStyle name="Normal 2" xfId="5" xr:uid="{35811A4B-6FFB-4590-999F-DB6151564499}"/>
    <cellStyle name="Pourcentage" xfId="2" builtinId="5"/>
  </cellStyles>
  <dxfs count="0"/>
  <tableStyles count="0" defaultTableStyle="TableStyleMedium2" defaultPivotStyle="PivotStyleLight16"/>
  <colors>
    <mruColors>
      <color rgb="FFECECEC"/>
      <color rgb="FF272936"/>
      <color rgb="FFF7B011"/>
      <color rgb="FFFF9900"/>
      <color rgb="FF056FAC"/>
      <color rgb="FF0070AD"/>
      <color rgb="FF12A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ccessibilite.numerique.gouv.fr/obligations/evaluation-conformi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hyperlink" Target="https://accessibilite.numerique.gouv.fr/methode/criteres-et-tests/" TargetMode="External"/><Relationship Id="rId21" Type="http://schemas.openxmlformats.org/officeDocument/2006/relationships/hyperlink" Target="https://accessibilite.numerique.gouv.fr/methode/criteres-et-tests/" TargetMode="External"/><Relationship Id="rId42" Type="http://schemas.openxmlformats.org/officeDocument/2006/relationships/hyperlink" Target="https://accessibilite.numerique.gouv.fr/methode/criteres-et-tests/" TargetMode="External"/><Relationship Id="rId47" Type="http://schemas.openxmlformats.org/officeDocument/2006/relationships/hyperlink" Target="https://accessibilite.numerique.gouv.fr/methode/criteres-et-tests/" TargetMode="External"/><Relationship Id="rId63" Type="http://schemas.openxmlformats.org/officeDocument/2006/relationships/hyperlink" Target="https://accessibilite.numerique.gouv.fr/methode/criteres-et-tests/" TargetMode="External"/><Relationship Id="rId68" Type="http://schemas.openxmlformats.org/officeDocument/2006/relationships/hyperlink" Target="https://accessibilite.numerique.gouv.fr/methode/criteres-et-tests/" TargetMode="External"/><Relationship Id="rId84" Type="http://schemas.openxmlformats.org/officeDocument/2006/relationships/hyperlink" Target="https://accessibilite.numerique.gouv.fr/methode/criteres-et-tests/" TargetMode="External"/><Relationship Id="rId89" Type="http://schemas.openxmlformats.org/officeDocument/2006/relationships/hyperlink" Target="https://accessibilite.numerique.gouv.fr/methode/criteres-et-tests/" TargetMode="External"/><Relationship Id="rId7" Type="http://schemas.openxmlformats.org/officeDocument/2006/relationships/hyperlink" Target="https://accessibilite.numerique.gouv.fr/methode/criteres-et-tests/" TargetMode="External"/><Relationship Id="rId71" Type="http://schemas.openxmlformats.org/officeDocument/2006/relationships/hyperlink" Target="https://accessibilite.numerique.gouv.fr/methode/criteres-et-tests/" TargetMode="External"/><Relationship Id="rId92" Type="http://schemas.openxmlformats.org/officeDocument/2006/relationships/hyperlink" Target="https://accessibilite.numerique.gouv.fr/methode/criteres-et-tests/" TargetMode="External"/><Relationship Id="rId2" Type="http://schemas.openxmlformats.org/officeDocument/2006/relationships/hyperlink" Target="https://accessibilite.numerique.gouv.fr/methode/criteres-et-tests/" TargetMode="External"/><Relationship Id="rId16" Type="http://schemas.openxmlformats.org/officeDocument/2006/relationships/hyperlink" Target="https://accessibilite.numerique.gouv.fr/methode/criteres-et-tests/" TargetMode="External"/><Relationship Id="rId29" Type="http://schemas.openxmlformats.org/officeDocument/2006/relationships/hyperlink" Target="https://accessibilite.numerique.gouv.fr/methode/criteres-et-tests/" TargetMode="External"/><Relationship Id="rId107" Type="http://schemas.openxmlformats.org/officeDocument/2006/relationships/printerSettings" Target="../printerSettings/printerSettings3.bin"/><Relationship Id="rId11" Type="http://schemas.openxmlformats.org/officeDocument/2006/relationships/hyperlink" Target="https://accessibilite.numerique.gouv.fr/methode/criteres-et-tests/" TargetMode="External"/><Relationship Id="rId24" Type="http://schemas.openxmlformats.org/officeDocument/2006/relationships/hyperlink" Target="https://accessibilite.numerique.gouv.fr/methode/criteres-et-tests/" TargetMode="External"/><Relationship Id="rId32" Type="http://schemas.openxmlformats.org/officeDocument/2006/relationships/hyperlink" Target="https://accessibilite.numerique.gouv.fr/methode/criteres-et-tests/" TargetMode="External"/><Relationship Id="rId37" Type="http://schemas.openxmlformats.org/officeDocument/2006/relationships/hyperlink" Target="https://accessibilite.numerique.gouv.fr/methode/criteres-et-tests/" TargetMode="External"/><Relationship Id="rId40" Type="http://schemas.openxmlformats.org/officeDocument/2006/relationships/hyperlink" Target="https://accessibilite.numerique.gouv.fr/methode/criteres-et-tests/" TargetMode="External"/><Relationship Id="rId45" Type="http://schemas.openxmlformats.org/officeDocument/2006/relationships/hyperlink" Target="https://accessibilite.numerique.gouv.fr/methode/criteres-et-tests/" TargetMode="External"/><Relationship Id="rId53" Type="http://schemas.openxmlformats.org/officeDocument/2006/relationships/hyperlink" Target="https://accessibilite.numerique.gouv.fr/methode/criteres-et-tests/" TargetMode="External"/><Relationship Id="rId58" Type="http://schemas.openxmlformats.org/officeDocument/2006/relationships/hyperlink" Target="https://accessibilite.numerique.gouv.fr/methode/criteres-et-tests/" TargetMode="External"/><Relationship Id="rId66" Type="http://schemas.openxmlformats.org/officeDocument/2006/relationships/hyperlink" Target="https://accessibilite.numerique.gouv.fr/methode/criteres-et-tests/" TargetMode="External"/><Relationship Id="rId74" Type="http://schemas.openxmlformats.org/officeDocument/2006/relationships/hyperlink" Target="https://accessibilite.numerique.gouv.fr/methode/criteres-et-tests/" TargetMode="External"/><Relationship Id="rId79" Type="http://schemas.openxmlformats.org/officeDocument/2006/relationships/hyperlink" Target="https://accessibilite.numerique.gouv.fr/methode/criteres-et-tests/" TargetMode="External"/><Relationship Id="rId87" Type="http://schemas.openxmlformats.org/officeDocument/2006/relationships/hyperlink" Target="https://accessibilite.numerique.gouv.fr/methode/criteres-et-tests/" TargetMode="External"/><Relationship Id="rId102" Type="http://schemas.openxmlformats.org/officeDocument/2006/relationships/hyperlink" Target="https://accessibilite.numerique.gouv.fr/methode/criteres-et-tests/" TargetMode="External"/><Relationship Id="rId5" Type="http://schemas.openxmlformats.org/officeDocument/2006/relationships/hyperlink" Target="https://accessibilite.numerique.gouv.fr/methode/criteres-et-tests/" TargetMode="External"/><Relationship Id="rId61" Type="http://schemas.openxmlformats.org/officeDocument/2006/relationships/hyperlink" Target="https://accessibilite.numerique.gouv.fr/methode/criteres-et-tests/" TargetMode="External"/><Relationship Id="rId82" Type="http://schemas.openxmlformats.org/officeDocument/2006/relationships/hyperlink" Target="https://accessibilite.numerique.gouv.fr/methode/criteres-et-tests/" TargetMode="External"/><Relationship Id="rId90" Type="http://schemas.openxmlformats.org/officeDocument/2006/relationships/hyperlink" Target="https://accessibilite.numerique.gouv.fr/methode/criteres-et-tests/" TargetMode="External"/><Relationship Id="rId95" Type="http://schemas.openxmlformats.org/officeDocument/2006/relationships/hyperlink" Target="https://accessibilite.numerique.gouv.fr/methode/criteres-et-tests/" TargetMode="External"/><Relationship Id="rId19" Type="http://schemas.openxmlformats.org/officeDocument/2006/relationships/hyperlink" Target="https://accessibilite.numerique.gouv.fr/methode/criteres-et-tests/" TargetMode="External"/><Relationship Id="rId14" Type="http://schemas.openxmlformats.org/officeDocument/2006/relationships/hyperlink" Target="https://accessibilite.numerique.gouv.fr/methode/criteres-et-tests/" TargetMode="External"/><Relationship Id="rId22" Type="http://schemas.openxmlformats.org/officeDocument/2006/relationships/hyperlink" Target="https://accessibilite.numerique.gouv.fr/methode/criteres-et-tests/" TargetMode="External"/><Relationship Id="rId27" Type="http://schemas.openxmlformats.org/officeDocument/2006/relationships/hyperlink" Target="https://accessibilite.numerique.gouv.fr/methode/criteres-et-tests/" TargetMode="External"/><Relationship Id="rId30" Type="http://schemas.openxmlformats.org/officeDocument/2006/relationships/hyperlink" Target="https://accessibilite.numerique.gouv.fr/methode/criteres-et-tests/" TargetMode="External"/><Relationship Id="rId35" Type="http://schemas.openxmlformats.org/officeDocument/2006/relationships/hyperlink" Target="https://accessibilite.numerique.gouv.fr/methode/criteres-et-tests/" TargetMode="External"/><Relationship Id="rId43" Type="http://schemas.openxmlformats.org/officeDocument/2006/relationships/hyperlink" Target="https://accessibilite.numerique.gouv.fr/methode/criteres-et-tests/" TargetMode="External"/><Relationship Id="rId48" Type="http://schemas.openxmlformats.org/officeDocument/2006/relationships/hyperlink" Target="https://accessibilite.numerique.gouv.fr/methode/criteres-et-tests/" TargetMode="External"/><Relationship Id="rId56" Type="http://schemas.openxmlformats.org/officeDocument/2006/relationships/hyperlink" Target="https://accessibilite.numerique.gouv.fr/methode/criteres-et-tests/" TargetMode="External"/><Relationship Id="rId64" Type="http://schemas.openxmlformats.org/officeDocument/2006/relationships/hyperlink" Target="https://accessibilite.numerique.gouv.fr/methode/criteres-et-tests/" TargetMode="External"/><Relationship Id="rId69" Type="http://schemas.openxmlformats.org/officeDocument/2006/relationships/hyperlink" Target="https://accessibilite.numerique.gouv.fr/methode/criteres-et-tests/" TargetMode="External"/><Relationship Id="rId77" Type="http://schemas.openxmlformats.org/officeDocument/2006/relationships/hyperlink" Target="https://accessibilite.numerique.gouv.fr/methode/criteres-et-tests/" TargetMode="External"/><Relationship Id="rId100" Type="http://schemas.openxmlformats.org/officeDocument/2006/relationships/hyperlink" Target="https://accessibilite.numerique.gouv.fr/methode/criteres-et-tests/" TargetMode="External"/><Relationship Id="rId105" Type="http://schemas.openxmlformats.org/officeDocument/2006/relationships/hyperlink" Target="https://accessibilite.numerique.gouv.fr/methode/criteres-et-tests/" TargetMode="External"/><Relationship Id="rId8" Type="http://schemas.openxmlformats.org/officeDocument/2006/relationships/hyperlink" Target="https://accessibilite.numerique.gouv.fr/methode/criteres-et-tests/" TargetMode="External"/><Relationship Id="rId51" Type="http://schemas.openxmlformats.org/officeDocument/2006/relationships/hyperlink" Target="https://accessibilite.numerique.gouv.fr/methode/criteres-et-tests/" TargetMode="External"/><Relationship Id="rId72" Type="http://schemas.openxmlformats.org/officeDocument/2006/relationships/hyperlink" Target="https://accessibilite.numerique.gouv.fr/methode/criteres-et-tests/" TargetMode="External"/><Relationship Id="rId80" Type="http://schemas.openxmlformats.org/officeDocument/2006/relationships/hyperlink" Target="https://accessibilite.numerique.gouv.fr/methode/criteres-et-tests/" TargetMode="External"/><Relationship Id="rId85" Type="http://schemas.openxmlformats.org/officeDocument/2006/relationships/hyperlink" Target="https://accessibilite.numerique.gouv.fr/methode/criteres-et-tests/" TargetMode="External"/><Relationship Id="rId93" Type="http://schemas.openxmlformats.org/officeDocument/2006/relationships/hyperlink" Target="https://accessibilite.numerique.gouv.fr/methode/criteres-et-tests/" TargetMode="External"/><Relationship Id="rId98" Type="http://schemas.openxmlformats.org/officeDocument/2006/relationships/hyperlink" Target="https://accessibilite.numerique.gouv.fr/methode/criteres-et-tests/" TargetMode="External"/><Relationship Id="rId3" Type="http://schemas.openxmlformats.org/officeDocument/2006/relationships/hyperlink" Target="https://accessibilite.numerique.gouv.fr/methode/criteres-et-tests/" TargetMode="External"/><Relationship Id="rId12" Type="http://schemas.openxmlformats.org/officeDocument/2006/relationships/hyperlink" Target="https://accessibilite.numerique.gouv.fr/methode/criteres-et-tests/" TargetMode="External"/><Relationship Id="rId17" Type="http://schemas.openxmlformats.org/officeDocument/2006/relationships/hyperlink" Target="https://accessibilite.numerique.gouv.fr/methode/criteres-et-tests/" TargetMode="External"/><Relationship Id="rId25" Type="http://schemas.openxmlformats.org/officeDocument/2006/relationships/hyperlink" Target="https://accessibilite.numerique.gouv.fr/methode/criteres-et-tests/" TargetMode="External"/><Relationship Id="rId33" Type="http://schemas.openxmlformats.org/officeDocument/2006/relationships/hyperlink" Target="https://accessibilite.numerique.gouv.fr/methode/criteres-et-tests/" TargetMode="External"/><Relationship Id="rId38" Type="http://schemas.openxmlformats.org/officeDocument/2006/relationships/hyperlink" Target="https://accessibilite.numerique.gouv.fr/methode/criteres-et-tests/" TargetMode="External"/><Relationship Id="rId46" Type="http://schemas.openxmlformats.org/officeDocument/2006/relationships/hyperlink" Target="https://accessibilite.numerique.gouv.fr/methode/criteres-et-tests/" TargetMode="External"/><Relationship Id="rId59" Type="http://schemas.openxmlformats.org/officeDocument/2006/relationships/hyperlink" Target="https://accessibilite.numerique.gouv.fr/methode/criteres-et-tests/" TargetMode="External"/><Relationship Id="rId67" Type="http://schemas.openxmlformats.org/officeDocument/2006/relationships/hyperlink" Target="https://accessibilite.numerique.gouv.fr/methode/criteres-et-tests/" TargetMode="External"/><Relationship Id="rId103" Type="http://schemas.openxmlformats.org/officeDocument/2006/relationships/hyperlink" Target="https://accessibilite.numerique.gouv.fr/methode/criteres-et-tests/" TargetMode="External"/><Relationship Id="rId20" Type="http://schemas.openxmlformats.org/officeDocument/2006/relationships/hyperlink" Target="https://accessibilite.numerique.gouv.fr/methode/criteres-et-tests/" TargetMode="External"/><Relationship Id="rId41" Type="http://schemas.openxmlformats.org/officeDocument/2006/relationships/hyperlink" Target="https://accessibilite.numerique.gouv.fr/methode/criteres-et-tests/" TargetMode="External"/><Relationship Id="rId54" Type="http://schemas.openxmlformats.org/officeDocument/2006/relationships/hyperlink" Target="https://accessibilite.numerique.gouv.fr/methode/criteres-et-tests/" TargetMode="External"/><Relationship Id="rId62" Type="http://schemas.openxmlformats.org/officeDocument/2006/relationships/hyperlink" Target="https://accessibilite.numerique.gouv.fr/methode/criteres-et-tests/" TargetMode="External"/><Relationship Id="rId70" Type="http://schemas.openxmlformats.org/officeDocument/2006/relationships/hyperlink" Target="https://accessibilite.numerique.gouv.fr/methode/criteres-et-tests/" TargetMode="External"/><Relationship Id="rId75" Type="http://schemas.openxmlformats.org/officeDocument/2006/relationships/hyperlink" Target="https://accessibilite.numerique.gouv.fr/methode/criteres-et-tests/" TargetMode="External"/><Relationship Id="rId83" Type="http://schemas.openxmlformats.org/officeDocument/2006/relationships/hyperlink" Target="https://accessibilite.numerique.gouv.fr/methode/criteres-et-tests/" TargetMode="External"/><Relationship Id="rId88" Type="http://schemas.openxmlformats.org/officeDocument/2006/relationships/hyperlink" Target="https://accessibilite.numerique.gouv.fr/methode/criteres-et-tests/" TargetMode="External"/><Relationship Id="rId91" Type="http://schemas.openxmlformats.org/officeDocument/2006/relationships/hyperlink" Target="https://accessibilite.numerique.gouv.fr/methode/criteres-et-tests/" TargetMode="External"/><Relationship Id="rId96" Type="http://schemas.openxmlformats.org/officeDocument/2006/relationships/hyperlink" Target="https://accessibilite.numerique.gouv.fr/methode/criteres-et-tests/" TargetMode="External"/><Relationship Id="rId1" Type="http://schemas.openxmlformats.org/officeDocument/2006/relationships/hyperlink" Target="https://accessibilite.numerique.gouv.fr/methode/criteres-et-tests/" TargetMode="External"/><Relationship Id="rId6" Type="http://schemas.openxmlformats.org/officeDocument/2006/relationships/hyperlink" Target="https://accessibilite.numerique.gouv.fr/methode/criteres-et-tests/" TargetMode="External"/><Relationship Id="rId15" Type="http://schemas.openxmlformats.org/officeDocument/2006/relationships/hyperlink" Target="https://accessibilite.numerique.gouv.fr/methode/criteres-et-tests/" TargetMode="External"/><Relationship Id="rId23" Type="http://schemas.openxmlformats.org/officeDocument/2006/relationships/hyperlink" Target="https://accessibilite.numerique.gouv.fr/methode/criteres-et-tests/" TargetMode="External"/><Relationship Id="rId28" Type="http://schemas.openxmlformats.org/officeDocument/2006/relationships/hyperlink" Target="https://accessibilite.numerique.gouv.fr/methode/criteres-et-tests/" TargetMode="External"/><Relationship Id="rId36" Type="http://schemas.openxmlformats.org/officeDocument/2006/relationships/hyperlink" Target="https://accessibilite.numerique.gouv.fr/methode/criteres-et-tests/" TargetMode="External"/><Relationship Id="rId49" Type="http://schemas.openxmlformats.org/officeDocument/2006/relationships/hyperlink" Target="https://accessibilite.numerique.gouv.fr/methode/criteres-et-tests/" TargetMode="External"/><Relationship Id="rId57" Type="http://schemas.openxmlformats.org/officeDocument/2006/relationships/hyperlink" Target="https://accessibilite.numerique.gouv.fr/methode/criteres-et-tests/" TargetMode="External"/><Relationship Id="rId106" Type="http://schemas.openxmlformats.org/officeDocument/2006/relationships/hyperlink" Target="https://accessibilite.numerique.gouv.fr/methode/criteres-et-tests/" TargetMode="External"/><Relationship Id="rId10" Type="http://schemas.openxmlformats.org/officeDocument/2006/relationships/hyperlink" Target="https://accessibilite.numerique.gouv.fr/methode/criteres-et-tests/" TargetMode="External"/><Relationship Id="rId31" Type="http://schemas.openxmlformats.org/officeDocument/2006/relationships/hyperlink" Target="https://accessibilite.numerique.gouv.fr/methode/criteres-et-tests/" TargetMode="External"/><Relationship Id="rId44" Type="http://schemas.openxmlformats.org/officeDocument/2006/relationships/hyperlink" Target="https://accessibilite.numerique.gouv.fr/methode/criteres-et-tests/" TargetMode="External"/><Relationship Id="rId52" Type="http://schemas.openxmlformats.org/officeDocument/2006/relationships/hyperlink" Target="https://accessibilite.numerique.gouv.fr/methode/criteres-et-tests/" TargetMode="External"/><Relationship Id="rId60" Type="http://schemas.openxmlformats.org/officeDocument/2006/relationships/hyperlink" Target="https://accessibilite.numerique.gouv.fr/methode/criteres-et-tests/" TargetMode="External"/><Relationship Id="rId65" Type="http://schemas.openxmlformats.org/officeDocument/2006/relationships/hyperlink" Target="https://accessibilite.numerique.gouv.fr/methode/criteres-et-tests/" TargetMode="External"/><Relationship Id="rId73" Type="http://schemas.openxmlformats.org/officeDocument/2006/relationships/hyperlink" Target="https://accessibilite.numerique.gouv.fr/methode/criteres-et-tests/" TargetMode="External"/><Relationship Id="rId78" Type="http://schemas.openxmlformats.org/officeDocument/2006/relationships/hyperlink" Target="https://accessibilite.numerique.gouv.fr/methode/criteres-et-tests/" TargetMode="External"/><Relationship Id="rId81" Type="http://schemas.openxmlformats.org/officeDocument/2006/relationships/hyperlink" Target="https://accessibilite.numerique.gouv.fr/methode/criteres-et-tests/" TargetMode="External"/><Relationship Id="rId86" Type="http://schemas.openxmlformats.org/officeDocument/2006/relationships/hyperlink" Target="https://accessibilite.numerique.gouv.fr/methode/criteres-et-tests/" TargetMode="External"/><Relationship Id="rId94" Type="http://schemas.openxmlformats.org/officeDocument/2006/relationships/hyperlink" Target="https://accessibilite.numerique.gouv.fr/methode/criteres-et-tests/" TargetMode="External"/><Relationship Id="rId99" Type="http://schemas.openxmlformats.org/officeDocument/2006/relationships/hyperlink" Target="https://accessibilite.numerique.gouv.fr/methode/criteres-et-tests/" TargetMode="External"/><Relationship Id="rId101" Type="http://schemas.openxmlformats.org/officeDocument/2006/relationships/hyperlink" Target="https://accessibilite.numerique.gouv.fr/methode/criteres-et-tests/" TargetMode="External"/><Relationship Id="rId4" Type="http://schemas.openxmlformats.org/officeDocument/2006/relationships/hyperlink" Target="https://accessibilite.numerique.gouv.fr/methode/criteres-et-tests/" TargetMode="External"/><Relationship Id="rId9" Type="http://schemas.openxmlformats.org/officeDocument/2006/relationships/hyperlink" Target="https://accessibilite.numerique.gouv.fr/methode/criteres-et-tests/" TargetMode="External"/><Relationship Id="rId13" Type="http://schemas.openxmlformats.org/officeDocument/2006/relationships/hyperlink" Target="https://accessibilite.numerique.gouv.fr/methode/criteres-et-tests/" TargetMode="External"/><Relationship Id="rId18" Type="http://schemas.openxmlformats.org/officeDocument/2006/relationships/hyperlink" Target="https://accessibilite.numerique.gouv.fr/methode/criteres-et-tests/" TargetMode="External"/><Relationship Id="rId39" Type="http://schemas.openxmlformats.org/officeDocument/2006/relationships/hyperlink" Target="https://accessibilite.numerique.gouv.fr/methode/criteres-et-tests/" TargetMode="External"/><Relationship Id="rId34" Type="http://schemas.openxmlformats.org/officeDocument/2006/relationships/hyperlink" Target="https://accessibilite.numerique.gouv.fr/methode/criteres-et-tests/" TargetMode="External"/><Relationship Id="rId50" Type="http://schemas.openxmlformats.org/officeDocument/2006/relationships/hyperlink" Target="https://accessibilite.numerique.gouv.fr/methode/criteres-et-tests/" TargetMode="External"/><Relationship Id="rId55" Type="http://schemas.openxmlformats.org/officeDocument/2006/relationships/hyperlink" Target="https://accessibilite.numerique.gouv.fr/methode/criteres-et-tests/" TargetMode="External"/><Relationship Id="rId76" Type="http://schemas.openxmlformats.org/officeDocument/2006/relationships/hyperlink" Target="https://accessibilite.numerique.gouv.fr/methode/criteres-et-tests/" TargetMode="External"/><Relationship Id="rId97" Type="http://schemas.openxmlformats.org/officeDocument/2006/relationships/hyperlink" Target="https://accessibilite.numerique.gouv.fr/methode/criteres-et-tests/" TargetMode="External"/><Relationship Id="rId104" Type="http://schemas.openxmlformats.org/officeDocument/2006/relationships/hyperlink" Target="https://accessibilite.numerique.gouv.fr/methode/criteres-et-test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F7DC-98A6-4BDE-8ADC-AF8FBAAA6ACB}">
  <sheetPr codeName="Feuil3"/>
  <dimension ref="A1:E51"/>
  <sheetViews>
    <sheetView tabSelected="1" zoomScale="70" zoomScaleNormal="70" workbookViewId="0"/>
  </sheetViews>
  <sheetFormatPr baseColWidth="10" defaultColWidth="11.42578125" defaultRowHeight="31.5" customHeight="1"/>
  <cols>
    <col min="1" max="1" width="23.85546875" style="3" customWidth="1"/>
    <col min="2" max="2" width="40.85546875" style="4" customWidth="1"/>
    <col min="3" max="3" width="57.140625" style="4" customWidth="1"/>
    <col min="4" max="4" width="25" style="4" customWidth="1"/>
    <col min="5" max="5" width="91.42578125" style="4" customWidth="1"/>
    <col min="6" max="6" width="11.42578125" style="4" customWidth="1"/>
    <col min="7" max="16384" width="11.42578125" style="4"/>
  </cols>
  <sheetData>
    <row r="1" spans="1:5" customFormat="1" ht="31.5" customHeight="1">
      <c r="A1" s="110" t="s">
        <v>0</v>
      </c>
      <c r="B1" s="141" t="s">
        <v>451</v>
      </c>
      <c r="C1" s="82"/>
      <c r="D1" s="82"/>
    </row>
    <row r="2" spans="1:5" customFormat="1" ht="21" customHeight="1">
      <c r="A2" s="19" t="s">
        <v>448</v>
      </c>
      <c r="B2" s="199" t="s">
        <v>457</v>
      </c>
      <c r="C2" s="200"/>
      <c r="D2" s="201"/>
    </row>
    <row r="3" spans="1:5" customFormat="1" ht="21" customHeight="1">
      <c r="A3" s="19" t="s">
        <v>449</v>
      </c>
      <c r="B3" s="199" t="s">
        <v>457</v>
      </c>
      <c r="C3" s="200"/>
      <c r="D3" s="201"/>
    </row>
    <row r="4" spans="1:5" customFormat="1" ht="21" customHeight="1">
      <c r="A4" s="19" t="s">
        <v>453</v>
      </c>
      <c r="B4" s="199" t="s">
        <v>457</v>
      </c>
      <c r="C4" s="200"/>
      <c r="D4" s="201"/>
    </row>
    <row r="5" spans="1:5" customFormat="1" ht="21" customHeight="1">
      <c r="A5" s="19" t="s">
        <v>452</v>
      </c>
      <c r="B5" s="199" t="s">
        <v>457</v>
      </c>
      <c r="C5" s="200"/>
      <c r="D5" s="201"/>
    </row>
    <row r="6" spans="1:5" customFormat="1" ht="21" customHeight="1">
      <c r="A6" s="115" t="s">
        <v>1</v>
      </c>
      <c r="B6" s="115"/>
      <c r="C6" s="116"/>
      <c r="D6" s="116"/>
    </row>
    <row r="7" spans="1:5" customFormat="1" ht="105.75" customHeight="1">
      <c r="A7" s="202" t="s">
        <v>458</v>
      </c>
      <c r="B7" s="202"/>
      <c r="C7" s="202"/>
      <c r="D7" s="202"/>
    </row>
    <row r="8" spans="1:5" customFormat="1" ht="21.75" customHeight="1">
      <c r="A8" s="203"/>
      <c r="B8" s="203"/>
      <c r="C8" s="203"/>
      <c r="D8" s="203"/>
    </row>
    <row r="9" spans="1:5" customFormat="1" ht="21" customHeight="1">
      <c r="A9" s="114" t="s">
        <v>2</v>
      </c>
      <c r="B9" s="115"/>
      <c r="C9" s="116"/>
      <c r="D9" s="116"/>
    </row>
    <row r="10" spans="1:5" ht="21.75" customHeight="1">
      <c r="A10" s="140"/>
      <c r="B10" s="140"/>
      <c r="C10" s="140"/>
    </row>
    <row r="11" spans="1:5" ht="22.5" customHeight="1">
      <c r="A11" s="142" t="s">
        <v>445</v>
      </c>
      <c r="B11" s="143" t="s">
        <v>446</v>
      </c>
      <c r="C11" s="144" t="s">
        <v>447</v>
      </c>
      <c r="D11" s="144" t="s">
        <v>456</v>
      </c>
    </row>
    <row r="12" spans="1:5" ht="21.75" customHeight="1">
      <c r="A12" s="20" t="s">
        <v>3</v>
      </c>
      <c r="B12" s="21"/>
      <c r="C12" s="22"/>
      <c r="D12" s="22"/>
    </row>
    <row r="13" spans="1:5" ht="21.75" customHeight="1">
      <c r="A13" s="20" t="s">
        <v>4</v>
      </c>
      <c r="B13" s="21"/>
      <c r="C13" s="22"/>
      <c r="D13" s="22"/>
    </row>
    <row r="14" spans="1:5" ht="21.75" customHeight="1">
      <c r="A14" s="20" t="s">
        <v>5</v>
      </c>
      <c r="B14" s="21"/>
      <c r="C14" s="22"/>
      <c r="D14" s="22"/>
      <c r="E14" s="14"/>
    </row>
    <row r="15" spans="1:5" ht="21.75" customHeight="1">
      <c r="A15" s="20" t="s">
        <v>6</v>
      </c>
      <c r="B15" s="21"/>
      <c r="C15" s="22"/>
      <c r="D15" s="22"/>
      <c r="E15" s="14"/>
    </row>
    <row r="16" spans="1:5" ht="21.75" customHeight="1">
      <c r="A16" s="20" t="s">
        <v>7</v>
      </c>
      <c r="B16" s="21"/>
      <c r="C16" s="22"/>
      <c r="D16" s="22"/>
      <c r="E16" s="14"/>
    </row>
    <row r="17" spans="1:5" ht="21.75" customHeight="1">
      <c r="A17" s="20" t="s">
        <v>8</v>
      </c>
      <c r="B17" s="21"/>
      <c r="C17" s="22"/>
      <c r="D17" s="22"/>
      <c r="E17" s="14"/>
    </row>
    <row r="18" spans="1:5" ht="21.75" customHeight="1">
      <c r="A18" s="20" t="s">
        <v>9</v>
      </c>
      <c r="B18" s="21"/>
      <c r="C18" s="22"/>
      <c r="D18" s="22"/>
      <c r="E18" s="14"/>
    </row>
    <row r="19" spans="1:5" ht="21.75" customHeight="1">
      <c r="A19" s="20" t="s">
        <v>10</v>
      </c>
      <c r="B19" s="21"/>
      <c r="C19" s="22"/>
      <c r="D19" s="22"/>
    </row>
    <row r="20" spans="1:5" ht="21.75" customHeight="1">
      <c r="A20" s="20" t="s">
        <v>11</v>
      </c>
      <c r="B20" s="21"/>
      <c r="C20" s="22"/>
      <c r="D20" s="22"/>
    </row>
    <row r="21" spans="1:5" ht="21.75" customHeight="1">
      <c r="A21" s="20" t="s">
        <v>12</v>
      </c>
      <c r="B21" s="21"/>
      <c r="C21" s="21"/>
      <c r="D21" s="21"/>
    </row>
    <row r="22" spans="1:5" ht="21.75" customHeight="1">
      <c r="A22" s="20" t="s">
        <v>13</v>
      </c>
      <c r="B22" s="21"/>
      <c r="C22" s="21"/>
      <c r="D22" s="21"/>
    </row>
    <row r="23" spans="1:5" ht="21.75" customHeight="1">
      <c r="A23" s="20" t="s">
        <v>14</v>
      </c>
      <c r="B23" s="21"/>
      <c r="C23" s="21"/>
      <c r="D23" s="21"/>
    </row>
    <row r="24" spans="1:5" ht="21.75" customHeight="1">
      <c r="A24" s="20" t="s">
        <v>15</v>
      </c>
      <c r="B24" s="21"/>
      <c r="C24" s="21"/>
      <c r="D24" s="21"/>
      <c r="E24" s="13"/>
    </row>
    <row r="25" spans="1:5" ht="21.75" customHeight="1">
      <c r="A25" s="20" t="s">
        <v>16</v>
      </c>
      <c r="B25" s="21"/>
      <c r="C25" s="21"/>
      <c r="D25" s="21"/>
      <c r="E25" s="13"/>
    </row>
    <row r="26" spans="1:5" ht="21.75" customHeight="1">
      <c r="A26" s="20" t="s">
        <v>17</v>
      </c>
      <c r="B26" s="21"/>
      <c r="C26" s="21"/>
      <c r="D26" s="21"/>
    </row>
    <row r="27" spans="1:5" ht="21.75" customHeight="1">
      <c r="A27" s="20" t="s">
        <v>18</v>
      </c>
      <c r="B27" s="21"/>
      <c r="C27" s="21"/>
      <c r="D27" s="21"/>
    </row>
    <row r="28" spans="1:5" ht="21.75" customHeight="1">
      <c r="A28" s="20" t="s">
        <v>19</v>
      </c>
      <c r="B28" s="21"/>
      <c r="C28" s="21"/>
      <c r="D28" s="21"/>
    </row>
    <row r="29" spans="1:5" ht="21.75" customHeight="1">
      <c r="A29" s="20" t="s">
        <v>20</v>
      </c>
      <c r="B29" s="21"/>
      <c r="C29" s="21"/>
      <c r="D29" s="21"/>
    </row>
    <row r="30" spans="1:5" ht="21.75" customHeight="1">
      <c r="A30" s="20" t="s">
        <v>21</v>
      </c>
      <c r="B30" s="21"/>
      <c r="C30" s="21"/>
      <c r="D30" s="21"/>
    </row>
    <row r="31" spans="1:5" ht="21.75" customHeight="1">
      <c r="A31" s="20" t="s">
        <v>22</v>
      </c>
      <c r="B31" s="21"/>
      <c r="C31" s="21"/>
      <c r="D31" s="21"/>
    </row>
    <row r="32" spans="1:5" ht="21.75" customHeight="1">
      <c r="A32" s="20" t="s">
        <v>23</v>
      </c>
      <c r="B32" s="21"/>
      <c r="C32" s="21"/>
      <c r="D32" s="21"/>
    </row>
    <row r="33" spans="1:4" ht="21.75" customHeight="1">
      <c r="A33" s="20" t="s">
        <v>24</v>
      </c>
      <c r="B33" s="21"/>
      <c r="C33" s="21"/>
      <c r="D33" s="21"/>
    </row>
    <row r="34" spans="1:4" ht="21.75" customHeight="1">
      <c r="A34" s="20" t="s">
        <v>25</v>
      </c>
      <c r="B34" s="21"/>
      <c r="C34" s="21"/>
      <c r="D34" s="21"/>
    </row>
    <row r="35" spans="1:4" ht="21.75" customHeight="1">
      <c r="A35" s="20" t="s">
        <v>26</v>
      </c>
      <c r="B35" s="21"/>
      <c r="C35" s="21"/>
      <c r="D35" s="21"/>
    </row>
    <row r="36" spans="1:4" ht="21.75" customHeight="1">
      <c r="A36" s="20" t="s">
        <v>27</v>
      </c>
      <c r="B36" s="21"/>
      <c r="C36" s="21"/>
      <c r="D36" s="21"/>
    </row>
    <row r="37" spans="1:4" ht="21.75" customHeight="1">
      <c r="A37" s="20" t="s">
        <v>28</v>
      </c>
      <c r="B37" s="21"/>
      <c r="C37" s="21"/>
      <c r="D37" s="21"/>
    </row>
    <row r="38" spans="1:4" ht="21.75" customHeight="1">
      <c r="A38" s="20" t="s">
        <v>29</v>
      </c>
      <c r="B38" s="21"/>
      <c r="C38" s="21"/>
      <c r="D38" s="21"/>
    </row>
    <row r="39" spans="1:4" ht="21.75" customHeight="1">
      <c r="A39" s="20" t="s">
        <v>30</v>
      </c>
      <c r="B39" s="21"/>
      <c r="C39" s="21"/>
      <c r="D39" s="21"/>
    </row>
    <row r="40" spans="1:4" ht="21.75" customHeight="1">
      <c r="A40" s="20" t="s">
        <v>31</v>
      </c>
      <c r="B40" s="21"/>
      <c r="C40" s="21"/>
      <c r="D40" s="21"/>
    </row>
    <row r="41" spans="1:4" ht="21.75" customHeight="1">
      <c r="A41" s="20" t="s">
        <v>32</v>
      </c>
      <c r="B41" s="21"/>
      <c r="C41" s="21"/>
      <c r="D41" s="21"/>
    </row>
    <row r="42" spans="1:4" ht="21.75" customHeight="1">
      <c r="A42" s="20" t="s">
        <v>33</v>
      </c>
      <c r="B42" s="21"/>
      <c r="C42" s="21"/>
      <c r="D42" s="21"/>
    </row>
    <row r="43" spans="1:4" ht="21.75" customHeight="1">
      <c r="A43" s="20" t="s">
        <v>34</v>
      </c>
      <c r="B43" s="21"/>
      <c r="C43" s="21"/>
      <c r="D43" s="21"/>
    </row>
    <row r="44" spans="1:4" ht="21.75" customHeight="1">
      <c r="A44" s="20" t="s">
        <v>35</v>
      </c>
      <c r="B44" s="21"/>
      <c r="C44" s="21"/>
      <c r="D44" s="21"/>
    </row>
    <row r="45" spans="1:4" ht="21.75" customHeight="1">
      <c r="A45" s="20" t="s">
        <v>36</v>
      </c>
      <c r="B45" s="21"/>
      <c r="C45" s="21"/>
      <c r="D45" s="21"/>
    </row>
    <row r="46" spans="1:4" ht="21.75" customHeight="1">
      <c r="A46" s="20" t="s">
        <v>37</v>
      </c>
      <c r="B46" s="21"/>
      <c r="C46" s="21"/>
      <c r="D46" s="21"/>
    </row>
    <row r="47" spans="1:4" ht="21.75" customHeight="1">
      <c r="A47" s="20" t="s">
        <v>38</v>
      </c>
      <c r="B47" s="21"/>
      <c r="C47" s="21"/>
      <c r="D47" s="21"/>
    </row>
    <row r="48" spans="1:4" ht="21.75" customHeight="1">
      <c r="A48" s="20" t="s">
        <v>39</v>
      </c>
      <c r="B48" s="21"/>
      <c r="C48" s="21"/>
      <c r="D48" s="21"/>
    </row>
    <row r="49" spans="1:4" ht="21.75" customHeight="1">
      <c r="A49" s="20" t="s">
        <v>40</v>
      </c>
      <c r="B49" s="21"/>
      <c r="C49" s="21"/>
      <c r="D49" s="21"/>
    </row>
    <row r="50" spans="1:4" ht="21.75" customHeight="1">
      <c r="A50" s="20" t="s">
        <v>41</v>
      </c>
      <c r="B50" s="21"/>
      <c r="C50" s="21"/>
      <c r="D50" s="21"/>
    </row>
    <row r="51" spans="1:4" ht="21.75" customHeight="1">
      <c r="A51" s="20" t="s">
        <v>42</v>
      </c>
      <c r="B51" s="21"/>
      <c r="C51" s="21"/>
      <c r="D51" s="21"/>
    </row>
  </sheetData>
  <mergeCells count="5">
    <mergeCell ref="B2:D2"/>
    <mergeCell ref="B3:D3"/>
    <mergeCell ref="B4:D4"/>
    <mergeCell ref="B5:D5"/>
    <mergeCell ref="A7:D8"/>
  </mergeCells>
  <phoneticPr fontId="1" type="noConversion"/>
  <hyperlinks>
    <hyperlink ref="B1" r:id="rId1" display="| Grille RGAA 4.1.2" xr:uid="{2AC9E617-9CB3-429F-81E3-A222281A3F0E}"/>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6C4A-375A-4BEC-BAD3-2B5BAD4BBC2D}">
  <sheetPr codeName="Feuil5"/>
  <dimension ref="A1:Q110"/>
  <sheetViews>
    <sheetView zoomScale="70" zoomScaleNormal="70" workbookViewId="0">
      <selection activeCell="Q15" sqref="Q15"/>
    </sheetView>
  </sheetViews>
  <sheetFormatPr baseColWidth="10" defaultColWidth="11.42578125" defaultRowHeight="14.25"/>
  <cols>
    <col min="1" max="1" width="7" style="5" customWidth="1"/>
    <col min="2" max="2" width="28.42578125" style="5" customWidth="1"/>
    <col min="3" max="3" width="13.28515625" style="5" customWidth="1"/>
    <col min="4" max="5" width="13.28515625" style="40" customWidth="1"/>
    <col min="6" max="6" width="11.42578125" style="40"/>
    <col min="7" max="7" width="10.5703125" style="40" customWidth="1"/>
    <col min="8" max="8" width="22.28515625" style="5" customWidth="1"/>
    <col min="9" max="9" width="2.140625" style="5" customWidth="1"/>
    <col min="10" max="10" width="5.85546875" style="5" customWidth="1"/>
    <col min="11" max="11" width="5.28515625" style="5" customWidth="1"/>
    <col min="12" max="12" width="4.42578125" style="5" customWidth="1"/>
    <col min="13" max="13" width="5" style="5" customWidth="1"/>
    <col min="14" max="16" width="11.42578125" style="5"/>
    <col min="17" max="17" width="24" style="5" customWidth="1"/>
    <col min="18" max="18" width="40.28515625" style="5" customWidth="1"/>
    <col min="19" max="16384" width="11.42578125" style="5"/>
  </cols>
  <sheetData>
    <row r="1" spans="1:17" customFormat="1" ht="40.5" customHeight="1">
      <c r="A1" s="113"/>
      <c r="B1" s="100" t="str">
        <f>Échantillon!B1</f>
        <v>Grille RGAA 4.1.2</v>
      </c>
      <c r="C1" s="93" t="s">
        <v>43</v>
      </c>
      <c r="D1" s="158"/>
      <c r="E1" s="158"/>
      <c r="F1" s="158"/>
      <c r="G1" s="158"/>
      <c r="H1" s="158"/>
      <c r="I1" s="158"/>
      <c r="J1" s="158"/>
      <c r="K1" s="158"/>
      <c r="L1" s="158"/>
      <c r="M1" s="158"/>
      <c r="N1" s="158"/>
      <c r="O1" s="158"/>
      <c r="P1" s="158"/>
      <c r="Q1" s="158"/>
    </row>
    <row r="2" spans="1:17" customFormat="1" ht="3.75" customHeight="1">
      <c r="A2" s="54"/>
      <c r="B2" s="54"/>
      <c r="C2" s="54"/>
      <c r="D2" s="54"/>
      <c r="E2" s="54"/>
      <c r="F2" s="54"/>
      <c r="G2" s="54"/>
      <c r="H2" s="54"/>
      <c r="I2" s="54"/>
      <c r="J2" s="54"/>
      <c r="K2" s="54"/>
      <c r="L2" s="54"/>
      <c r="M2" s="54"/>
      <c r="N2" s="54"/>
      <c r="O2" s="54"/>
      <c r="P2" s="54"/>
      <c r="Q2" s="54"/>
    </row>
    <row r="3" spans="1:17" customFormat="1" ht="29.25" customHeight="1">
      <c r="A3" s="107" t="s">
        <v>44</v>
      </c>
      <c r="B3" s="108"/>
      <c r="C3" s="108"/>
      <c r="D3" s="108"/>
      <c r="E3" s="108"/>
      <c r="F3" s="108"/>
      <c r="G3" s="108"/>
      <c r="H3" s="109"/>
      <c r="I3" s="50"/>
      <c r="J3" s="101" t="s">
        <v>1</v>
      </c>
      <c r="K3" s="102"/>
      <c r="L3" s="102"/>
      <c r="M3" s="102"/>
      <c r="N3" s="102"/>
      <c r="O3" s="102"/>
      <c r="P3" s="102"/>
      <c r="Q3" s="102"/>
    </row>
    <row r="4" spans="1:17" customFormat="1" ht="145.5" customHeight="1">
      <c r="A4" s="225" t="s">
        <v>467</v>
      </c>
      <c r="B4" s="226"/>
      <c r="C4" s="226"/>
      <c r="D4" s="226"/>
      <c r="E4" s="226"/>
      <c r="F4" s="226"/>
      <c r="G4" s="226"/>
      <c r="H4" s="226"/>
      <c r="I4" s="50"/>
      <c r="J4" s="210" t="s">
        <v>468</v>
      </c>
      <c r="K4" s="211"/>
      <c r="L4" s="211"/>
      <c r="M4" s="211"/>
      <c r="N4" s="211"/>
      <c r="O4" s="211"/>
      <c r="P4" s="211"/>
      <c r="Q4" s="212"/>
    </row>
    <row r="5" spans="1:17" customFormat="1" ht="13.5" customHeight="1">
      <c r="A5" s="159"/>
      <c r="B5" s="160"/>
      <c r="C5" s="160"/>
      <c r="D5" s="160"/>
      <c r="E5" s="160"/>
      <c r="F5" s="160"/>
      <c r="G5" s="160"/>
      <c r="H5" s="160"/>
      <c r="I5" s="50"/>
      <c r="J5" s="15"/>
      <c r="K5" s="15"/>
      <c r="L5" s="15"/>
      <c r="M5" s="15"/>
      <c r="N5" s="15"/>
      <c r="O5" s="161"/>
      <c r="P5" s="161"/>
      <c r="Q5" s="162"/>
    </row>
    <row r="6" spans="1:17" customFormat="1" ht="25.5" customHeight="1">
      <c r="A6" s="163"/>
      <c r="B6" s="164"/>
      <c r="C6" s="164"/>
      <c r="D6" s="213" t="s">
        <v>460</v>
      </c>
      <c r="E6" s="213"/>
      <c r="F6" s="213"/>
      <c r="G6" s="213"/>
      <c r="H6" s="214"/>
      <c r="I6" s="50"/>
      <c r="J6" s="15"/>
      <c r="K6" s="15"/>
      <c r="L6" s="15"/>
      <c r="M6" s="15"/>
      <c r="N6" s="15"/>
      <c r="O6" s="15"/>
      <c r="P6" s="15"/>
      <c r="Q6" s="106"/>
    </row>
    <row r="7" spans="1:17" customFormat="1" ht="21.75" customHeight="1">
      <c r="A7" s="215" t="s">
        <v>461</v>
      </c>
      <c r="B7" s="216"/>
      <c r="C7" s="216"/>
      <c r="D7" s="227" t="str">
        <f>IF(D10+E10=0,"En attente de données",IF(D8=100%,"Totalement conforme",IF(D8&lt;50%,"Non conforme",IF(D8&gt;=50%,"Partiellement conforme"))))</f>
        <v>En attente de données</v>
      </c>
      <c r="E7" s="228"/>
      <c r="F7" s="228"/>
      <c r="G7" s="229"/>
      <c r="H7" s="165"/>
      <c r="I7" s="50"/>
      <c r="J7" s="15"/>
      <c r="K7" s="15"/>
      <c r="L7" s="15"/>
      <c r="M7" s="15"/>
      <c r="N7" s="15"/>
      <c r="O7" s="15"/>
      <c r="P7" s="15"/>
      <c r="Q7" s="105"/>
    </row>
    <row r="8" spans="1:17" customFormat="1" ht="21.75" customHeight="1">
      <c r="A8" s="215" t="s">
        <v>462</v>
      </c>
      <c r="B8" s="216"/>
      <c r="C8" s="217"/>
      <c r="D8" s="218" t="str">
        <f>'Visualisation d''ensemble'!AW6</f>
        <v>En attente de données</v>
      </c>
      <c r="E8" s="218"/>
      <c r="F8" s="218"/>
      <c r="G8" s="218"/>
      <c r="H8" s="165"/>
      <c r="I8" s="50"/>
      <c r="J8" s="15"/>
      <c r="K8" s="15"/>
      <c r="L8" s="15"/>
      <c r="M8" s="15"/>
      <c r="N8" s="15"/>
      <c r="O8" s="15"/>
      <c r="P8" s="15"/>
      <c r="Q8" s="105"/>
    </row>
    <row r="9" spans="1:17" customFormat="1" ht="24.75" customHeight="1">
      <c r="A9" s="219" t="s">
        <v>463</v>
      </c>
      <c r="B9" s="220"/>
      <c r="C9" s="221"/>
      <c r="D9" s="166" t="s">
        <v>45</v>
      </c>
      <c r="E9" s="167" t="s">
        <v>46</v>
      </c>
      <c r="F9" s="196" t="s">
        <v>47</v>
      </c>
      <c r="G9" s="168" t="s">
        <v>48</v>
      </c>
      <c r="H9" s="165"/>
      <c r="I9" s="50"/>
      <c r="J9" s="15"/>
      <c r="K9" s="15"/>
      <c r="L9" s="15"/>
      <c r="M9" s="15"/>
      <c r="N9" s="15"/>
      <c r="O9" s="103"/>
      <c r="P9" s="103"/>
      <c r="Q9" s="104"/>
    </row>
    <row r="10" spans="1:17" customFormat="1" ht="22.5" customHeight="1">
      <c r="A10" s="219"/>
      <c r="B10" s="220"/>
      <c r="C10" s="221"/>
      <c r="D10" s="169">
        <f>'Visualisation d''ensemble'!AW3</f>
        <v>0</v>
      </c>
      <c r="E10" s="169">
        <f>'Visualisation d''ensemble'!AW4</f>
        <v>0</v>
      </c>
      <c r="F10" s="169">
        <f>'Visualisation d''ensemble'!AW5</f>
        <v>0</v>
      </c>
      <c r="G10" s="169">
        <f>'Visualisation d''ensemble'!AZ6</f>
        <v>0</v>
      </c>
      <c r="H10" s="165"/>
      <c r="I10" s="50"/>
      <c r="J10" s="15"/>
      <c r="K10" s="15"/>
      <c r="L10" s="15"/>
      <c r="M10" s="15"/>
      <c r="N10" s="15"/>
      <c r="O10" s="15"/>
      <c r="P10" s="15"/>
      <c r="Q10" s="105"/>
    </row>
    <row r="11" spans="1:17" customFormat="1" ht="21.75" customHeight="1">
      <c r="A11" s="222" t="s">
        <v>464</v>
      </c>
      <c r="B11" s="223"/>
      <c r="C11" s="223"/>
      <c r="D11" s="170"/>
      <c r="E11" s="170"/>
      <c r="F11" s="170"/>
      <c r="G11" s="170"/>
      <c r="H11" s="171" t="str">
        <f>IF(C14&gt;0,AVERAGE(_xlfn.ANCHORARRAY(H15)),"")</f>
        <v/>
      </c>
      <c r="I11" s="50"/>
      <c r="J11" s="15"/>
      <c r="K11" s="15"/>
      <c r="L11" s="15"/>
      <c r="M11" s="15"/>
      <c r="N11" s="15"/>
      <c r="O11" s="15"/>
      <c r="P11" s="15"/>
      <c r="Q11" s="105"/>
    </row>
    <row r="12" spans="1:17" customFormat="1" ht="12.75" customHeight="1">
      <c r="A12" s="152"/>
      <c r="B12" s="153"/>
      <c r="C12" s="153"/>
      <c r="D12" s="154"/>
      <c r="E12" s="154"/>
      <c r="F12" s="154"/>
      <c r="G12" s="224"/>
      <c r="H12" s="224"/>
      <c r="I12" s="224"/>
      <c r="J12" s="15"/>
      <c r="K12" s="15"/>
      <c r="L12" s="15"/>
      <c r="M12" s="15"/>
      <c r="N12" s="15"/>
      <c r="O12" s="15"/>
      <c r="P12" s="15"/>
      <c r="Q12" s="105"/>
    </row>
    <row r="13" spans="1:17" customFormat="1" ht="25.5" customHeight="1">
      <c r="A13" s="206" t="s">
        <v>469</v>
      </c>
      <c r="B13" s="207"/>
      <c r="C13" s="207"/>
      <c r="D13" s="207"/>
      <c r="E13" s="207"/>
      <c r="F13" s="207"/>
      <c r="G13" s="207"/>
      <c r="H13" s="207"/>
      <c r="I13" s="40"/>
      <c r="J13" s="15"/>
      <c r="K13" s="15"/>
      <c r="L13" s="15"/>
      <c r="M13" s="15"/>
      <c r="N13" s="15"/>
      <c r="O13" s="15"/>
      <c r="P13" s="15"/>
      <c r="Q13" s="15"/>
    </row>
    <row r="14" spans="1:17" customFormat="1" ht="27.75" customHeight="1">
      <c r="A14" s="208" t="s">
        <v>470</v>
      </c>
      <c r="B14" s="209"/>
      <c r="C14" s="193">
        <f>COUNT(H15:H36)</f>
        <v>0</v>
      </c>
      <c r="D14" s="172" t="s">
        <v>45</v>
      </c>
      <c r="E14" s="173" t="s">
        <v>46</v>
      </c>
      <c r="F14" s="195" t="s">
        <v>47</v>
      </c>
      <c r="G14" s="174" t="s">
        <v>48</v>
      </c>
      <c r="H14" s="172" t="s">
        <v>471</v>
      </c>
      <c r="I14" s="40"/>
      <c r="J14" s="15"/>
      <c r="K14" s="15"/>
      <c r="L14" s="15"/>
      <c r="M14" s="15"/>
      <c r="N14" s="15"/>
      <c r="O14" s="15"/>
      <c r="P14" s="15"/>
      <c r="Q14" s="105"/>
    </row>
    <row r="15" spans="1:17" customFormat="1" ht="22.5" customHeight="1">
      <c r="A15" s="175" t="str">
        <f>Échantillon!A12</f>
        <v>P01</v>
      </c>
      <c r="B15" s="204" t="str">
        <f>IF(VLOOKUP(A15,Échantillon!A11:D51,2,FALSE)="","",VLOOKUP(A15,Échantillon!A11:D51,2,FALSE))</f>
        <v/>
      </c>
      <c r="C15" s="205"/>
      <c r="D15" s="176" cm="1">
        <f t="array" ref="D15:D54">TRANSPOSE('Visualisation d''ensemble'!F3:AS3)</f>
        <v>0</v>
      </c>
      <c r="E15" s="176" cm="1">
        <f t="array" ref="E15:E54">TRANSPOSE('Visualisation d''ensemble'!F4:AS4)</f>
        <v>0</v>
      </c>
      <c r="F15" s="176" cm="1">
        <f t="array" ref="F15:F54">TRANSPOSE('Visualisation d''ensemble'!F5:AS5)</f>
        <v>0</v>
      </c>
      <c r="G15" s="176" cm="1">
        <f t="array" ref="G15:G54">TRANSPOSE('Visualisation d''ensemble'!BA6:CN6)</f>
        <v>0</v>
      </c>
      <c r="H15" s="177" t="str" cm="1">
        <f t="array" ref="H15:H54">TRANSPOSE('Visualisation d''ensemble'!F6:AS6)</f>
        <v/>
      </c>
      <c r="I15" s="40"/>
      <c r="J15" s="15"/>
      <c r="K15" s="15"/>
      <c r="L15" s="15"/>
      <c r="M15" s="15"/>
      <c r="N15" s="15"/>
      <c r="O15" s="15"/>
      <c r="P15" s="15"/>
      <c r="Q15" s="105"/>
    </row>
    <row r="16" spans="1:17" customFormat="1" ht="22.5" customHeight="1">
      <c r="A16" s="175" t="str">
        <f>Échantillon!A13</f>
        <v>P02</v>
      </c>
      <c r="B16" s="204" t="str">
        <f>IF(VLOOKUP(A16,Échantillon!A12:D52,2,FALSE)="","",VLOOKUP(A16,Échantillon!A12:D52,2,FALSE))</f>
        <v/>
      </c>
      <c r="C16" s="205"/>
      <c r="D16" s="33">
        <v>0</v>
      </c>
      <c r="E16" s="33">
        <v>0</v>
      </c>
      <c r="F16" s="33">
        <v>0</v>
      </c>
      <c r="G16" s="33">
        <v>0</v>
      </c>
      <c r="H16" s="34" t="str">
        <v/>
      </c>
      <c r="I16" s="40"/>
      <c r="J16" s="15"/>
      <c r="K16" s="15"/>
      <c r="L16" s="15"/>
      <c r="M16" s="15"/>
      <c r="N16" s="15"/>
      <c r="O16" s="15"/>
      <c r="P16" s="15"/>
      <c r="Q16" s="105"/>
    </row>
    <row r="17" spans="1:17" customFormat="1" ht="22.5" customHeight="1">
      <c r="A17" s="175" t="str">
        <f>Échantillon!A14</f>
        <v>P03</v>
      </c>
      <c r="B17" s="204" t="str">
        <f>IF(VLOOKUP(A17,Échantillon!A13:D53,2,FALSE)="","",VLOOKUP(A17,Échantillon!A13:D53,2,FALSE))</f>
        <v/>
      </c>
      <c r="C17" s="205"/>
      <c r="D17" s="33">
        <v>0</v>
      </c>
      <c r="E17" s="33">
        <v>0</v>
      </c>
      <c r="F17" s="33">
        <v>0</v>
      </c>
      <c r="G17" s="33">
        <v>0</v>
      </c>
      <c r="H17" s="34" t="str">
        <v/>
      </c>
      <c r="I17" s="5"/>
      <c r="J17" s="5"/>
      <c r="K17" s="5"/>
      <c r="L17" s="5"/>
      <c r="M17" s="5"/>
      <c r="N17" s="5"/>
      <c r="O17" s="5"/>
      <c r="P17" s="5"/>
      <c r="Q17" s="5"/>
    </row>
    <row r="18" spans="1:17" customFormat="1" ht="22.5" customHeight="1">
      <c r="A18" s="175" t="str">
        <f>Échantillon!A15</f>
        <v>P04</v>
      </c>
      <c r="B18" s="204" t="str">
        <f>IF(VLOOKUP(A18,Échantillon!A14:D54,2,FALSE)="","",VLOOKUP(A18,Échantillon!A14:D54,2,FALSE))</f>
        <v/>
      </c>
      <c r="C18" s="205"/>
      <c r="D18" s="33">
        <v>0</v>
      </c>
      <c r="E18" s="33">
        <v>0</v>
      </c>
      <c r="F18" s="33">
        <v>0</v>
      </c>
      <c r="G18" s="33">
        <v>0</v>
      </c>
      <c r="H18" s="34" t="str">
        <v/>
      </c>
      <c r="I18" s="5"/>
      <c r="J18" s="5"/>
      <c r="K18" s="5"/>
      <c r="L18" s="5"/>
      <c r="M18" s="5"/>
      <c r="N18" s="5"/>
      <c r="O18" s="5"/>
      <c r="P18" s="5"/>
      <c r="Q18" s="5"/>
    </row>
    <row r="19" spans="1:17" customFormat="1" ht="22.5" customHeight="1">
      <c r="A19" s="175" t="str">
        <f>Échantillon!A16</f>
        <v>P05</v>
      </c>
      <c r="B19" s="204" t="str">
        <f>IF(VLOOKUP(A19,Échantillon!A15:D55,2,FALSE)="","",VLOOKUP(A19,Échantillon!A15:D55,2,FALSE))</f>
        <v/>
      </c>
      <c r="C19" s="205"/>
      <c r="D19" s="33">
        <v>0</v>
      </c>
      <c r="E19" s="33">
        <v>0</v>
      </c>
      <c r="F19" s="33">
        <v>0</v>
      </c>
      <c r="G19" s="33">
        <v>0</v>
      </c>
      <c r="H19" s="34" t="str">
        <v/>
      </c>
      <c r="I19" s="5"/>
      <c r="J19" s="5"/>
      <c r="K19" s="5"/>
      <c r="L19" s="5"/>
      <c r="M19" s="5"/>
      <c r="N19" s="5"/>
      <c r="O19" s="5"/>
      <c r="P19" s="5"/>
      <c r="Q19" s="5"/>
    </row>
    <row r="20" spans="1:17" customFormat="1" ht="22.5" customHeight="1">
      <c r="A20" s="175" t="str">
        <f>Échantillon!A17</f>
        <v>P06</v>
      </c>
      <c r="B20" s="204" t="str">
        <f>IF(VLOOKUP(A20,Échantillon!A16:D56,2,FALSE)="","",VLOOKUP(A20,Échantillon!A16:D56,2,FALSE))</f>
        <v/>
      </c>
      <c r="C20" s="205"/>
      <c r="D20" s="33">
        <v>0</v>
      </c>
      <c r="E20" s="33">
        <v>0</v>
      </c>
      <c r="F20" s="33">
        <v>0</v>
      </c>
      <c r="G20" s="33">
        <v>0</v>
      </c>
      <c r="H20" s="34" t="str">
        <v/>
      </c>
      <c r="I20" s="5"/>
      <c r="J20" s="5"/>
      <c r="K20" s="5"/>
      <c r="L20" s="5"/>
      <c r="M20" s="5"/>
      <c r="N20" s="5"/>
      <c r="O20" s="5"/>
      <c r="P20" s="5"/>
      <c r="Q20" s="5"/>
    </row>
    <row r="21" spans="1:17" customFormat="1" ht="22.5" customHeight="1">
      <c r="A21" s="175" t="str">
        <f>Échantillon!A18</f>
        <v>P07</v>
      </c>
      <c r="B21" s="204" t="str">
        <f>IF(VLOOKUP(A21,Échantillon!A17:D57,2,FALSE)="","",VLOOKUP(A21,Échantillon!A17:D57,2,FALSE))</f>
        <v/>
      </c>
      <c r="C21" s="205"/>
      <c r="D21" s="33">
        <v>0</v>
      </c>
      <c r="E21" s="33">
        <v>0</v>
      </c>
      <c r="F21" s="33">
        <v>0</v>
      </c>
      <c r="G21" s="33">
        <v>0</v>
      </c>
      <c r="H21" s="34" t="str">
        <v/>
      </c>
      <c r="I21" s="5"/>
      <c r="J21" s="5"/>
      <c r="K21" s="5"/>
      <c r="L21" s="5"/>
      <c r="M21" s="5"/>
      <c r="N21" s="5"/>
      <c r="O21" s="5"/>
      <c r="P21" s="5"/>
      <c r="Q21" s="5"/>
    </row>
    <row r="22" spans="1:17" customFormat="1" ht="22.5" customHeight="1">
      <c r="A22" s="175" t="str">
        <f>Échantillon!A19</f>
        <v>P08</v>
      </c>
      <c r="B22" s="204" t="str">
        <f>IF(VLOOKUP(A22,Échantillon!A18:D58,2,FALSE)="","",VLOOKUP(A22,Échantillon!A18:D58,2,FALSE))</f>
        <v/>
      </c>
      <c r="C22" s="205"/>
      <c r="D22" s="33">
        <v>0</v>
      </c>
      <c r="E22" s="33">
        <v>0</v>
      </c>
      <c r="F22" s="33">
        <v>0</v>
      </c>
      <c r="G22" s="33">
        <v>0</v>
      </c>
      <c r="H22" s="34" t="str">
        <v/>
      </c>
      <c r="I22" s="6"/>
      <c r="J22" s="6"/>
      <c r="K22" s="6"/>
      <c r="L22" s="6"/>
      <c r="M22" s="6"/>
      <c r="N22" s="6"/>
      <c r="O22" s="6"/>
      <c r="P22" s="6"/>
      <c r="Q22" s="6"/>
    </row>
    <row r="23" spans="1:17" customFormat="1" ht="22.5" customHeight="1">
      <c r="A23" s="175" t="str">
        <f>Échantillon!A20</f>
        <v>P09</v>
      </c>
      <c r="B23" s="204" t="str">
        <f>IF(VLOOKUP(A23,Échantillon!A19:D59,2,FALSE)="","",VLOOKUP(A23,Échantillon!A19:D59,2,FALSE))</f>
        <v/>
      </c>
      <c r="C23" s="205"/>
      <c r="D23" s="33">
        <v>0</v>
      </c>
      <c r="E23" s="33">
        <v>0</v>
      </c>
      <c r="F23" s="33">
        <v>0</v>
      </c>
      <c r="G23" s="33">
        <v>0</v>
      </c>
      <c r="H23" s="34" t="str">
        <v/>
      </c>
      <c r="I23" s="6"/>
      <c r="J23" s="6"/>
      <c r="K23" s="6"/>
      <c r="L23" s="6"/>
      <c r="M23" s="6"/>
      <c r="N23" s="6"/>
      <c r="O23" s="6"/>
      <c r="P23" s="6"/>
      <c r="Q23" s="6"/>
    </row>
    <row r="24" spans="1:17" customFormat="1" ht="22.5" customHeight="1">
      <c r="A24" s="175" t="str">
        <f>Échantillon!A21</f>
        <v>P10</v>
      </c>
      <c r="B24" s="204" t="str">
        <f>IF(VLOOKUP(A24,Échantillon!A20:D60,2,FALSE)="","",VLOOKUP(A24,Échantillon!A20:D60,2,FALSE))</f>
        <v/>
      </c>
      <c r="C24" s="205"/>
      <c r="D24" s="33">
        <v>0</v>
      </c>
      <c r="E24" s="33">
        <v>0</v>
      </c>
      <c r="F24" s="33">
        <v>0</v>
      </c>
      <c r="G24" s="33">
        <v>0</v>
      </c>
      <c r="H24" s="34" t="str">
        <v/>
      </c>
      <c r="I24" s="6"/>
      <c r="J24" s="6"/>
      <c r="K24" s="6"/>
      <c r="L24" s="6"/>
      <c r="M24" s="6"/>
      <c r="N24" s="6"/>
      <c r="O24" s="6"/>
      <c r="P24" s="6"/>
      <c r="Q24" s="6"/>
    </row>
    <row r="25" spans="1:17" customFormat="1" ht="22.5" customHeight="1">
      <c r="A25" s="175" t="str">
        <f>Échantillon!A22</f>
        <v>P11</v>
      </c>
      <c r="B25" s="204" t="str">
        <f>IF(VLOOKUP(A25,Échantillon!A21:D61,2,FALSE)="","",VLOOKUP(A25,Échantillon!A21:D61,2,FALSE))</f>
        <v/>
      </c>
      <c r="C25" s="205"/>
      <c r="D25" s="33">
        <v>0</v>
      </c>
      <c r="E25" s="33">
        <v>0</v>
      </c>
      <c r="F25" s="33">
        <v>0</v>
      </c>
      <c r="G25" s="33">
        <v>0</v>
      </c>
      <c r="H25" s="34" t="str">
        <v/>
      </c>
      <c r="I25" s="6"/>
      <c r="J25" s="6"/>
      <c r="K25" s="6"/>
      <c r="L25" s="6"/>
      <c r="M25" s="6"/>
      <c r="N25" s="6"/>
      <c r="O25" s="6"/>
      <c r="P25" s="6"/>
      <c r="Q25" s="6"/>
    </row>
    <row r="26" spans="1:17" customFormat="1" ht="22.5" customHeight="1">
      <c r="A26" s="175" t="str">
        <f>Échantillon!A23</f>
        <v>P12</v>
      </c>
      <c r="B26" s="204" t="str">
        <f>IF(VLOOKUP(A26,Échantillon!A22:D62,2,FALSE)="","",VLOOKUP(A26,Échantillon!A22:D62,2,FALSE))</f>
        <v/>
      </c>
      <c r="C26" s="205"/>
      <c r="D26" s="33">
        <v>0</v>
      </c>
      <c r="E26" s="33">
        <v>0</v>
      </c>
      <c r="F26" s="33">
        <v>0</v>
      </c>
      <c r="G26" s="33">
        <v>0</v>
      </c>
      <c r="H26" s="34" t="str">
        <v/>
      </c>
      <c r="I26" s="6"/>
      <c r="J26" s="6"/>
      <c r="K26" s="6"/>
      <c r="L26" s="6"/>
      <c r="M26" s="6"/>
      <c r="N26" s="6"/>
      <c r="O26" s="6"/>
      <c r="P26" s="6"/>
      <c r="Q26" s="6"/>
    </row>
    <row r="27" spans="1:17" customFormat="1" ht="22.5" customHeight="1">
      <c r="A27" s="175" t="str">
        <f>Échantillon!A24</f>
        <v>P13</v>
      </c>
      <c r="B27" s="204" t="str">
        <f>IF(VLOOKUP(A27,Échantillon!A23:D63,2,FALSE)="","",VLOOKUP(A27,Échantillon!A23:D63,2,FALSE))</f>
        <v/>
      </c>
      <c r="C27" s="205"/>
      <c r="D27" s="33">
        <v>0</v>
      </c>
      <c r="E27" s="33">
        <v>0</v>
      </c>
      <c r="F27" s="33">
        <v>0</v>
      </c>
      <c r="G27" s="33">
        <v>0</v>
      </c>
      <c r="H27" s="34" t="str">
        <v/>
      </c>
      <c r="I27" s="6"/>
      <c r="J27" s="6"/>
      <c r="K27" s="6"/>
      <c r="L27" s="6"/>
      <c r="M27" s="6"/>
      <c r="N27" s="6"/>
      <c r="O27" s="6"/>
      <c r="P27" s="6"/>
      <c r="Q27" s="6"/>
    </row>
    <row r="28" spans="1:17" customFormat="1" ht="22.5" customHeight="1">
      <c r="A28" s="175" t="str">
        <f>Échantillon!A25</f>
        <v>P14</v>
      </c>
      <c r="B28" s="204" t="str">
        <f>IF(VLOOKUP(A28,Échantillon!A24:D64,2,FALSE)="","",VLOOKUP(A28,Échantillon!A24:D64,2,FALSE))</f>
        <v/>
      </c>
      <c r="C28" s="205"/>
      <c r="D28" s="33">
        <v>0</v>
      </c>
      <c r="E28" s="33">
        <v>0</v>
      </c>
      <c r="F28" s="33">
        <v>0</v>
      </c>
      <c r="G28" s="33">
        <v>0</v>
      </c>
      <c r="H28" s="34" t="str">
        <v/>
      </c>
      <c r="I28" s="6"/>
      <c r="J28" s="6"/>
      <c r="K28" s="6"/>
      <c r="L28" s="6"/>
      <c r="M28" s="6"/>
      <c r="N28" s="6"/>
      <c r="O28" s="6"/>
      <c r="P28" s="6"/>
      <c r="Q28" s="6"/>
    </row>
    <row r="29" spans="1:17" customFormat="1" ht="22.5" customHeight="1">
      <c r="A29" s="175" t="str">
        <f>Échantillon!A26</f>
        <v>P15</v>
      </c>
      <c r="B29" s="204" t="str">
        <f>IF(VLOOKUP(A29,Échantillon!A25:D65,2,FALSE)="","",VLOOKUP(A29,Échantillon!A25:D65,2,FALSE))</f>
        <v/>
      </c>
      <c r="C29" s="205"/>
      <c r="D29" s="33">
        <v>0</v>
      </c>
      <c r="E29" s="33">
        <v>0</v>
      </c>
      <c r="F29" s="33">
        <v>0</v>
      </c>
      <c r="G29" s="33">
        <v>0</v>
      </c>
      <c r="H29" s="34" t="str">
        <v/>
      </c>
      <c r="I29" s="6"/>
      <c r="J29" s="6"/>
      <c r="K29" s="6"/>
      <c r="L29" s="6"/>
      <c r="M29" s="6"/>
      <c r="N29" s="6"/>
      <c r="O29" s="6"/>
      <c r="P29" s="6"/>
      <c r="Q29" s="6"/>
    </row>
    <row r="30" spans="1:17" customFormat="1" ht="22.5" customHeight="1">
      <c r="A30" s="175" t="str">
        <f>Échantillon!A27</f>
        <v>P16</v>
      </c>
      <c r="B30" s="204" t="str">
        <f>IF(VLOOKUP(A30,Échantillon!A26:D66,2,FALSE)="","",VLOOKUP(A30,Échantillon!A26:D66,2,FALSE))</f>
        <v/>
      </c>
      <c r="C30" s="205"/>
      <c r="D30" s="33">
        <v>0</v>
      </c>
      <c r="E30" s="33">
        <v>0</v>
      </c>
      <c r="F30" s="33">
        <v>0</v>
      </c>
      <c r="G30" s="33">
        <v>0</v>
      </c>
      <c r="H30" s="34" t="str">
        <v/>
      </c>
      <c r="I30" s="6"/>
      <c r="J30" s="6"/>
      <c r="K30" s="6"/>
      <c r="L30" s="6"/>
      <c r="M30" s="6"/>
      <c r="N30" s="6"/>
      <c r="O30" s="6"/>
      <c r="P30" s="6"/>
      <c r="Q30" s="6"/>
    </row>
    <row r="31" spans="1:17" customFormat="1" ht="22.5" customHeight="1">
      <c r="A31" s="175" t="str">
        <f>Échantillon!A28</f>
        <v>P17</v>
      </c>
      <c r="B31" s="204" t="str">
        <f>IF(VLOOKUP(A31,Échantillon!A27:D67,2,FALSE)="","",VLOOKUP(A31,Échantillon!A27:D67,2,FALSE))</f>
        <v/>
      </c>
      <c r="C31" s="205"/>
      <c r="D31" s="33">
        <v>0</v>
      </c>
      <c r="E31" s="33">
        <v>0</v>
      </c>
      <c r="F31" s="33">
        <v>0</v>
      </c>
      <c r="G31" s="33">
        <v>0</v>
      </c>
      <c r="H31" s="34" t="str">
        <v/>
      </c>
      <c r="I31" s="6"/>
      <c r="J31" s="6"/>
      <c r="K31" s="6"/>
      <c r="L31" s="6"/>
      <c r="M31" s="6"/>
      <c r="N31" s="6"/>
      <c r="O31" s="6"/>
      <c r="P31" s="6"/>
      <c r="Q31" s="6"/>
    </row>
    <row r="32" spans="1:17" customFormat="1" ht="22.5" customHeight="1">
      <c r="A32" s="175" t="str">
        <f>Échantillon!A29</f>
        <v>P18</v>
      </c>
      <c r="B32" s="204" t="str">
        <f>IF(VLOOKUP(A32,Échantillon!A28:D68,2,FALSE)="","",VLOOKUP(A32,Échantillon!A28:D68,2,FALSE))</f>
        <v/>
      </c>
      <c r="C32" s="205"/>
      <c r="D32" s="33">
        <v>0</v>
      </c>
      <c r="E32" s="33">
        <v>0</v>
      </c>
      <c r="F32" s="33">
        <v>0</v>
      </c>
      <c r="G32" s="33">
        <v>0</v>
      </c>
      <c r="H32" s="34" t="str">
        <v/>
      </c>
      <c r="I32" s="6"/>
      <c r="J32" s="6"/>
      <c r="K32" s="6"/>
      <c r="L32" s="6"/>
      <c r="M32" s="6"/>
      <c r="N32" s="6"/>
      <c r="O32" s="6"/>
      <c r="P32" s="6"/>
      <c r="Q32" s="6"/>
    </row>
    <row r="33" spans="1:17" customFormat="1" ht="22.5" customHeight="1">
      <c r="A33" s="175" t="str">
        <f>Échantillon!A30</f>
        <v>P19</v>
      </c>
      <c r="B33" s="204" t="str">
        <f>IF(VLOOKUP(A33,Échantillon!A29:D69,2,FALSE)="","",VLOOKUP(A33,Échantillon!A29:D69,2,FALSE))</f>
        <v/>
      </c>
      <c r="C33" s="205"/>
      <c r="D33" s="33">
        <v>0</v>
      </c>
      <c r="E33" s="33">
        <v>0</v>
      </c>
      <c r="F33" s="33">
        <v>0</v>
      </c>
      <c r="G33" s="33">
        <v>0</v>
      </c>
      <c r="H33" s="34" t="str">
        <v/>
      </c>
      <c r="I33" s="6"/>
      <c r="J33" s="6"/>
      <c r="K33" s="6"/>
      <c r="L33" s="6"/>
      <c r="M33" s="6"/>
      <c r="N33" s="6"/>
      <c r="O33" s="6"/>
      <c r="P33" s="6"/>
      <c r="Q33" s="6"/>
    </row>
    <row r="34" spans="1:17" customFormat="1" ht="22.5" customHeight="1">
      <c r="A34" s="175" t="str">
        <f>Échantillon!A31</f>
        <v>P20</v>
      </c>
      <c r="B34" s="204" t="str">
        <f>IF(VLOOKUP(A34,Échantillon!A30:D70,2,FALSE)="","",VLOOKUP(A34,Échantillon!A30:D70,2,FALSE))</f>
        <v/>
      </c>
      <c r="C34" s="205"/>
      <c r="D34" s="33">
        <v>0</v>
      </c>
      <c r="E34" s="33">
        <v>0</v>
      </c>
      <c r="F34" s="33">
        <v>0</v>
      </c>
      <c r="G34" s="33">
        <v>0</v>
      </c>
      <c r="H34" s="34" t="str">
        <v/>
      </c>
      <c r="I34" s="6"/>
      <c r="J34" s="6"/>
      <c r="K34" s="6"/>
      <c r="L34" s="6"/>
      <c r="M34" s="6"/>
      <c r="N34" s="6"/>
      <c r="O34" s="6"/>
      <c r="P34" s="6"/>
      <c r="Q34" s="6"/>
    </row>
    <row r="35" spans="1:17" customFormat="1" ht="22.5" customHeight="1">
      <c r="A35" s="175" t="str">
        <f>Échantillon!A32</f>
        <v>P21</v>
      </c>
      <c r="B35" s="204" t="str">
        <f>IF(VLOOKUP(A35,Échantillon!A31:D71,2,FALSE)="","",VLOOKUP(A35,Échantillon!A31:D71,2,FALSE))</f>
        <v/>
      </c>
      <c r="C35" s="205"/>
      <c r="D35" s="33">
        <v>0</v>
      </c>
      <c r="E35" s="33">
        <v>0</v>
      </c>
      <c r="F35" s="33">
        <v>0</v>
      </c>
      <c r="G35" s="33">
        <v>0</v>
      </c>
      <c r="H35" s="34" t="str">
        <v/>
      </c>
      <c r="I35" s="6"/>
      <c r="J35" s="6"/>
      <c r="K35" s="6"/>
      <c r="L35" s="6"/>
      <c r="M35" s="6"/>
      <c r="N35" s="6"/>
      <c r="O35" s="6"/>
      <c r="P35" s="6"/>
      <c r="Q35" s="6"/>
    </row>
    <row r="36" spans="1:17" customFormat="1" ht="22.5" customHeight="1">
      <c r="A36" s="175" t="str">
        <f>Échantillon!A33</f>
        <v>P22</v>
      </c>
      <c r="B36" s="204" t="str">
        <f>IF(VLOOKUP(A36,Échantillon!A32:D72,2,FALSE)="","",VLOOKUP(A36,Échantillon!A32:D72,2,FALSE))</f>
        <v/>
      </c>
      <c r="C36" s="205"/>
      <c r="D36" s="33">
        <v>0</v>
      </c>
      <c r="E36" s="33">
        <v>0</v>
      </c>
      <c r="F36" s="33">
        <v>0</v>
      </c>
      <c r="G36" s="33">
        <v>0</v>
      </c>
      <c r="H36" s="34" t="str">
        <v/>
      </c>
      <c r="I36" s="6"/>
      <c r="J36" s="6"/>
      <c r="K36" s="6"/>
      <c r="L36" s="6"/>
      <c r="M36" s="6"/>
      <c r="N36" s="6"/>
      <c r="O36" s="6"/>
      <c r="P36" s="6"/>
      <c r="Q36" s="6"/>
    </row>
    <row r="37" spans="1:17" customFormat="1" ht="22.5" customHeight="1">
      <c r="A37" s="175" t="str">
        <f>Échantillon!A34</f>
        <v>P23</v>
      </c>
      <c r="B37" s="204" t="str">
        <f>IF(VLOOKUP(A37,Échantillon!A33:D73,2,FALSE)="","",VLOOKUP(A37,Échantillon!A33:D73,2,FALSE))</f>
        <v/>
      </c>
      <c r="C37" s="205"/>
      <c r="D37" s="33">
        <v>0</v>
      </c>
      <c r="E37" s="33">
        <v>0</v>
      </c>
      <c r="F37" s="33">
        <v>0</v>
      </c>
      <c r="G37" s="33">
        <v>0</v>
      </c>
      <c r="H37" s="34" t="str">
        <v/>
      </c>
      <c r="I37" s="6"/>
      <c r="J37" s="6"/>
      <c r="K37" s="6"/>
      <c r="L37" s="6"/>
      <c r="M37" s="6"/>
      <c r="N37" s="6"/>
      <c r="O37" s="6"/>
      <c r="P37" s="6"/>
      <c r="Q37" s="6"/>
    </row>
    <row r="38" spans="1:17" customFormat="1" ht="22.5" customHeight="1">
      <c r="A38" s="175" t="str">
        <f>Échantillon!A35</f>
        <v>P24</v>
      </c>
      <c r="B38" s="204" t="str">
        <f>IF(VLOOKUP(A38,Échantillon!A34:D74,2,FALSE)="","",VLOOKUP(A38,Échantillon!A34:D74,2,FALSE))</f>
        <v/>
      </c>
      <c r="C38" s="205"/>
      <c r="D38" s="33">
        <v>0</v>
      </c>
      <c r="E38" s="33">
        <v>0</v>
      </c>
      <c r="F38" s="33">
        <v>0</v>
      </c>
      <c r="G38" s="33">
        <v>0</v>
      </c>
      <c r="H38" s="34" t="str">
        <v/>
      </c>
      <c r="I38" s="6"/>
      <c r="J38" s="6"/>
      <c r="K38" s="6"/>
      <c r="L38" s="6"/>
      <c r="M38" s="6"/>
      <c r="N38" s="6"/>
      <c r="O38" s="6"/>
      <c r="P38" s="6"/>
      <c r="Q38" s="6"/>
    </row>
    <row r="39" spans="1:17" customFormat="1" ht="22.5" customHeight="1">
      <c r="A39" s="175" t="str">
        <f>Échantillon!A36</f>
        <v>P25</v>
      </c>
      <c r="B39" s="204" t="str">
        <f>IF(VLOOKUP(A39,Échantillon!A35:D75,2,FALSE)="","",VLOOKUP(A39,Échantillon!A35:D75,2,FALSE))</f>
        <v/>
      </c>
      <c r="C39" s="205"/>
      <c r="D39" s="33">
        <v>0</v>
      </c>
      <c r="E39" s="33">
        <v>0</v>
      </c>
      <c r="F39" s="33">
        <v>0</v>
      </c>
      <c r="G39" s="33">
        <v>0</v>
      </c>
      <c r="H39" s="34" t="str">
        <v/>
      </c>
      <c r="I39" s="6"/>
      <c r="J39" s="6"/>
      <c r="K39" s="6"/>
      <c r="L39" s="6"/>
      <c r="M39" s="6"/>
      <c r="N39" s="6"/>
      <c r="O39" s="6"/>
      <c r="P39" s="6"/>
      <c r="Q39" s="6"/>
    </row>
    <row r="40" spans="1:17" customFormat="1" ht="22.5" customHeight="1">
      <c r="A40" s="175" t="str">
        <f>Échantillon!A37</f>
        <v>P26</v>
      </c>
      <c r="B40" s="204" t="str">
        <f>IF(VLOOKUP(A40,Échantillon!A36:D76,2,FALSE)="","",VLOOKUP(A40,Échantillon!A36:D76,2,FALSE))</f>
        <v/>
      </c>
      <c r="C40" s="205"/>
      <c r="D40" s="33">
        <v>0</v>
      </c>
      <c r="E40" s="33">
        <v>0</v>
      </c>
      <c r="F40" s="33">
        <v>0</v>
      </c>
      <c r="G40" s="33">
        <v>0</v>
      </c>
      <c r="H40" s="34" t="str">
        <v/>
      </c>
      <c r="I40" s="6"/>
      <c r="J40" s="6"/>
      <c r="K40" s="6"/>
      <c r="L40" s="6"/>
      <c r="M40" s="6"/>
      <c r="N40" s="6"/>
      <c r="O40" s="6"/>
      <c r="P40" s="6"/>
      <c r="Q40" s="6"/>
    </row>
    <row r="41" spans="1:17" customFormat="1" ht="22.5" customHeight="1">
      <c r="A41" s="175" t="str">
        <f>Échantillon!A38</f>
        <v>P27</v>
      </c>
      <c r="B41" s="204" t="str">
        <f>IF(VLOOKUP(A41,Échantillon!A37:D77,2,FALSE)="","",VLOOKUP(A41,Échantillon!A37:D77,2,FALSE))</f>
        <v/>
      </c>
      <c r="C41" s="205"/>
      <c r="D41" s="33">
        <v>0</v>
      </c>
      <c r="E41" s="33">
        <v>0</v>
      </c>
      <c r="F41" s="33">
        <v>0</v>
      </c>
      <c r="G41" s="33">
        <v>0</v>
      </c>
      <c r="H41" s="34" t="str">
        <v/>
      </c>
      <c r="I41" s="6"/>
      <c r="J41" s="6"/>
      <c r="K41" s="6"/>
      <c r="L41" s="6"/>
      <c r="M41" s="6"/>
      <c r="N41" s="6"/>
      <c r="O41" s="6"/>
      <c r="P41" s="6"/>
      <c r="Q41" s="6"/>
    </row>
    <row r="42" spans="1:17" customFormat="1" ht="22.5" customHeight="1">
      <c r="A42" s="175" t="str">
        <f>Échantillon!A39</f>
        <v>P28</v>
      </c>
      <c r="B42" s="204" t="str">
        <f>IF(VLOOKUP(A42,Échantillon!A38:D78,2,FALSE)="","",VLOOKUP(A42,Échantillon!A38:D78,2,FALSE))</f>
        <v/>
      </c>
      <c r="C42" s="205"/>
      <c r="D42" s="33">
        <v>0</v>
      </c>
      <c r="E42" s="33">
        <v>0</v>
      </c>
      <c r="F42" s="33">
        <v>0</v>
      </c>
      <c r="G42" s="33">
        <v>0</v>
      </c>
      <c r="H42" s="34" t="str">
        <v/>
      </c>
      <c r="I42" s="6"/>
      <c r="J42" s="6"/>
      <c r="K42" s="6"/>
      <c r="L42" s="6"/>
      <c r="M42" s="6"/>
      <c r="N42" s="6"/>
      <c r="O42" s="6"/>
      <c r="P42" s="6"/>
      <c r="Q42" s="6"/>
    </row>
    <row r="43" spans="1:17" customFormat="1" ht="22.5" customHeight="1">
      <c r="A43" s="175" t="str">
        <f>Échantillon!A40</f>
        <v>P29</v>
      </c>
      <c r="B43" s="204" t="str">
        <f>IF(VLOOKUP(A43,Échantillon!A39:D79,2,FALSE)="","",VLOOKUP(A43,Échantillon!A39:D79,2,FALSE))</f>
        <v/>
      </c>
      <c r="C43" s="205"/>
      <c r="D43" s="33">
        <v>0</v>
      </c>
      <c r="E43" s="33">
        <v>0</v>
      </c>
      <c r="F43" s="33">
        <v>0</v>
      </c>
      <c r="G43" s="33">
        <v>0</v>
      </c>
      <c r="H43" s="34" t="str">
        <v/>
      </c>
      <c r="I43" s="6"/>
      <c r="J43" s="6"/>
      <c r="K43" s="6"/>
      <c r="L43" s="6"/>
      <c r="M43" s="6"/>
      <c r="N43" s="6"/>
      <c r="O43" s="6"/>
      <c r="P43" s="6"/>
      <c r="Q43" s="6"/>
    </row>
    <row r="44" spans="1:17" customFormat="1" ht="22.5" customHeight="1">
      <c r="A44" s="175" t="str">
        <f>Échantillon!A41</f>
        <v>P30</v>
      </c>
      <c r="B44" s="204" t="str">
        <f>IF(VLOOKUP(A44,Échantillon!A40:D80,2,FALSE)="","",VLOOKUP(A44,Échantillon!A40:D80,2,FALSE))</f>
        <v/>
      </c>
      <c r="C44" s="205"/>
      <c r="D44" s="33">
        <v>0</v>
      </c>
      <c r="E44" s="33">
        <v>0</v>
      </c>
      <c r="F44" s="33">
        <v>0</v>
      </c>
      <c r="G44" s="33">
        <v>0</v>
      </c>
      <c r="H44" s="34" t="str">
        <v/>
      </c>
      <c r="I44" s="6"/>
      <c r="J44" s="6"/>
      <c r="K44" s="6"/>
      <c r="L44" s="6"/>
      <c r="M44" s="6"/>
      <c r="N44" s="6"/>
      <c r="O44" s="6"/>
      <c r="P44" s="6"/>
      <c r="Q44" s="6"/>
    </row>
    <row r="45" spans="1:17" customFormat="1" ht="22.5" customHeight="1">
      <c r="A45" s="175" t="str">
        <f>Échantillon!A42</f>
        <v>P31</v>
      </c>
      <c r="B45" s="204" t="str">
        <f>IF(VLOOKUP(A45,Échantillon!A41:D81,2,FALSE)="","",VLOOKUP(A45,Échantillon!A41:D81,2,FALSE))</f>
        <v/>
      </c>
      <c r="C45" s="205"/>
      <c r="D45" s="33">
        <v>0</v>
      </c>
      <c r="E45" s="33">
        <v>0</v>
      </c>
      <c r="F45" s="33">
        <v>0</v>
      </c>
      <c r="G45" s="33">
        <v>0</v>
      </c>
      <c r="H45" s="34" t="str">
        <v/>
      </c>
      <c r="I45" s="6"/>
      <c r="J45" s="6"/>
      <c r="K45" s="6"/>
      <c r="L45" s="6"/>
      <c r="M45" s="6"/>
      <c r="N45" s="6"/>
      <c r="O45" s="6"/>
      <c r="P45" s="6"/>
      <c r="Q45" s="6"/>
    </row>
    <row r="46" spans="1:17" customFormat="1" ht="22.5" customHeight="1">
      <c r="A46" s="175" t="str">
        <f>Échantillon!A43</f>
        <v>P32</v>
      </c>
      <c r="B46" s="204" t="str">
        <f>IF(VLOOKUP(A46,Échantillon!A42:D82,2,FALSE)="","",VLOOKUP(A46,Échantillon!A42:D82,2,FALSE))</f>
        <v/>
      </c>
      <c r="C46" s="205"/>
      <c r="D46" s="33">
        <v>0</v>
      </c>
      <c r="E46" s="33">
        <v>0</v>
      </c>
      <c r="F46" s="33">
        <v>0</v>
      </c>
      <c r="G46" s="33">
        <v>0</v>
      </c>
      <c r="H46" s="34" t="str">
        <v/>
      </c>
      <c r="I46" s="6"/>
      <c r="J46" s="6"/>
      <c r="K46" s="6"/>
      <c r="L46" s="6"/>
      <c r="M46" s="6"/>
      <c r="N46" s="6"/>
      <c r="O46" s="6"/>
      <c r="P46" s="6"/>
      <c r="Q46" s="6"/>
    </row>
    <row r="47" spans="1:17" customFormat="1" ht="22.5" customHeight="1">
      <c r="A47" s="175" t="str">
        <f>Échantillon!A44</f>
        <v>P33</v>
      </c>
      <c r="B47" s="204" t="str">
        <f>IF(VLOOKUP(A47,Échantillon!A43:D83,2,FALSE)="","",VLOOKUP(A47,Échantillon!A43:D83,2,FALSE))</f>
        <v/>
      </c>
      <c r="C47" s="205"/>
      <c r="D47" s="33">
        <v>0</v>
      </c>
      <c r="E47" s="33">
        <v>0</v>
      </c>
      <c r="F47" s="33">
        <v>0</v>
      </c>
      <c r="G47" s="33">
        <v>0</v>
      </c>
      <c r="H47" s="34" t="str">
        <v/>
      </c>
      <c r="I47" s="6"/>
      <c r="J47" s="6"/>
      <c r="K47" s="6"/>
      <c r="L47" s="6"/>
      <c r="M47" s="6"/>
      <c r="N47" s="6"/>
      <c r="O47" s="6"/>
      <c r="P47" s="6"/>
      <c r="Q47" s="6"/>
    </row>
    <row r="48" spans="1:17" customFormat="1" ht="22.5" customHeight="1">
      <c r="A48" s="175" t="str">
        <f>Échantillon!A45</f>
        <v>P34</v>
      </c>
      <c r="B48" s="204" t="str">
        <f>IF(VLOOKUP(A48,Échantillon!A44:D84,2,FALSE)="","",VLOOKUP(A48,Échantillon!A44:D84,2,FALSE))</f>
        <v/>
      </c>
      <c r="C48" s="205"/>
      <c r="D48" s="33">
        <v>0</v>
      </c>
      <c r="E48" s="33">
        <v>0</v>
      </c>
      <c r="F48" s="33">
        <v>0</v>
      </c>
      <c r="G48" s="33">
        <v>0</v>
      </c>
      <c r="H48" s="34" t="str">
        <v/>
      </c>
      <c r="I48" s="6"/>
      <c r="J48" s="6"/>
      <c r="K48" s="6"/>
      <c r="L48" s="6"/>
      <c r="M48" s="6"/>
      <c r="N48" s="6"/>
      <c r="O48" s="6"/>
      <c r="P48" s="6"/>
      <c r="Q48" s="6"/>
    </row>
    <row r="49" spans="1:17" customFormat="1" ht="22.5" customHeight="1">
      <c r="A49" s="175" t="str">
        <f>Échantillon!A46</f>
        <v>P35</v>
      </c>
      <c r="B49" s="204" t="str">
        <f>IF(VLOOKUP(A49,Échantillon!A45:D85,2,FALSE)="","",VLOOKUP(A49,Échantillon!A45:D85,2,FALSE))</f>
        <v/>
      </c>
      <c r="C49" s="205"/>
      <c r="D49" s="33">
        <v>0</v>
      </c>
      <c r="E49" s="33">
        <v>0</v>
      </c>
      <c r="F49" s="33">
        <v>0</v>
      </c>
      <c r="G49" s="33">
        <v>0</v>
      </c>
      <c r="H49" s="34" t="str">
        <v/>
      </c>
      <c r="I49" s="6"/>
      <c r="J49" s="6"/>
      <c r="K49" s="6"/>
      <c r="L49" s="6"/>
      <c r="M49" s="6"/>
      <c r="N49" s="6"/>
      <c r="O49" s="6"/>
      <c r="P49" s="6"/>
      <c r="Q49" s="6"/>
    </row>
    <row r="50" spans="1:17" customFormat="1" ht="22.5" customHeight="1">
      <c r="A50" s="175" t="str">
        <f>Échantillon!A47</f>
        <v>P36</v>
      </c>
      <c r="B50" s="204" t="str">
        <f>IF(VLOOKUP(A50,Échantillon!A46:D86,2,FALSE)="","",VLOOKUP(A50,Échantillon!A46:D86,2,FALSE))</f>
        <v/>
      </c>
      <c r="C50" s="205"/>
      <c r="D50" s="33">
        <v>0</v>
      </c>
      <c r="E50" s="33">
        <v>0</v>
      </c>
      <c r="F50" s="33">
        <v>0</v>
      </c>
      <c r="G50" s="33">
        <v>0</v>
      </c>
      <c r="H50" s="34" t="str">
        <v/>
      </c>
      <c r="I50" s="6"/>
      <c r="J50" s="6"/>
      <c r="K50" s="6"/>
      <c r="L50" s="6"/>
      <c r="M50" s="6"/>
      <c r="N50" s="6"/>
      <c r="O50" s="6"/>
      <c r="P50" s="6"/>
      <c r="Q50" s="6"/>
    </row>
    <row r="51" spans="1:17" customFormat="1" ht="22.5" customHeight="1">
      <c r="A51" s="175" t="str">
        <f>Échantillon!A48</f>
        <v>P37</v>
      </c>
      <c r="B51" s="204" t="str">
        <f>IF(VLOOKUP(A51,Échantillon!A47:D87,2,FALSE)="","",VLOOKUP(A51,Échantillon!A47:D87,2,FALSE))</f>
        <v/>
      </c>
      <c r="C51" s="205"/>
      <c r="D51" s="33">
        <v>0</v>
      </c>
      <c r="E51" s="33">
        <v>0</v>
      </c>
      <c r="F51" s="33">
        <v>0</v>
      </c>
      <c r="G51" s="33">
        <v>0</v>
      </c>
      <c r="H51" s="34" t="str">
        <v/>
      </c>
      <c r="I51" s="6"/>
      <c r="J51" s="6"/>
      <c r="K51" s="6"/>
      <c r="L51" s="6"/>
      <c r="M51" s="6"/>
      <c r="N51" s="6"/>
      <c r="O51" s="6"/>
      <c r="P51" s="6"/>
      <c r="Q51" s="6"/>
    </row>
    <row r="52" spans="1:17" customFormat="1" ht="22.5" customHeight="1">
      <c r="A52" s="175" t="str">
        <f>Échantillon!A49</f>
        <v>P38</v>
      </c>
      <c r="B52" s="204" t="str">
        <f>IF(VLOOKUP(A52,Échantillon!A48:D88,2,FALSE)="","",VLOOKUP(A52,Échantillon!A48:D88,2,FALSE))</f>
        <v/>
      </c>
      <c r="C52" s="205"/>
      <c r="D52" s="33">
        <v>0</v>
      </c>
      <c r="E52" s="33">
        <v>0</v>
      </c>
      <c r="F52" s="33">
        <v>0</v>
      </c>
      <c r="G52" s="33">
        <v>0</v>
      </c>
      <c r="H52" s="34" t="str">
        <v/>
      </c>
      <c r="I52" s="6"/>
      <c r="J52" s="6"/>
      <c r="K52" s="6"/>
      <c r="L52" s="6"/>
      <c r="M52" s="6"/>
      <c r="N52" s="6"/>
      <c r="O52" s="6"/>
      <c r="P52" s="6"/>
      <c r="Q52" s="6"/>
    </row>
    <row r="53" spans="1:17" customFormat="1" ht="22.5" customHeight="1">
      <c r="A53" s="175" t="str">
        <f>Échantillon!A50</f>
        <v>P39</v>
      </c>
      <c r="B53" s="204" t="str">
        <f>IF(VLOOKUP(A53,Échantillon!A49:D89,2,FALSE)="","",VLOOKUP(A53,Échantillon!A49:D89,2,FALSE))</f>
        <v/>
      </c>
      <c r="C53" s="205"/>
      <c r="D53" s="33">
        <v>0</v>
      </c>
      <c r="E53" s="33">
        <v>0</v>
      </c>
      <c r="F53" s="33">
        <v>0</v>
      </c>
      <c r="G53" s="33">
        <v>0</v>
      </c>
      <c r="H53" s="34" t="str">
        <v/>
      </c>
      <c r="I53" s="6"/>
      <c r="J53" s="6"/>
      <c r="K53" s="6"/>
      <c r="L53" s="6"/>
      <c r="M53" s="6"/>
      <c r="N53" s="6"/>
      <c r="O53" s="6"/>
      <c r="P53" s="6"/>
      <c r="Q53" s="6"/>
    </row>
    <row r="54" spans="1:17" customFormat="1" ht="22.5" customHeight="1">
      <c r="A54" s="175" t="str">
        <f>Échantillon!A51</f>
        <v>P40</v>
      </c>
      <c r="B54" s="204" t="str">
        <f>IF(VLOOKUP(A54,Échantillon!A50:D90,2,FALSE)="","",VLOOKUP(A54,Échantillon!A50:D90,2,FALSE))</f>
        <v/>
      </c>
      <c r="C54" s="205"/>
      <c r="D54" s="33">
        <v>0</v>
      </c>
      <c r="E54" s="33">
        <v>0</v>
      </c>
      <c r="F54" s="33">
        <v>0</v>
      </c>
      <c r="G54" s="33">
        <v>0</v>
      </c>
      <c r="H54" s="34" t="str">
        <v/>
      </c>
      <c r="I54" s="6"/>
      <c r="J54" s="6"/>
      <c r="K54" s="6"/>
      <c r="L54" s="6"/>
      <c r="M54" s="6"/>
      <c r="N54" s="6"/>
      <c r="O54" s="6"/>
      <c r="P54" s="6"/>
      <c r="Q54" s="6"/>
    </row>
    <row r="55" spans="1:17">
      <c r="E55" s="8"/>
      <c r="J55" s="6"/>
      <c r="K55" s="6"/>
      <c r="L55" s="6"/>
    </row>
    <row r="56" spans="1:17">
      <c r="E56" s="8"/>
      <c r="J56" s="6"/>
      <c r="K56" s="6"/>
      <c r="L56" s="6"/>
    </row>
    <row r="57" spans="1:17">
      <c r="E57" s="8"/>
      <c r="J57" s="6"/>
      <c r="K57" s="6"/>
      <c r="L57" s="6"/>
    </row>
    <row r="58" spans="1:17">
      <c r="E58" s="8"/>
      <c r="J58" s="6"/>
      <c r="K58" s="6"/>
      <c r="L58" s="6"/>
    </row>
    <row r="59" spans="1:17">
      <c r="E59" s="8"/>
      <c r="J59" s="6"/>
      <c r="K59" s="6"/>
      <c r="L59" s="6"/>
    </row>
    <row r="60" spans="1:17">
      <c r="E60" s="8"/>
      <c r="J60" s="6"/>
      <c r="K60" s="6"/>
      <c r="L60" s="6"/>
    </row>
    <row r="61" spans="1:17">
      <c r="E61" s="8"/>
      <c r="J61" s="6"/>
      <c r="K61" s="6"/>
      <c r="L61" s="6"/>
    </row>
    <row r="62" spans="1:17">
      <c r="E62" s="8"/>
      <c r="J62" s="6"/>
      <c r="K62" s="6"/>
      <c r="L62" s="6"/>
    </row>
    <row r="63" spans="1:17">
      <c r="E63" s="8"/>
      <c r="J63" s="6"/>
      <c r="K63" s="6"/>
      <c r="L63" s="6"/>
    </row>
    <row r="64" spans="1:17">
      <c r="E64" s="8"/>
      <c r="J64" s="6"/>
      <c r="K64" s="6"/>
      <c r="L64" s="6"/>
    </row>
    <row r="65" spans="5:12">
      <c r="E65" s="8"/>
      <c r="J65" s="6"/>
      <c r="K65" s="6"/>
      <c r="L65" s="6"/>
    </row>
    <row r="66" spans="5:12">
      <c r="E66" s="8"/>
      <c r="J66" s="6"/>
      <c r="K66" s="6"/>
      <c r="L66" s="6"/>
    </row>
    <row r="67" spans="5:12">
      <c r="E67" s="8"/>
      <c r="J67" s="6"/>
      <c r="K67" s="6"/>
      <c r="L67" s="6"/>
    </row>
    <row r="68" spans="5:12">
      <c r="E68" s="8"/>
      <c r="J68" s="6"/>
      <c r="K68" s="6"/>
      <c r="L68" s="6"/>
    </row>
    <row r="69" spans="5:12">
      <c r="E69" s="8"/>
      <c r="J69" s="6"/>
      <c r="K69" s="6"/>
      <c r="L69" s="6"/>
    </row>
    <row r="70" spans="5:12">
      <c r="E70" s="8"/>
      <c r="J70" s="6"/>
      <c r="K70" s="6"/>
      <c r="L70" s="6"/>
    </row>
    <row r="71" spans="5:12">
      <c r="E71" s="8"/>
      <c r="J71" s="6"/>
      <c r="K71" s="6"/>
      <c r="L71" s="6"/>
    </row>
    <row r="72" spans="5:12">
      <c r="E72" s="8"/>
      <c r="J72" s="6"/>
      <c r="K72" s="6"/>
      <c r="L72" s="6"/>
    </row>
    <row r="73" spans="5:12">
      <c r="E73" s="8"/>
      <c r="J73" s="6"/>
      <c r="K73" s="6"/>
      <c r="L73" s="6"/>
    </row>
    <row r="74" spans="5:12">
      <c r="E74" s="8"/>
      <c r="J74" s="6"/>
      <c r="K74" s="6"/>
      <c r="L74" s="6"/>
    </row>
    <row r="75" spans="5:12">
      <c r="E75" s="8"/>
      <c r="J75" s="6"/>
      <c r="K75" s="6"/>
      <c r="L75" s="6"/>
    </row>
    <row r="76" spans="5:12">
      <c r="E76" s="8"/>
      <c r="J76" s="6"/>
      <c r="K76" s="6"/>
      <c r="L76" s="6"/>
    </row>
    <row r="77" spans="5:12">
      <c r="E77" s="8"/>
      <c r="J77" s="6"/>
      <c r="K77" s="6"/>
      <c r="L77" s="6"/>
    </row>
    <row r="78" spans="5:12">
      <c r="E78" s="8"/>
      <c r="J78" s="6"/>
      <c r="K78" s="6"/>
      <c r="L78" s="6"/>
    </row>
    <row r="79" spans="5:12">
      <c r="E79" s="8"/>
      <c r="J79" s="6"/>
      <c r="K79" s="6"/>
      <c r="L79" s="6"/>
    </row>
    <row r="80" spans="5:12">
      <c r="E80" s="8"/>
      <c r="J80" s="6"/>
      <c r="K80" s="6"/>
      <c r="L80" s="6"/>
    </row>
    <row r="81" spans="5:12">
      <c r="E81" s="8"/>
      <c r="J81" s="6"/>
      <c r="K81" s="6"/>
      <c r="L81" s="6"/>
    </row>
    <row r="82" spans="5:12">
      <c r="E82" s="8"/>
      <c r="J82" s="6"/>
      <c r="K82" s="6"/>
      <c r="L82" s="6"/>
    </row>
    <row r="83" spans="5:12">
      <c r="E83" s="8"/>
      <c r="J83" s="6"/>
      <c r="K83" s="6"/>
      <c r="L83" s="6"/>
    </row>
    <row r="84" spans="5:12">
      <c r="E84" s="8"/>
      <c r="J84" s="6"/>
      <c r="K84" s="6"/>
      <c r="L84" s="6"/>
    </row>
    <row r="85" spans="5:12">
      <c r="E85" s="8"/>
      <c r="J85" s="6"/>
      <c r="K85" s="6"/>
      <c r="L85" s="6"/>
    </row>
    <row r="86" spans="5:12">
      <c r="E86" s="8"/>
      <c r="J86" s="6"/>
      <c r="K86" s="6"/>
      <c r="L86" s="6"/>
    </row>
    <row r="87" spans="5:12">
      <c r="E87" s="8"/>
      <c r="J87" s="6"/>
      <c r="K87" s="6"/>
      <c r="L87" s="6"/>
    </row>
    <row r="88" spans="5:12">
      <c r="E88" s="8"/>
      <c r="J88" s="6"/>
      <c r="K88" s="6"/>
      <c r="L88" s="6"/>
    </row>
    <row r="89" spans="5:12">
      <c r="E89" s="8"/>
      <c r="J89" s="6"/>
      <c r="K89" s="6"/>
      <c r="L89" s="6"/>
    </row>
    <row r="90" spans="5:12">
      <c r="E90" s="8"/>
      <c r="J90" s="6"/>
      <c r="K90" s="6"/>
      <c r="L90" s="6"/>
    </row>
    <row r="91" spans="5:12">
      <c r="E91" s="8"/>
      <c r="J91" s="6"/>
      <c r="K91" s="6"/>
      <c r="L91" s="6"/>
    </row>
    <row r="92" spans="5:12">
      <c r="E92" s="8"/>
      <c r="J92" s="6"/>
      <c r="K92" s="6"/>
      <c r="L92" s="6"/>
    </row>
    <row r="93" spans="5:12">
      <c r="E93" s="8"/>
      <c r="J93" s="6"/>
      <c r="K93" s="6"/>
      <c r="L93" s="6"/>
    </row>
    <row r="94" spans="5:12">
      <c r="E94" s="8"/>
      <c r="J94" s="6"/>
      <c r="K94" s="6"/>
      <c r="L94" s="6"/>
    </row>
    <row r="95" spans="5:12">
      <c r="E95" s="8"/>
      <c r="J95" s="6"/>
      <c r="K95" s="6"/>
      <c r="L95" s="6"/>
    </row>
    <row r="96" spans="5:12">
      <c r="E96" s="8"/>
      <c r="J96" s="6"/>
      <c r="K96" s="6"/>
      <c r="L96" s="6"/>
    </row>
    <row r="97" spans="5:12">
      <c r="E97" s="8"/>
      <c r="J97" s="6"/>
      <c r="K97" s="6"/>
      <c r="L97" s="6"/>
    </row>
    <row r="98" spans="5:12">
      <c r="E98" s="8"/>
      <c r="J98" s="6"/>
      <c r="K98" s="6"/>
      <c r="L98" s="6"/>
    </row>
    <row r="99" spans="5:12">
      <c r="E99" s="8"/>
      <c r="J99" s="6"/>
      <c r="K99" s="6"/>
      <c r="L99" s="6"/>
    </row>
    <row r="100" spans="5:12">
      <c r="E100" s="8"/>
      <c r="J100" s="6"/>
      <c r="K100" s="6"/>
      <c r="L100" s="6"/>
    </row>
    <row r="101" spans="5:12">
      <c r="E101" s="8"/>
      <c r="J101" s="6"/>
      <c r="K101" s="6"/>
      <c r="L101" s="6"/>
    </row>
    <row r="102" spans="5:12">
      <c r="E102" s="8"/>
      <c r="J102" s="6"/>
      <c r="K102" s="6"/>
      <c r="L102" s="6"/>
    </row>
    <row r="103" spans="5:12">
      <c r="E103" s="8"/>
      <c r="J103" s="6"/>
      <c r="K103" s="6"/>
      <c r="L103" s="6"/>
    </row>
    <row r="104" spans="5:12">
      <c r="J104" s="6"/>
      <c r="K104" s="6"/>
      <c r="L104" s="6"/>
    </row>
    <row r="105" spans="5:12">
      <c r="J105" s="6"/>
      <c r="K105" s="6"/>
      <c r="L105" s="6"/>
    </row>
    <row r="106" spans="5:12">
      <c r="J106" s="6"/>
      <c r="K106" s="6"/>
      <c r="L106" s="6"/>
    </row>
    <row r="107" spans="5:12">
      <c r="J107" s="6"/>
      <c r="K107" s="6"/>
      <c r="L107" s="6"/>
    </row>
    <row r="108" spans="5:12">
      <c r="J108" s="6"/>
      <c r="K108" s="6"/>
      <c r="L108" s="6"/>
    </row>
    <row r="109" spans="5:12">
      <c r="J109" s="6"/>
      <c r="K109" s="6"/>
      <c r="L109" s="6"/>
    </row>
    <row r="110" spans="5:12">
      <c r="J110" s="6"/>
      <c r="K110" s="6"/>
      <c r="L110" s="6"/>
    </row>
  </sheetData>
  <mergeCells count="52">
    <mergeCell ref="A11:C11"/>
    <mergeCell ref="G12:I12"/>
    <mergeCell ref="A4:H4"/>
    <mergeCell ref="A7:C7"/>
    <mergeCell ref="D7:G7"/>
    <mergeCell ref="J4:Q4"/>
    <mergeCell ref="D6:H6"/>
    <mergeCell ref="A8:C8"/>
    <mergeCell ref="D8:G8"/>
    <mergeCell ref="A9:C10"/>
    <mergeCell ref="A13:H13"/>
    <mergeCell ref="A14:B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53:C53"/>
    <mergeCell ref="B54:C54"/>
    <mergeCell ref="B48:C48"/>
    <mergeCell ref="B49:C49"/>
    <mergeCell ref="B50:C50"/>
    <mergeCell ref="B51:C51"/>
    <mergeCell ref="B52:C5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C94D4-11B9-4782-9144-F514A794CEE0}">
  <sheetPr codeName="Feuil4"/>
  <dimension ref="A1:J132"/>
  <sheetViews>
    <sheetView zoomScale="70" zoomScaleNormal="70" workbookViewId="0">
      <selection activeCell="F3" sqref="F3"/>
    </sheetView>
  </sheetViews>
  <sheetFormatPr baseColWidth="10" defaultColWidth="11.42578125" defaultRowHeight="68.25" customHeight="1"/>
  <cols>
    <col min="1" max="1" width="21.42578125" style="3" customWidth="1"/>
    <col min="2" max="2" width="31.5703125" style="3" customWidth="1"/>
    <col min="3" max="3" width="18.5703125" style="3" customWidth="1"/>
    <col min="4" max="4" width="8.42578125" style="3" customWidth="1"/>
    <col min="5" max="5" width="45.85546875" style="3" customWidth="1"/>
    <col min="6" max="6" width="77" style="4" customWidth="1"/>
    <col min="7" max="7" width="38.85546875" style="4" customWidth="1"/>
    <col min="8" max="8" width="33.5703125" style="4" customWidth="1"/>
    <col min="9" max="9" width="30.85546875" style="3" customWidth="1"/>
    <col min="10" max="10" width="37.28515625" style="130" customWidth="1"/>
    <col min="11" max="16384" width="11.42578125" style="4"/>
  </cols>
  <sheetData>
    <row r="1" spans="1:10" ht="42" customHeight="1">
      <c r="A1" s="117" t="str">
        <f>Échantillon!$A$1</f>
        <v>Capgemini ♠</v>
      </c>
      <c r="B1" s="111" t="s">
        <v>49</v>
      </c>
      <c r="C1" s="111"/>
      <c r="D1" s="83"/>
      <c r="E1" s="83"/>
      <c r="F1" s="81"/>
      <c r="G1" s="81"/>
      <c r="H1" s="112"/>
      <c r="I1" s="120"/>
      <c r="J1" s="81"/>
    </row>
    <row r="2" spans="1:10" ht="81" customHeight="1">
      <c r="A2" s="17" t="s">
        <v>51</v>
      </c>
      <c r="B2" s="53" t="s">
        <v>50</v>
      </c>
      <c r="C2" s="17" t="s">
        <v>459</v>
      </c>
      <c r="D2" s="17" t="s">
        <v>466</v>
      </c>
      <c r="E2" s="69" t="s">
        <v>52</v>
      </c>
      <c r="F2" s="155" t="s">
        <v>465</v>
      </c>
      <c r="G2" s="69" t="s">
        <v>53</v>
      </c>
      <c r="H2" s="70" t="s">
        <v>54</v>
      </c>
      <c r="I2" s="70" t="s">
        <v>55</v>
      </c>
      <c r="J2" s="70" t="s">
        <v>56</v>
      </c>
    </row>
    <row r="3" spans="1:10" ht="68.25" customHeight="1">
      <c r="A3" s="124" t="s">
        <v>58</v>
      </c>
      <c r="B3" s="41" t="s">
        <v>57</v>
      </c>
      <c r="C3" s="124" t="s">
        <v>59</v>
      </c>
      <c r="D3" s="156" t="s">
        <v>460</v>
      </c>
      <c r="E3" s="128" t="s">
        <v>60</v>
      </c>
      <c r="F3" s="88" t="str">
        <f>'Visualisation d''ensemble'!$AW8&amp;CHAR(10)&amp;'Visualisation d''ensemble'!$AU8</f>
        <v>NT
0</v>
      </c>
      <c r="G3" s="128" t="s">
        <v>61</v>
      </c>
      <c r="H3" s="124" t="s">
        <v>62</v>
      </c>
      <c r="I3" s="124" t="s">
        <v>63</v>
      </c>
      <c r="J3" s="129" t="s">
        <v>64</v>
      </c>
    </row>
    <row r="4" spans="1:10" ht="68.25" customHeight="1">
      <c r="A4" s="124" t="s">
        <v>65</v>
      </c>
      <c r="B4" s="41" t="s">
        <v>57</v>
      </c>
      <c r="C4" s="124" t="s">
        <v>59</v>
      </c>
      <c r="D4" s="156" t="s">
        <v>460</v>
      </c>
      <c r="E4" s="128" t="s">
        <v>66</v>
      </c>
      <c r="F4" s="88" t="str">
        <f>'Visualisation d''ensemble'!$AW9&amp;CHAR(10)&amp;'Visualisation d''ensemble'!$AU9</f>
        <v>NT
0</v>
      </c>
      <c r="G4" s="128" t="s">
        <v>61</v>
      </c>
      <c r="H4" s="124" t="s">
        <v>67</v>
      </c>
      <c r="I4" s="124" t="s">
        <v>68</v>
      </c>
      <c r="J4" s="129" t="s">
        <v>69</v>
      </c>
    </row>
    <row r="5" spans="1:10" s="1" customFormat="1" ht="68.25" customHeight="1">
      <c r="A5" s="62" t="s">
        <v>70</v>
      </c>
      <c r="B5" s="41" t="s">
        <v>57</v>
      </c>
      <c r="C5" s="62" t="s">
        <v>59</v>
      </c>
      <c r="D5" s="156" t="s">
        <v>460</v>
      </c>
      <c r="E5" s="63" t="s">
        <v>71</v>
      </c>
      <c r="F5" s="88" t="str">
        <f>'Visualisation d''ensemble'!$AW10&amp;CHAR(10)&amp;'Visualisation d''ensemble'!$AU10</f>
        <v>NT
0</v>
      </c>
      <c r="G5" s="64" t="s">
        <v>61</v>
      </c>
      <c r="H5" s="65" t="s">
        <v>62</v>
      </c>
      <c r="I5" s="65" t="s">
        <v>63</v>
      </c>
      <c r="J5" s="66" t="s">
        <v>72</v>
      </c>
    </row>
    <row r="6" spans="1:10" ht="68.25" customHeight="1">
      <c r="A6" s="124" t="s">
        <v>73</v>
      </c>
      <c r="B6" s="41" t="s">
        <v>57</v>
      </c>
      <c r="C6" s="124" t="s">
        <v>59</v>
      </c>
      <c r="D6" s="156" t="s">
        <v>460</v>
      </c>
      <c r="E6" s="128" t="s">
        <v>74</v>
      </c>
      <c r="F6" s="88" t="str">
        <f>'Visualisation d''ensemble'!$AW11&amp;CHAR(10)&amp;'Visualisation d''ensemble'!$AU11</f>
        <v>NT
0</v>
      </c>
      <c r="G6" s="128" t="s">
        <v>75</v>
      </c>
      <c r="H6" s="124" t="s">
        <v>62</v>
      </c>
      <c r="I6" s="124" t="s">
        <v>63</v>
      </c>
      <c r="J6" s="129" t="s">
        <v>76</v>
      </c>
    </row>
    <row r="7" spans="1:10" s="1" customFormat="1" ht="68.25" customHeight="1">
      <c r="A7" s="62" t="s">
        <v>77</v>
      </c>
      <c r="B7" s="41" t="s">
        <v>57</v>
      </c>
      <c r="C7" s="62" t="s">
        <v>59</v>
      </c>
      <c r="D7" s="156" t="s">
        <v>460</v>
      </c>
      <c r="E7" s="63" t="s">
        <v>78</v>
      </c>
      <c r="F7" s="88" t="str">
        <f>'Visualisation d''ensemble'!$AW12&amp;CHAR(10)&amp;'Visualisation d''ensemble'!$AU12</f>
        <v>NT
0</v>
      </c>
      <c r="G7" s="64" t="s">
        <v>75</v>
      </c>
      <c r="H7" s="65" t="s">
        <v>62</v>
      </c>
      <c r="I7" s="65" t="s">
        <v>63</v>
      </c>
      <c r="J7" s="66" t="s">
        <v>79</v>
      </c>
    </row>
    <row r="8" spans="1:10" s="1" customFormat="1" ht="68.25" customHeight="1">
      <c r="A8" s="62" t="s">
        <v>80</v>
      </c>
      <c r="B8" s="41" t="s">
        <v>57</v>
      </c>
      <c r="C8" s="62" t="s">
        <v>59</v>
      </c>
      <c r="D8" s="156" t="s">
        <v>460</v>
      </c>
      <c r="E8" s="63" t="s">
        <v>81</v>
      </c>
      <c r="F8" s="88" t="str">
        <f>'Visualisation d''ensemble'!$AW13&amp;CHAR(10)&amp;'Visualisation d''ensemble'!$AU13</f>
        <v>NT
0</v>
      </c>
      <c r="G8" s="64" t="s">
        <v>75</v>
      </c>
      <c r="H8" s="65" t="s">
        <v>62</v>
      </c>
      <c r="I8" s="65" t="s">
        <v>63</v>
      </c>
      <c r="J8" s="66" t="s">
        <v>82</v>
      </c>
    </row>
    <row r="9" spans="1:10" s="1" customFormat="1" ht="68.25" customHeight="1">
      <c r="A9" s="62" t="s">
        <v>83</v>
      </c>
      <c r="B9" s="41" t="s">
        <v>57</v>
      </c>
      <c r="C9" s="62" t="s">
        <v>59</v>
      </c>
      <c r="D9" s="156" t="s">
        <v>460</v>
      </c>
      <c r="E9" s="63" t="s">
        <v>84</v>
      </c>
      <c r="F9" s="88" t="str">
        <f>'Visualisation d''ensemble'!$AW14&amp;CHAR(10)&amp;'Visualisation d''ensemble'!$AU14</f>
        <v>NT
0</v>
      </c>
      <c r="G9" s="64" t="s">
        <v>75</v>
      </c>
      <c r="H9" s="65" t="s">
        <v>62</v>
      </c>
      <c r="I9" s="65" t="s">
        <v>63</v>
      </c>
      <c r="J9" s="66" t="s">
        <v>85</v>
      </c>
    </row>
    <row r="10" spans="1:10" s="1" customFormat="1" ht="68.25" customHeight="1">
      <c r="A10" s="62" t="s">
        <v>86</v>
      </c>
      <c r="B10" s="41" t="s">
        <v>57</v>
      </c>
      <c r="C10" s="62" t="s">
        <v>87</v>
      </c>
      <c r="D10" s="156" t="s">
        <v>460</v>
      </c>
      <c r="E10" s="63" t="s">
        <v>88</v>
      </c>
      <c r="F10" s="88" t="str">
        <f>'Visualisation d''ensemble'!$AW15&amp;CHAR(10)&amp;'Visualisation d''ensemble'!$AU15</f>
        <v>NT
0</v>
      </c>
      <c r="G10" s="64" t="s">
        <v>75</v>
      </c>
      <c r="H10" s="65" t="s">
        <v>89</v>
      </c>
      <c r="I10" s="65" t="s">
        <v>90</v>
      </c>
      <c r="J10" s="66" t="s">
        <v>91</v>
      </c>
    </row>
    <row r="11" spans="1:10" s="1" customFormat="1" ht="68.25" customHeight="1">
      <c r="A11" s="62" t="s">
        <v>92</v>
      </c>
      <c r="B11" s="41" t="s">
        <v>57</v>
      </c>
      <c r="C11" s="62" t="s">
        <v>59</v>
      </c>
      <c r="D11" s="156" t="s">
        <v>460</v>
      </c>
      <c r="E11" s="63" t="s">
        <v>93</v>
      </c>
      <c r="F11" s="88" t="str">
        <f>'Visualisation d''ensemble'!$AW16&amp;CHAR(10)&amp;'Visualisation d''ensemble'!$AU16</f>
        <v>NT
0</v>
      </c>
      <c r="G11" s="64" t="s">
        <v>94</v>
      </c>
      <c r="H11" s="65" t="s">
        <v>95</v>
      </c>
      <c r="I11" s="65" t="s">
        <v>96</v>
      </c>
      <c r="J11" s="66" t="s">
        <v>97</v>
      </c>
    </row>
    <row r="12" spans="1:10" s="1" customFormat="1" ht="68.25" customHeight="1">
      <c r="A12" s="62" t="s">
        <v>99</v>
      </c>
      <c r="B12" s="41" t="s">
        <v>98</v>
      </c>
      <c r="C12" s="62" t="s">
        <v>59</v>
      </c>
      <c r="D12" s="156" t="s">
        <v>460</v>
      </c>
      <c r="E12" s="63" t="s">
        <v>100</v>
      </c>
      <c r="F12" s="88" t="str">
        <f>'Visualisation d''ensemble'!$AW17&amp;CHAR(10)&amp;'Visualisation d''ensemble'!$AU17</f>
        <v>NT
0</v>
      </c>
      <c r="G12" s="64" t="s">
        <v>94</v>
      </c>
      <c r="H12" s="65" t="s">
        <v>95</v>
      </c>
      <c r="I12" s="65" t="s">
        <v>68</v>
      </c>
      <c r="J12" s="66" t="s">
        <v>101</v>
      </c>
    </row>
    <row r="13" spans="1:10" s="1" customFormat="1" ht="68.25" customHeight="1">
      <c r="A13" s="62" t="s">
        <v>102</v>
      </c>
      <c r="B13" s="41" t="s">
        <v>98</v>
      </c>
      <c r="C13" s="62" t="s">
        <v>59</v>
      </c>
      <c r="D13" s="156" t="s">
        <v>460</v>
      </c>
      <c r="E13" s="63" t="s">
        <v>103</v>
      </c>
      <c r="F13" s="88" t="str">
        <f>'Visualisation d''ensemble'!$AW18&amp;CHAR(10)&amp;'Visualisation d''ensemble'!$AU18</f>
        <v>NT
0</v>
      </c>
      <c r="G13" s="64" t="s">
        <v>94</v>
      </c>
      <c r="H13" s="65" t="s">
        <v>67</v>
      </c>
      <c r="I13" s="65" t="s">
        <v>68</v>
      </c>
      <c r="J13" s="66" t="s">
        <v>104</v>
      </c>
    </row>
    <row r="14" spans="1:10" s="1" customFormat="1" ht="68.25" customHeight="1">
      <c r="A14" s="62" t="s">
        <v>106</v>
      </c>
      <c r="B14" s="41" t="s">
        <v>105</v>
      </c>
      <c r="C14" s="62" t="s">
        <v>59</v>
      </c>
      <c r="D14" s="156" t="s">
        <v>460</v>
      </c>
      <c r="E14" s="63" t="s">
        <v>107</v>
      </c>
      <c r="F14" s="88" t="str">
        <f>'Visualisation d''ensemble'!$AW19&amp;CHAR(10)&amp;'Visualisation d''ensemble'!$AU19</f>
        <v>NT
0</v>
      </c>
      <c r="G14" s="64" t="s">
        <v>61</v>
      </c>
      <c r="H14" s="65" t="s">
        <v>67</v>
      </c>
      <c r="I14" s="65" t="s">
        <v>96</v>
      </c>
      <c r="J14" s="66" t="s">
        <v>108</v>
      </c>
    </row>
    <row r="15" spans="1:10" s="1" customFormat="1" ht="68.25" customHeight="1">
      <c r="A15" s="62" t="s">
        <v>109</v>
      </c>
      <c r="B15" s="41" t="s">
        <v>105</v>
      </c>
      <c r="C15" s="62" t="s">
        <v>59</v>
      </c>
      <c r="D15" s="156" t="s">
        <v>460</v>
      </c>
      <c r="E15" s="63" t="s">
        <v>110</v>
      </c>
      <c r="F15" s="88" t="str">
        <f>'Visualisation d''ensemble'!$AW20&amp;CHAR(10)&amp;'Visualisation d''ensemble'!$AU20</f>
        <v>NT
0</v>
      </c>
      <c r="G15" s="64" t="s">
        <v>111</v>
      </c>
      <c r="H15" s="65" t="s">
        <v>95</v>
      </c>
      <c r="I15" s="65" t="s">
        <v>96</v>
      </c>
      <c r="J15" s="66" t="s">
        <v>112</v>
      </c>
    </row>
    <row r="16" spans="1:10" s="1" customFormat="1" ht="68.25" customHeight="1">
      <c r="A16" s="62" t="s">
        <v>113</v>
      </c>
      <c r="B16" s="41" t="s">
        <v>105</v>
      </c>
      <c r="C16" s="62" t="s">
        <v>59</v>
      </c>
      <c r="D16" s="156" t="s">
        <v>460</v>
      </c>
      <c r="E16" s="63" t="s">
        <v>114</v>
      </c>
      <c r="F16" s="88" t="str">
        <f>'Visualisation d''ensemble'!$AW21&amp;CHAR(10)&amp;'Visualisation d''ensemble'!$AU21</f>
        <v>NT
0</v>
      </c>
      <c r="G16" s="64" t="s">
        <v>111</v>
      </c>
      <c r="H16" s="65" t="s">
        <v>95</v>
      </c>
      <c r="I16" s="65" t="s">
        <v>96</v>
      </c>
      <c r="J16" s="66" t="s">
        <v>115</v>
      </c>
    </row>
    <row r="17" spans="1:10" s="1" customFormat="1" ht="68.25" customHeight="1">
      <c r="A17" s="62" t="s">
        <v>117</v>
      </c>
      <c r="B17" s="41" t="s">
        <v>116</v>
      </c>
      <c r="C17" s="62" t="s">
        <v>59</v>
      </c>
      <c r="D17" s="156" t="s">
        <v>460</v>
      </c>
      <c r="E17" s="63" t="s">
        <v>118</v>
      </c>
      <c r="F17" s="88" t="str">
        <f>'Visualisation d''ensemble'!$AW22&amp;CHAR(10)&amp;'Visualisation d''ensemble'!$AU22</f>
        <v>NT
0</v>
      </c>
      <c r="G17" s="64" t="s">
        <v>119</v>
      </c>
      <c r="H17" s="65" t="s">
        <v>95</v>
      </c>
      <c r="I17" s="65" t="s">
        <v>63</v>
      </c>
      <c r="J17" s="66" t="s">
        <v>120</v>
      </c>
    </row>
    <row r="18" spans="1:10" s="1" customFormat="1" ht="68.25" customHeight="1">
      <c r="A18" s="62" t="s">
        <v>121</v>
      </c>
      <c r="B18" s="41" t="s">
        <v>116</v>
      </c>
      <c r="C18" s="62" t="s">
        <v>59</v>
      </c>
      <c r="D18" s="156" t="s">
        <v>460</v>
      </c>
      <c r="E18" s="63" t="s">
        <v>122</v>
      </c>
      <c r="F18" s="88" t="str">
        <f>'Visualisation d''ensemble'!$AW23&amp;CHAR(10)&amp;'Visualisation d''ensemble'!$AU23</f>
        <v>NT
0</v>
      </c>
      <c r="G18" s="64" t="s">
        <v>119</v>
      </c>
      <c r="H18" s="65" t="s">
        <v>95</v>
      </c>
      <c r="I18" s="65" t="s">
        <v>63</v>
      </c>
      <c r="J18" s="66" t="s">
        <v>123</v>
      </c>
    </row>
    <row r="19" spans="1:10" s="1" customFormat="1" ht="68.25" customHeight="1">
      <c r="A19" s="62" t="s">
        <v>124</v>
      </c>
      <c r="B19" s="41" t="s">
        <v>116</v>
      </c>
      <c r="C19" s="62" t="s">
        <v>59</v>
      </c>
      <c r="D19" s="156" t="s">
        <v>460</v>
      </c>
      <c r="E19" s="63" t="s">
        <v>125</v>
      </c>
      <c r="F19" s="88" t="str">
        <f>'Visualisation d''ensemble'!$AW24&amp;CHAR(10)&amp;'Visualisation d''ensemble'!$AU24</f>
        <v>NT
0</v>
      </c>
      <c r="G19" s="64" t="s">
        <v>126</v>
      </c>
      <c r="H19" s="65" t="s">
        <v>62</v>
      </c>
      <c r="I19" s="65" t="s">
        <v>90</v>
      </c>
      <c r="J19" s="66" t="s">
        <v>127</v>
      </c>
    </row>
    <row r="20" spans="1:10" s="1" customFormat="1" ht="68.25" customHeight="1">
      <c r="A20" s="62" t="s">
        <v>128</v>
      </c>
      <c r="B20" s="41" t="s">
        <v>116</v>
      </c>
      <c r="C20" s="62" t="s">
        <v>59</v>
      </c>
      <c r="D20" s="156" t="s">
        <v>460</v>
      </c>
      <c r="E20" s="63" t="s">
        <v>129</v>
      </c>
      <c r="F20" s="88" t="str">
        <f>'Visualisation d''ensemble'!$AW25&amp;CHAR(10)&amp;'Visualisation d''ensemble'!$AU25</f>
        <v>NT
0</v>
      </c>
      <c r="G20" s="64" t="s">
        <v>126</v>
      </c>
      <c r="H20" s="65" t="s">
        <v>62</v>
      </c>
      <c r="I20" s="65" t="s">
        <v>90</v>
      </c>
      <c r="J20" s="66" t="s">
        <v>130</v>
      </c>
    </row>
    <row r="21" spans="1:10" s="1" customFormat="1" ht="68.25" customHeight="1">
      <c r="A21" s="62" t="s">
        <v>131</v>
      </c>
      <c r="B21" s="41" t="s">
        <v>116</v>
      </c>
      <c r="C21" s="62" t="s">
        <v>87</v>
      </c>
      <c r="D21" s="156" t="s">
        <v>460</v>
      </c>
      <c r="E21" s="63" t="s">
        <v>132</v>
      </c>
      <c r="F21" s="88" t="str">
        <f>'Visualisation d''ensemble'!$AW26&amp;CHAR(10)&amp;'Visualisation d''ensemble'!$AU26</f>
        <v>NT
0</v>
      </c>
      <c r="G21" s="64" t="s">
        <v>94</v>
      </c>
      <c r="H21" s="65" t="s">
        <v>89</v>
      </c>
      <c r="I21" s="65" t="s">
        <v>133</v>
      </c>
      <c r="J21" s="66" t="s">
        <v>134</v>
      </c>
    </row>
    <row r="22" spans="1:10" s="1" customFormat="1" ht="68.25" customHeight="1">
      <c r="A22" s="62" t="s">
        <v>135</v>
      </c>
      <c r="B22" s="41" t="s">
        <v>116</v>
      </c>
      <c r="C22" s="62" t="s">
        <v>87</v>
      </c>
      <c r="D22" s="156" t="s">
        <v>460</v>
      </c>
      <c r="E22" s="63" t="s">
        <v>136</v>
      </c>
      <c r="F22" s="88" t="str">
        <f>'Visualisation d''ensemble'!$AW27&amp;CHAR(10)&amp;'Visualisation d''ensemble'!$AU27</f>
        <v>NT
0</v>
      </c>
      <c r="G22" s="64" t="s">
        <v>94</v>
      </c>
      <c r="H22" s="65" t="s">
        <v>89</v>
      </c>
      <c r="I22" s="65" t="s">
        <v>133</v>
      </c>
      <c r="J22" s="66" t="s">
        <v>137</v>
      </c>
    </row>
    <row r="23" spans="1:10" s="1" customFormat="1" ht="68.25" customHeight="1">
      <c r="A23" s="62" t="s">
        <v>138</v>
      </c>
      <c r="B23" s="41" t="s">
        <v>116</v>
      </c>
      <c r="C23" s="62" t="s">
        <v>59</v>
      </c>
      <c r="D23" s="156" t="s">
        <v>460</v>
      </c>
      <c r="E23" s="63" t="s">
        <v>139</v>
      </c>
      <c r="F23" s="88" t="str">
        <f>'Visualisation d''ensemble'!$AW28&amp;CHAR(10)&amp;'Visualisation d''ensemble'!$AU28</f>
        <v>NT
0</v>
      </c>
      <c r="G23" s="64" t="s">
        <v>61</v>
      </c>
      <c r="H23" s="65" t="s">
        <v>140</v>
      </c>
      <c r="I23" s="65" t="s">
        <v>141</v>
      </c>
      <c r="J23" s="66" t="s">
        <v>142</v>
      </c>
    </row>
    <row r="24" spans="1:10" s="1" customFormat="1" ht="123" customHeight="1">
      <c r="A24" s="62" t="s">
        <v>143</v>
      </c>
      <c r="B24" s="41" t="s">
        <v>116</v>
      </c>
      <c r="C24" s="62" t="s">
        <v>59</v>
      </c>
      <c r="D24" s="156" t="s">
        <v>460</v>
      </c>
      <c r="E24" s="63" t="s">
        <v>144</v>
      </c>
      <c r="F24" s="88" t="str">
        <f>'Visualisation d''ensemble'!$AW29&amp;CHAR(10)&amp;'Visualisation d''ensemble'!$AU29</f>
        <v>NT
0</v>
      </c>
      <c r="G24" s="64" t="s">
        <v>145</v>
      </c>
      <c r="H24" s="65" t="s">
        <v>140</v>
      </c>
      <c r="I24" s="65" t="s">
        <v>96</v>
      </c>
      <c r="J24" s="66" t="s">
        <v>146</v>
      </c>
    </row>
    <row r="25" spans="1:10" s="1" customFormat="1" ht="68.25" customHeight="1">
      <c r="A25" s="62" t="s">
        <v>147</v>
      </c>
      <c r="B25" s="41" t="s">
        <v>116</v>
      </c>
      <c r="C25" s="62" t="s">
        <v>59</v>
      </c>
      <c r="D25" s="156" t="s">
        <v>460</v>
      </c>
      <c r="E25" s="63" t="s">
        <v>148</v>
      </c>
      <c r="F25" s="88" t="str">
        <f>'Visualisation d''ensemble'!$AW30&amp;CHAR(10)&amp;'Visualisation d''ensemble'!$AU30</f>
        <v>NT
0</v>
      </c>
      <c r="G25" s="64" t="s">
        <v>119</v>
      </c>
      <c r="H25" s="65" t="s">
        <v>149</v>
      </c>
      <c r="I25" s="65" t="s">
        <v>96</v>
      </c>
      <c r="J25" s="66" t="s">
        <v>150</v>
      </c>
    </row>
    <row r="26" spans="1:10" s="1" customFormat="1" ht="112.5" customHeight="1">
      <c r="A26" s="62" t="s">
        <v>151</v>
      </c>
      <c r="B26" s="41" t="s">
        <v>116</v>
      </c>
      <c r="C26" s="62" t="s">
        <v>59</v>
      </c>
      <c r="D26" s="156" t="s">
        <v>460</v>
      </c>
      <c r="E26" s="63" t="s">
        <v>152</v>
      </c>
      <c r="F26" s="88" t="str">
        <f>'Visualisation d''ensemble'!$AW31&amp;CHAR(10)&amp;'Visualisation d''ensemble'!$AU31</f>
        <v>NT
0</v>
      </c>
      <c r="G26" s="64" t="s">
        <v>94</v>
      </c>
      <c r="H26" s="65" t="s">
        <v>95</v>
      </c>
      <c r="I26" s="65" t="s">
        <v>96</v>
      </c>
      <c r="J26" s="66" t="s">
        <v>153</v>
      </c>
    </row>
    <row r="27" spans="1:10" s="1" customFormat="1" ht="68.25" customHeight="1">
      <c r="A27" s="62" t="s">
        <v>154</v>
      </c>
      <c r="B27" s="41" t="s">
        <v>116</v>
      </c>
      <c r="C27" s="62" t="s">
        <v>59</v>
      </c>
      <c r="D27" s="156" t="s">
        <v>460</v>
      </c>
      <c r="E27" s="63" t="s">
        <v>155</v>
      </c>
      <c r="F27" s="88" t="str">
        <f>'Visualisation d''ensemble'!$AW32&amp;CHAR(10)&amp;'Visualisation d''ensemble'!$AU32</f>
        <v>NT
0</v>
      </c>
      <c r="G27" s="64" t="s">
        <v>119</v>
      </c>
      <c r="H27" s="65" t="s">
        <v>95</v>
      </c>
      <c r="I27" s="65" t="s">
        <v>63</v>
      </c>
      <c r="J27" s="66" t="s">
        <v>156</v>
      </c>
    </row>
    <row r="28" spans="1:10" s="1" customFormat="1" ht="68.25" customHeight="1">
      <c r="A28" s="62" t="s">
        <v>157</v>
      </c>
      <c r="B28" s="41" t="s">
        <v>116</v>
      </c>
      <c r="C28" s="62" t="s">
        <v>59</v>
      </c>
      <c r="D28" s="156" t="s">
        <v>460</v>
      </c>
      <c r="E28" s="63" t="s">
        <v>158</v>
      </c>
      <c r="F28" s="88" t="str">
        <f>'Visualisation d''ensemble'!$AW33&amp;CHAR(10)&amp;'Visualisation d''ensemble'!$AU33</f>
        <v>NT
0</v>
      </c>
      <c r="G28" s="64" t="s">
        <v>119</v>
      </c>
      <c r="H28" s="65" t="s">
        <v>95</v>
      </c>
      <c r="I28" s="65" t="s">
        <v>63</v>
      </c>
      <c r="J28" s="66" t="s">
        <v>159</v>
      </c>
    </row>
    <row r="29" spans="1:10" s="1" customFormat="1" ht="68.25" customHeight="1">
      <c r="A29" s="62" t="s">
        <v>160</v>
      </c>
      <c r="B29" s="41" t="s">
        <v>116</v>
      </c>
      <c r="C29" s="62" t="s">
        <v>59</v>
      </c>
      <c r="D29" s="156" t="s">
        <v>460</v>
      </c>
      <c r="E29" s="63" t="s">
        <v>161</v>
      </c>
      <c r="F29" s="88" t="str">
        <f>'Visualisation d''ensemble'!$AW34&amp;CHAR(10)&amp;'Visualisation d''ensemble'!$AU34</f>
        <v>NT
0</v>
      </c>
      <c r="G29" s="64" t="s">
        <v>119</v>
      </c>
      <c r="H29" s="65" t="s">
        <v>62</v>
      </c>
      <c r="I29" s="65" t="s">
        <v>63</v>
      </c>
      <c r="J29" s="66" t="s">
        <v>162</v>
      </c>
    </row>
    <row r="30" spans="1:10" s="1" customFormat="1" ht="68.25" customHeight="1">
      <c r="A30" s="62" t="s">
        <v>164</v>
      </c>
      <c r="B30" s="41" t="s">
        <v>163</v>
      </c>
      <c r="C30" s="62" t="s">
        <v>59</v>
      </c>
      <c r="D30" s="156" t="s">
        <v>460</v>
      </c>
      <c r="E30" s="63" t="s">
        <v>165</v>
      </c>
      <c r="F30" s="88" t="str">
        <f>'Visualisation d''ensemble'!$AW35&amp;CHAR(10)&amp;'Visualisation d''ensemble'!$AU35</f>
        <v>NT
0</v>
      </c>
      <c r="G30" s="64" t="s">
        <v>166</v>
      </c>
      <c r="H30" s="65" t="s">
        <v>62</v>
      </c>
      <c r="I30" s="65" t="s">
        <v>96</v>
      </c>
      <c r="J30" s="66" t="s">
        <v>167</v>
      </c>
    </row>
    <row r="31" spans="1:10" s="1" customFormat="1" ht="68.25" customHeight="1">
      <c r="A31" s="62" t="s">
        <v>168</v>
      </c>
      <c r="B31" s="41" t="s">
        <v>163</v>
      </c>
      <c r="C31" s="62" t="s">
        <v>59</v>
      </c>
      <c r="D31" s="156" t="s">
        <v>460</v>
      </c>
      <c r="E31" s="63" t="s">
        <v>169</v>
      </c>
      <c r="F31" s="88" t="str">
        <f>'Visualisation d''ensemble'!$AW36&amp;CHAR(10)&amp;'Visualisation d''ensemble'!$AU36</f>
        <v>NT
0</v>
      </c>
      <c r="G31" s="64" t="s">
        <v>166</v>
      </c>
      <c r="H31" s="65" t="s">
        <v>62</v>
      </c>
      <c r="I31" s="65" t="s">
        <v>96</v>
      </c>
      <c r="J31" s="66" t="s">
        <v>170</v>
      </c>
    </row>
    <row r="32" spans="1:10" s="1" customFormat="1" ht="68.25" customHeight="1">
      <c r="A32" s="62" t="s">
        <v>171</v>
      </c>
      <c r="B32" s="41" t="s">
        <v>163</v>
      </c>
      <c r="C32" s="62" t="s">
        <v>59</v>
      </c>
      <c r="D32" s="156" t="s">
        <v>460</v>
      </c>
      <c r="E32" s="63" t="s">
        <v>172</v>
      </c>
      <c r="F32" s="88" t="str">
        <f>'Visualisation d''ensemble'!$AW37&amp;CHAR(10)&amp;'Visualisation d''ensemble'!$AU37</f>
        <v>NT
0</v>
      </c>
      <c r="G32" s="64" t="s">
        <v>94</v>
      </c>
      <c r="H32" s="65" t="s">
        <v>62</v>
      </c>
      <c r="I32" s="65" t="s">
        <v>63</v>
      </c>
      <c r="J32" s="66" t="s">
        <v>173</v>
      </c>
    </row>
    <row r="33" spans="1:10" s="1" customFormat="1" ht="68.25" customHeight="1">
      <c r="A33" s="62" t="s">
        <v>174</v>
      </c>
      <c r="B33" s="41" t="s">
        <v>163</v>
      </c>
      <c r="C33" s="62" t="s">
        <v>59</v>
      </c>
      <c r="D33" s="156" t="s">
        <v>460</v>
      </c>
      <c r="E33" s="63" t="s">
        <v>175</v>
      </c>
      <c r="F33" s="88" t="str">
        <f>'Visualisation d''ensemble'!$AW38&amp;CHAR(10)&amp;'Visualisation d''ensemble'!$AU38</f>
        <v>NT
0</v>
      </c>
      <c r="G33" s="64" t="s">
        <v>61</v>
      </c>
      <c r="H33" s="65" t="s">
        <v>62</v>
      </c>
      <c r="I33" s="65" t="s">
        <v>133</v>
      </c>
      <c r="J33" s="66" t="s">
        <v>176</v>
      </c>
    </row>
    <row r="34" spans="1:10" s="1" customFormat="1" ht="68.25" customHeight="1">
      <c r="A34" s="62" t="s">
        <v>177</v>
      </c>
      <c r="B34" s="41" t="s">
        <v>163</v>
      </c>
      <c r="C34" s="62" t="s">
        <v>59</v>
      </c>
      <c r="D34" s="156" t="s">
        <v>460</v>
      </c>
      <c r="E34" s="63" t="s">
        <v>178</v>
      </c>
      <c r="F34" s="88" t="str">
        <f>'Visualisation d''ensemble'!$AW39&amp;CHAR(10)&amp;'Visualisation d''ensemble'!$AU39</f>
        <v>NT
0</v>
      </c>
      <c r="G34" s="64" t="s">
        <v>61</v>
      </c>
      <c r="H34" s="65" t="s">
        <v>62</v>
      </c>
      <c r="I34" s="65" t="s">
        <v>133</v>
      </c>
      <c r="J34" s="66" t="s">
        <v>179</v>
      </c>
    </row>
    <row r="35" spans="1:10" s="1" customFormat="1" ht="68.25" customHeight="1">
      <c r="A35" s="62" t="s">
        <v>180</v>
      </c>
      <c r="B35" s="41" t="s">
        <v>163</v>
      </c>
      <c r="C35" s="62" t="s">
        <v>59</v>
      </c>
      <c r="D35" s="156" t="s">
        <v>460</v>
      </c>
      <c r="E35" s="63" t="s">
        <v>181</v>
      </c>
      <c r="F35" s="88" t="str">
        <f>'Visualisation d''ensemble'!$AW40&amp;CHAR(10)&amp;'Visualisation d''ensemble'!$AU40</f>
        <v>NT
0</v>
      </c>
      <c r="G35" s="64" t="s">
        <v>61</v>
      </c>
      <c r="H35" s="65" t="s">
        <v>62</v>
      </c>
      <c r="I35" s="65" t="s">
        <v>63</v>
      </c>
      <c r="J35" s="66" t="s">
        <v>182</v>
      </c>
    </row>
    <row r="36" spans="1:10" s="1" customFormat="1" ht="68.25" customHeight="1">
      <c r="A36" s="62" t="s">
        <v>183</v>
      </c>
      <c r="B36" s="41" t="s">
        <v>163</v>
      </c>
      <c r="C36" s="62" t="s">
        <v>59</v>
      </c>
      <c r="D36" s="156" t="s">
        <v>460</v>
      </c>
      <c r="E36" s="63" t="s">
        <v>184</v>
      </c>
      <c r="F36" s="88" t="str">
        <f>'Visualisation d''ensemble'!$AW41&amp;CHAR(10)&amp;'Visualisation d''ensemble'!$AU41</f>
        <v>NT
0</v>
      </c>
      <c r="G36" s="64" t="s">
        <v>61</v>
      </c>
      <c r="H36" s="65" t="s">
        <v>62</v>
      </c>
      <c r="I36" s="65" t="s">
        <v>63</v>
      </c>
      <c r="J36" s="66" t="s">
        <v>185</v>
      </c>
    </row>
    <row r="37" spans="1:10" s="1" customFormat="1" ht="68.25" customHeight="1">
      <c r="A37" s="62" t="s">
        <v>186</v>
      </c>
      <c r="B37" s="41" t="s">
        <v>163</v>
      </c>
      <c r="C37" s="62" t="s">
        <v>59</v>
      </c>
      <c r="D37" s="156" t="s">
        <v>460</v>
      </c>
      <c r="E37" s="63" t="s">
        <v>187</v>
      </c>
      <c r="F37" s="88" t="str">
        <f>'Visualisation d''ensemble'!$AW42&amp;CHAR(10)&amp;'Visualisation d''ensemble'!$AU42</f>
        <v>NT
0</v>
      </c>
      <c r="G37" s="64" t="s">
        <v>94</v>
      </c>
      <c r="H37" s="65" t="s">
        <v>62</v>
      </c>
      <c r="I37" s="65" t="s">
        <v>63</v>
      </c>
      <c r="J37" s="66" t="s">
        <v>188</v>
      </c>
    </row>
    <row r="38" spans="1:10" s="1" customFormat="1" ht="68.25" customHeight="1">
      <c r="A38" s="62" t="s">
        <v>190</v>
      </c>
      <c r="B38" s="41" t="s">
        <v>189</v>
      </c>
      <c r="C38" s="62" t="s">
        <v>59</v>
      </c>
      <c r="D38" s="156" t="s">
        <v>460</v>
      </c>
      <c r="E38" s="63" t="s">
        <v>191</v>
      </c>
      <c r="F38" s="88" t="str">
        <f>'Visualisation d''ensemble'!$AW43&amp;CHAR(10)&amp;'Visualisation d''ensemble'!$AU43</f>
        <v>NT
0</v>
      </c>
      <c r="G38" s="64" t="s">
        <v>192</v>
      </c>
      <c r="H38" s="65" t="s">
        <v>62</v>
      </c>
      <c r="I38" s="65" t="s">
        <v>63</v>
      </c>
      <c r="J38" s="66" t="s">
        <v>193</v>
      </c>
    </row>
    <row r="39" spans="1:10" s="1" customFormat="1" ht="68.25" customHeight="1">
      <c r="A39" s="62" t="s">
        <v>194</v>
      </c>
      <c r="B39" s="41" t="s">
        <v>189</v>
      </c>
      <c r="C39" s="62" t="s">
        <v>59</v>
      </c>
      <c r="D39" s="156" t="s">
        <v>460</v>
      </c>
      <c r="E39" s="63" t="s">
        <v>195</v>
      </c>
      <c r="F39" s="88" t="str">
        <f>'Visualisation d''ensemble'!$AW44&amp;CHAR(10)&amp;'Visualisation d''ensemble'!$AU44</f>
        <v>NT
0</v>
      </c>
      <c r="G39" s="64" t="s">
        <v>192</v>
      </c>
      <c r="H39" s="65" t="s">
        <v>95</v>
      </c>
      <c r="I39" s="65" t="s">
        <v>63</v>
      </c>
      <c r="J39" s="66" t="s">
        <v>196</v>
      </c>
    </row>
    <row r="40" spans="1:10" s="1" customFormat="1" ht="68.25" customHeight="1">
      <c r="A40" s="62" t="s">
        <v>198</v>
      </c>
      <c r="B40" s="41" t="s">
        <v>197</v>
      </c>
      <c r="C40" s="62" t="s">
        <v>59</v>
      </c>
      <c r="D40" s="156" t="s">
        <v>460</v>
      </c>
      <c r="E40" s="63" t="s">
        <v>199</v>
      </c>
      <c r="F40" s="88" t="str">
        <f>'Visualisation d''ensemble'!$AW45&amp;CHAR(10)&amp;'Visualisation d''ensemble'!$AU45</f>
        <v>NT
0</v>
      </c>
      <c r="G40" s="64" t="s">
        <v>200</v>
      </c>
      <c r="H40" s="65" t="s">
        <v>95</v>
      </c>
      <c r="I40" s="65" t="s">
        <v>96</v>
      </c>
      <c r="J40" s="66" t="s">
        <v>201</v>
      </c>
    </row>
    <row r="41" spans="1:10" s="1" customFormat="1" ht="68.25" customHeight="1">
      <c r="A41" s="62" t="s">
        <v>202</v>
      </c>
      <c r="B41" s="41" t="s">
        <v>197</v>
      </c>
      <c r="C41" s="62" t="s">
        <v>59</v>
      </c>
      <c r="D41" s="156" t="s">
        <v>460</v>
      </c>
      <c r="E41" s="63" t="s">
        <v>203</v>
      </c>
      <c r="F41" s="88" t="str">
        <f>'Visualisation d''ensemble'!$AW46&amp;CHAR(10)&amp;'Visualisation d''ensemble'!$AU46</f>
        <v>NT
0</v>
      </c>
      <c r="G41" s="64" t="s">
        <v>200</v>
      </c>
      <c r="H41" s="65" t="s">
        <v>62</v>
      </c>
      <c r="I41" s="65" t="s">
        <v>96</v>
      </c>
      <c r="J41" s="66" t="s">
        <v>204</v>
      </c>
    </row>
    <row r="42" spans="1:10" s="1" customFormat="1" ht="68.25" customHeight="1">
      <c r="A42" s="62" t="s">
        <v>205</v>
      </c>
      <c r="B42" s="41" t="s">
        <v>197</v>
      </c>
      <c r="C42" s="62" t="s">
        <v>59</v>
      </c>
      <c r="D42" s="156" t="s">
        <v>460</v>
      </c>
      <c r="E42" s="63" t="s">
        <v>206</v>
      </c>
      <c r="F42" s="88" t="str">
        <f>'Visualisation d''ensemble'!$AW47&amp;CHAR(10)&amp;'Visualisation d''ensemble'!$AU47</f>
        <v>NT
0</v>
      </c>
      <c r="G42" s="64" t="s">
        <v>200</v>
      </c>
      <c r="H42" s="65" t="s">
        <v>140</v>
      </c>
      <c r="I42" s="65" t="s">
        <v>96</v>
      </c>
      <c r="J42" s="66" t="s">
        <v>207</v>
      </c>
    </row>
    <row r="43" spans="1:10" s="1" customFormat="1" ht="68.25" customHeight="1">
      <c r="A43" s="62" t="s">
        <v>208</v>
      </c>
      <c r="B43" s="41" t="s">
        <v>197</v>
      </c>
      <c r="C43" s="62" t="s">
        <v>59</v>
      </c>
      <c r="D43" s="156" t="s">
        <v>460</v>
      </c>
      <c r="E43" s="63" t="s">
        <v>209</v>
      </c>
      <c r="F43" s="88" t="str">
        <f>'Visualisation d''ensemble'!$AW48&amp;CHAR(10)&amp;'Visualisation d''ensemble'!$AU48</f>
        <v>NT
0</v>
      </c>
      <c r="G43" s="64" t="s">
        <v>210</v>
      </c>
      <c r="H43" s="65" t="s">
        <v>140</v>
      </c>
      <c r="I43" s="65" t="s">
        <v>96</v>
      </c>
      <c r="J43" s="66" t="s">
        <v>211</v>
      </c>
    </row>
    <row r="44" spans="1:10" s="1" customFormat="1" ht="68.25" customHeight="1">
      <c r="A44" s="62" t="s">
        <v>212</v>
      </c>
      <c r="B44" s="41" t="s">
        <v>197</v>
      </c>
      <c r="C44" s="62" t="s">
        <v>87</v>
      </c>
      <c r="D44" s="156" t="s">
        <v>460</v>
      </c>
      <c r="E44" s="63" t="s">
        <v>213</v>
      </c>
      <c r="F44" s="88" t="str">
        <f>'Visualisation d''ensemble'!$AW49&amp;CHAR(10)&amp;'Visualisation d''ensemble'!$AU49</f>
        <v>NT
0</v>
      </c>
      <c r="G44" s="64" t="s">
        <v>61</v>
      </c>
      <c r="H44" s="65" t="s">
        <v>62</v>
      </c>
      <c r="I44" s="65" t="s">
        <v>96</v>
      </c>
      <c r="J44" s="66" t="s">
        <v>214</v>
      </c>
    </row>
    <row r="45" spans="1:10" s="1" customFormat="1" ht="68.25" customHeight="1">
      <c r="A45" s="62" t="s">
        <v>215</v>
      </c>
      <c r="B45" s="61" t="str">
        <f>UPPER("éLéMENTS OBLIGATOIRES")</f>
        <v>ÉLÉMENTS OBLIGATOIRES</v>
      </c>
      <c r="C45" s="62" t="s">
        <v>59</v>
      </c>
      <c r="D45" s="156" t="s">
        <v>460</v>
      </c>
      <c r="E45" s="63" t="s">
        <v>216</v>
      </c>
      <c r="F45" s="88" t="str">
        <f>'Visualisation d''ensemble'!$AW50&amp;CHAR(10)&amp;'Visualisation d''ensemble'!$AU50</f>
        <v>NT
0</v>
      </c>
      <c r="G45" s="64" t="s">
        <v>119</v>
      </c>
      <c r="H45" s="65" t="s">
        <v>217</v>
      </c>
      <c r="I45" s="65" t="s">
        <v>218</v>
      </c>
      <c r="J45" s="66" t="s">
        <v>219</v>
      </c>
    </row>
    <row r="46" spans="1:10" s="1" customFormat="1" ht="68.25" customHeight="1">
      <c r="A46" s="62" t="s">
        <v>220</v>
      </c>
      <c r="B46" s="61" t="str">
        <f t="shared" ref="B46:B54" si="0">UPPER("éLéMENTS OBLIGATOIRES")</f>
        <v>ÉLÉMENTS OBLIGATOIRES</v>
      </c>
      <c r="C46" s="62" t="s">
        <v>59</v>
      </c>
      <c r="D46" s="156" t="s">
        <v>460</v>
      </c>
      <c r="E46" s="63" t="s">
        <v>221</v>
      </c>
      <c r="F46" s="88" t="str">
        <f>'Visualisation d''ensemble'!$AW51&amp;CHAR(10)&amp;'Visualisation d''ensemble'!$AU51</f>
        <v>NT
0</v>
      </c>
      <c r="G46" s="64" t="s">
        <v>119</v>
      </c>
      <c r="H46" s="65" t="s">
        <v>217</v>
      </c>
      <c r="I46" s="65" t="s">
        <v>218</v>
      </c>
      <c r="J46" s="66" t="s">
        <v>222</v>
      </c>
    </row>
    <row r="47" spans="1:10" s="1" customFormat="1" ht="68.25" customHeight="1">
      <c r="A47" s="62" t="s">
        <v>223</v>
      </c>
      <c r="B47" s="61" t="str">
        <f t="shared" si="0"/>
        <v>ÉLÉMENTS OBLIGATOIRES</v>
      </c>
      <c r="C47" s="62" t="s">
        <v>59</v>
      </c>
      <c r="D47" s="156" t="s">
        <v>460</v>
      </c>
      <c r="E47" s="63" t="s">
        <v>224</v>
      </c>
      <c r="F47" s="88" t="str">
        <f>'Visualisation d''ensemble'!$AW52&amp;CHAR(10)&amp;'Visualisation d''ensemble'!$AU52</f>
        <v>NT
0</v>
      </c>
      <c r="G47" s="64" t="s">
        <v>94</v>
      </c>
      <c r="H47" s="65" t="s">
        <v>62</v>
      </c>
      <c r="I47" s="65" t="s">
        <v>133</v>
      </c>
      <c r="J47" s="66" t="s">
        <v>225</v>
      </c>
    </row>
    <row r="48" spans="1:10" s="1" customFormat="1" ht="68.25" customHeight="1">
      <c r="A48" s="62" t="s">
        <v>226</v>
      </c>
      <c r="B48" s="61" t="str">
        <f t="shared" si="0"/>
        <v>ÉLÉMENTS OBLIGATOIRES</v>
      </c>
      <c r="C48" s="62" t="s">
        <v>59</v>
      </c>
      <c r="D48" s="156" t="s">
        <v>460</v>
      </c>
      <c r="E48" s="63" t="s">
        <v>227</v>
      </c>
      <c r="F48" s="88" t="str">
        <f>'Visualisation d''ensemble'!$AW53&amp;CHAR(10)&amp;'Visualisation d''ensemble'!$AU53</f>
        <v>NT
0</v>
      </c>
      <c r="G48" s="64" t="s">
        <v>94</v>
      </c>
      <c r="H48" s="65" t="s">
        <v>62</v>
      </c>
      <c r="I48" s="65" t="s">
        <v>133</v>
      </c>
      <c r="J48" s="66" t="s">
        <v>228</v>
      </c>
    </row>
    <row r="49" spans="1:10" s="1" customFormat="1" ht="68.25" customHeight="1">
      <c r="A49" s="62" t="s">
        <v>229</v>
      </c>
      <c r="B49" s="61" t="str">
        <f t="shared" si="0"/>
        <v>ÉLÉMENTS OBLIGATOIRES</v>
      </c>
      <c r="C49" s="62" t="s">
        <v>59</v>
      </c>
      <c r="D49" s="156" t="s">
        <v>460</v>
      </c>
      <c r="E49" s="63" t="s">
        <v>230</v>
      </c>
      <c r="F49" s="88" t="str">
        <f>'Visualisation d''ensemble'!$AW54&amp;CHAR(10)&amp;'Visualisation d''ensemble'!$AU54</f>
        <v>NT
0</v>
      </c>
      <c r="G49" s="64" t="s">
        <v>231</v>
      </c>
      <c r="H49" s="65" t="s">
        <v>62</v>
      </c>
      <c r="I49" s="65" t="s">
        <v>96</v>
      </c>
      <c r="J49" s="66" t="s">
        <v>232</v>
      </c>
    </row>
    <row r="50" spans="1:10" s="1" customFormat="1" ht="68.25" customHeight="1">
      <c r="A50" s="62" t="s">
        <v>233</v>
      </c>
      <c r="B50" s="61" t="str">
        <f t="shared" si="0"/>
        <v>ÉLÉMENTS OBLIGATOIRES</v>
      </c>
      <c r="C50" s="62" t="s">
        <v>59</v>
      </c>
      <c r="D50" s="156" t="s">
        <v>460</v>
      </c>
      <c r="E50" s="63" t="s">
        <v>234</v>
      </c>
      <c r="F50" s="88" t="str">
        <f>'Visualisation d''ensemble'!$AW55&amp;CHAR(10)&amp;'Visualisation d''ensemble'!$AU55</f>
        <v>NT
0</v>
      </c>
      <c r="G50" s="64" t="s">
        <v>231</v>
      </c>
      <c r="H50" s="65" t="s">
        <v>95</v>
      </c>
      <c r="I50" s="65" t="s">
        <v>96</v>
      </c>
      <c r="J50" s="66" t="s">
        <v>235</v>
      </c>
    </row>
    <row r="51" spans="1:10" s="1" customFormat="1" ht="68.25" customHeight="1">
      <c r="A51" s="62" t="s">
        <v>236</v>
      </c>
      <c r="B51" s="61" t="str">
        <f t="shared" si="0"/>
        <v>ÉLÉMENTS OBLIGATOIRES</v>
      </c>
      <c r="C51" s="62" t="s">
        <v>87</v>
      </c>
      <c r="D51" s="156" t="s">
        <v>460</v>
      </c>
      <c r="E51" s="63" t="s">
        <v>237</v>
      </c>
      <c r="F51" s="88" t="str">
        <f>'Visualisation d''ensemble'!$AW56&amp;CHAR(10)&amp;'Visualisation d''ensemble'!$AU56</f>
        <v>NT
0</v>
      </c>
      <c r="G51" s="64" t="s">
        <v>94</v>
      </c>
      <c r="H51" s="65" t="s">
        <v>95</v>
      </c>
      <c r="I51" s="65" t="s">
        <v>133</v>
      </c>
      <c r="J51" s="66" t="s">
        <v>238</v>
      </c>
    </row>
    <row r="52" spans="1:10" s="1" customFormat="1" ht="68.25" customHeight="1">
      <c r="A52" s="62" t="s">
        <v>239</v>
      </c>
      <c r="B52" s="61" t="str">
        <f t="shared" si="0"/>
        <v>ÉLÉMENTS OBLIGATOIRES</v>
      </c>
      <c r="C52" s="62" t="s">
        <v>87</v>
      </c>
      <c r="D52" s="156" t="s">
        <v>460</v>
      </c>
      <c r="E52" s="63" t="s">
        <v>240</v>
      </c>
      <c r="F52" s="88" t="str">
        <f>'Visualisation d''ensemble'!$AW57&amp;CHAR(10)&amp;'Visualisation d''ensemble'!$AU57</f>
        <v>NT
0</v>
      </c>
      <c r="G52" s="64" t="s">
        <v>94</v>
      </c>
      <c r="H52" s="65" t="s">
        <v>95</v>
      </c>
      <c r="I52" s="65" t="s">
        <v>133</v>
      </c>
      <c r="J52" s="66" t="s">
        <v>241</v>
      </c>
    </row>
    <row r="53" spans="1:10" s="1" customFormat="1" ht="68.25" customHeight="1">
      <c r="A53" s="62" t="s">
        <v>242</v>
      </c>
      <c r="B53" s="61" t="str">
        <f t="shared" si="0"/>
        <v>ÉLÉMENTS OBLIGATOIRES</v>
      </c>
      <c r="C53" s="62" t="s">
        <v>59</v>
      </c>
      <c r="D53" s="156" t="s">
        <v>460</v>
      </c>
      <c r="E53" s="63" t="s">
        <v>243</v>
      </c>
      <c r="F53" s="88" t="str">
        <f>'Visualisation d''ensemble'!$AW58&amp;CHAR(10)&amp;'Visualisation d''ensemble'!$AU58</f>
        <v>NT
0</v>
      </c>
      <c r="G53" s="64" t="s">
        <v>94</v>
      </c>
      <c r="H53" s="65" t="s">
        <v>140</v>
      </c>
      <c r="I53" s="65" t="s">
        <v>244</v>
      </c>
      <c r="J53" s="66" t="s">
        <v>245</v>
      </c>
    </row>
    <row r="54" spans="1:10" s="1" customFormat="1" ht="68.25" customHeight="1">
      <c r="A54" s="62" t="s">
        <v>246</v>
      </c>
      <c r="B54" s="61" t="str">
        <f t="shared" si="0"/>
        <v>ÉLÉMENTS OBLIGATOIRES</v>
      </c>
      <c r="C54" s="62" t="s">
        <v>59</v>
      </c>
      <c r="D54" s="156" t="s">
        <v>460</v>
      </c>
      <c r="E54" s="63" t="s">
        <v>247</v>
      </c>
      <c r="F54" s="88" t="str">
        <f>'Visualisation d''ensemble'!$AW59&amp;CHAR(10)&amp;'Visualisation d''ensemble'!$AU59</f>
        <v>NT
0</v>
      </c>
      <c r="G54" s="64" t="s">
        <v>94</v>
      </c>
      <c r="H54" s="65" t="s">
        <v>95</v>
      </c>
      <c r="I54" s="65" t="s">
        <v>133</v>
      </c>
      <c r="J54" s="66" t="s">
        <v>248</v>
      </c>
    </row>
    <row r="55" spans="1:10" s="1" customFormat="1" ht="68.25" customHeight="1">
      <c r="A55" s="62" t="s">
        <v>250</v>
      </c>
      <c r="B55" s="41" t="s">
        <v>249</v>
      </c>
      <c r="C55" s="62" t="s">
        <v>59</v>
      </c>
      <c r="D55" s="156" t="s">
        <v>460</v>
      </c>
      <c r="E55" s="63" t="s">
        <v>251</v>
      </c>
      <c r="F55" s="88" t="str">
        <f>'Visualisation d''ensemble'!$AW60&amp;CHAR(10)&amp;'Visualisation d''ensemble'!$AU60</f>
        <v>NT
0</v>
      </c>
      <c r="G55" s="64" t="s">
        <v>231</v>
      </c>
      <c r="H55" s="65" t="s">
        <v>95</v>
      </c>
      <c r="I55" s="65" t="s">
        <v>90</v>
      </c>
      <c r="J55" s="66" t="s">
        <v>252</v>
      </c>
    </row>
    <row r="56" spans="1:10" s="1" customFormat="1" ht="68.25" customHeight="1">
      <c r="A56" s="62" t="s">
        <v>253</v>
      </c>
      <c r="B56" s="41" t="s">
        <v>249</v>
      </c>
      <c r="C56" s="62" t="s">
        <v>59</v>
      </c>
      <c r="D56" s="156" t="s">
        <v>460</v>
      </c>
      <c r="E56" s="63" t="s">
        <v>254</v>
      </c>
      <c r="F56" s="88" t="str">
        <f>'Visualisation d''ensemble'!$AW61&amp;CHAR(10)&amp;'Visualisation d''ensemble'!$AU61</f>
        <v>NT
0</v>
      </c>
      <c r="G56" s="64" t="s">
        <v>231</v>
      </c>
      <c r="H56" s="65" t="s">
        <v>218</v>
      </c>
      <c r="I56" s="65" t="s">
        <v>90</v>
      </c>
      <c r="J56" s="66" t="s">
        <v>255</v>
      </c>
    </row>
    <row r="57" spans="1:10" s="1" customFormat="1" ht="68.25" customHeight="1">
      <c r="A57" s="62" t="s">
        <v>256</v>
      </c>
      <c r="B57" s="41" t="s">
        <v>249</v>
      </c>
      <c r="C57" s="62" t="s">
        <v>59</v>
      </c>
      <c r="D57" s="156" t="s">
        <v>460</v>
      </c>
      <c r="E57" s="63" t="s">
        <v>257</v>
      </c>
      <c r="F57" s="88" t="str">
        <f>'Visualisation d''ensemble'!$AW62&amp;CHAR(10)&amp;'Visualisation d''ensemble'!$AU62</f>
        <v>NT
0</v>
      </c>
      <c r="G57" s="64" t="s">
        <v>94</v>
      </c>
      <c r="H57" s="65" t="s">
        <v>218</v>
      </c>
      <c r="I57" s="65" t="s">
        <v>90</v>
      </c>
      <c r="J57" s="66" t="s">
        <v>258</v>
      </c>
    </row>
    <row r="58" spans="1:10" s="1" customFormat="1" ht="68.25" customHeight="1">
      <c r="A58" s="62" t="s">
        <v>259</v>
      </c>
      <c r="B58" s="41" t="s">
        <v>249</v>
      </c>
      <c r="C58" s="62" t="s">
        <v>59</v>
      </c>
      <c r="D58" s="156" t="s">
        <v>460</v>
      </c>
      <c r="E58" s="63" t="s">
        <v>260</v>
      </c>
      <c r="F58" s="88" t="str">
        <f>'Visualisation d''ensemble'!$AW63&amp;CHAR(10)&amp;'Visualisation d''ensemble'!$AU63</f>
        <v>NT
0</v>
      </c>
      <c r="G58" s="64" t="s">
        <v>94</v>
      </c>
      <c r="H58" s="65" t="s">
        <v>140</v>
      </c>
      <c r="I58" s="65" t="s">
        <v>68</v>
      </c>
      <c r="J58" s="66" t="s">
        <v>261</v>
      </c>
    </row>
    <row r="59" spans="1:10" s="1" customFormat="1" ht="68.25" customHeight="1">
      <c r="A59" s="62" t="s">
        <v>262</v>
      </c>
      <c r="B59" s="41" t="str">
        <f>UPPER("PRéSENTATION")</f>
        <v>PRÉSENTATION</v>
      </c>
      <c r="C59" s="62" t="s">
        <v>59</v>
      </c>
      <c r="D59" s="156" t="s">
        <v>460</v>
      </c>
      <c r="E59" s="63" t="s">
        <v>263</v>
      </c>
      <c r="F59" s="88" t="str">
        <f>'Visualisation d''ensemble'!$AW64&amp;CHAR(10)&amp;'Visualisation d''ensemble'!$AU64</f>
        <v>NT
0</v>
      </c>
      <c r="G59" s="64" t="s">
        <v>264</v>
      </c>
      <c r="H59" s="65" t="s">
        <v>140</v>
      </c>
      <c r="I59" s="65" t="s">
        <v>96</v>
      </c>
      <c r="J59" s="66" t="s">
        <v>265</v>
      </c>
    </row>
    <row r="60" spans="1:10" s="1" customFormat="1" ht="68.25" customHeight="1">
      <c r="A60" s="62" t="s">
        <v>266</v>
      </c>
      <c r="B60" s="41" t="str">
        <f t="shared" ref="B60:B72" si="1">UPPER("PRéSENTATION")</f>
        <v>PRÉSENTATION</v>
      </c>
      <c r="C60" s="62" t="s">
        <v>59</v>
      </c>
      <c r="D60" s="156" t="s">
        <v>460</v>
      </c>
      <c r="E60" s="63" t="s">
        <v>267</v>
      </c>
      <c r="F60" s="88" t="str">
        <f>'Visualisation d''ensemble'!$AW65&amp;CHAR(10)&amp;'Visualisation d''ensemble'!$AU65</f>
        <v>NT
0</v>
      </c>
      <c r="G60" s="64" t="s">
        <v>94</v>
      </c>
      <c r="H60" s="65" t="s">
        <v>95</v>
      </c>
      <c r="I60" s="65" t="s">
        <v>96</v>
      </c>
      <c r="J60" s="66" t="s">
        <v>268</v>
      </c>
    </row>
    <row r="61" spans="1:10" s="1" customFormat="1" ht="68.25" customHeight="1">
      <c r="A61" s="62" t="s">
        <v>269</v>
      </c>
      <c r="B61" s="41" t="str">
        <f t="shared" si="1"/>
        <v>PRÉSENTATION</v>
      </c>
      <c r="C61" s="62" t="s">
        <v>59</v>
      </c>
      <c r="D61" s="156" t="s">
        <v>460</v>
      </c>
      <c r="E61" s="63" t="s">
        <v>270</v>
      </c>
      <c r="F61" s="88" t="str">
        <f>'Visualisation d''ensemble'!$AW66&amp;CHAR(10)&amp;'Visualisation d''ensemble'!$AU66</f>
        <v>NT
0</v>
      </c>
      <c r="G61" s="64" t="s">
        <v>94</v>
      </c>
      <c r="H61" s="65" t="s">
        <v>95</v>
      </c>
      <c r="I61" s="65" t="s">
        <v>96</v>
      </c>
      <c r="J61" s="66" t="s">
        <v>271</v>
      </c>
    </row>
    <row r="62" spans="1:10" s="1" customFormat="1" ht="68.25" customHeight="1">
      <c r="A62" s="62" t="s">
        <v>272</v>
      </c>
      <c r="B62" s="41" t="str">
        <f t="shared" si="1"/>
        <v>PRÉSENTATION</v>
      </c>
      <c r="C62" s="62" t="s">
        <v>87</v>
      </c>
      <c r="D62" s="156" t="s">
        <v>460</v>
      </c>
      <c r="E62" s="63" t="s">
        <v>273</v>
      </c>
      <c r="F62" s="88" t="str">
        <f>'Visualisation d''ensemble'!$AW67&amp;CHAR(10)&amp;'Visualisation d''ensemble'!$AU67</f>
        <v>NT
0</v>
      </c>
      <c r="G62" s="64" t="s">
        <v>111</v>
      </c>
      <c r="H62" s="65" t="s">
        <v>140</v>
      </c>
      <c r="I62" s="65" t="s">
        <v>96</v>
      </c>
      <c r="J62" s="66" t="s">
        <v>274</v>
      </c>
    </row>
    <row r="63" spans="1:10" s="1" customFormat="1" ht="68.25" customHeight="1">
      <c r="A63" s="62" t="s">
        <v>275</v>
      </c>
      <c r="B63" s="41" t="str">
        <f t="shared" si="1"/>
        <v>PRÉSENTATION</v>
      </c>
      <c r="C63" s="62" t="s">
        <v>87</v>
      </c>
      <c r="D63" s="156" t="s">
        <v>460</v>
      </c>
      <c r="E63" s="63" t="s">
        <v>276</v>
      </c>
      <c r="F63" s="88" t="str">
        <f>'Visualisation d''ensemble'!$AW68&amp;CHAR(10)&amp;'Visualisation d''ensemble'!$AU68</f>
        <v>NT
0</v>
      </c>
      <c r="G63" s="64" t="s">
        <v>111</v>
      </c>
      <c r="H63" s="65" t="s">
        <v>140</v>
      </c>
      <c r="I63" s="65" t="s">
        <v>96</v>
      </c>
      <c r="J63" s="66" t="s">
        <v>277</v>
      </c>
    </row>
    <row r="64" spans="1:10" s="1" customFormat="1" ht="68.25" customHeight="1">
      <c r="A64" s="62" t="s">
        <v>278</v>
      </c>
      <c r="B64" s="41" t="str">
        <f t="shared" si="1"/>
        <v>PRÉSENTATION</v>
      </c>
      <c r="C64" s="62" t="s">
        <v>59</v>
      </c>
      <c r="D64" s="156" t="s">
        <v>460</v>
      </c>
      <c r="E64" s="63" t="s">
        <v>279</v>
      </c>
      <c r="F64" s="88" t="str">
        <f>'Visualisation d''ensemble'!$AW69&amp;CHAR(10)&amp;'Visualisation d''ensemble'!$AU69</f>
        <v>NT
0</v>
      </c>
      <c r="G64" s="64" t="s">
        <v>111</v>
      </c>
      <c r="H64" s="65" t="s">
        <v>244</v>
      </c>
      <c r="I64" s="65" t="s">
        <v>133</v>
      </c>
      <c r="J64" s="66" t="s">
        <v>280</v>
      </c>
    </row>
    <row r="65" spans="1:10" s="1" customFormat="1" ht="68.25" customHeight="1">
      <c r="A65" s="62" t="s">
        <v>281</v>
      </c>
      <c r="B65" s="41" t="str">
        <f t="shared" si="1"/>
        <v>PRÉSENTATION</v>
      </c>
      <c r="C65" s="62" t="s">
        <v>59</v>
      </c>
      <c r="D65" s="156" t="s">
        <v>460</v>
      </c>
      <c r="E65" s="63" t="s">
        <v>282</v>
      </c>
      <c r="F65" s="88" t="str">
        <f>'Visualisation d''ensemble'!$AW70&amp;CHAR(10)&amp;'Visualisation d''ensemble'!$AU70</f>
        <v>NT
0</v>
      </c>
      <c r="G65" s="64" t="s">
        <v>283</v>
      </c>
      <c r="H65" s="65" t="s">
        <v>140</v>
      </c>
      <c r="I65" s="65" t="s">
        <v>96</v>
      </c>
      <c r="J65" s="66" t="s">
        <v>284</v>
      </c>
    </row>
    <row r="66" spans="1:10" s="1" customFormat="1" ht="68.25" customHeight="1">
      <c r="A66" s="62" t="s">
        <v>285</v>
      </c>
      <c r="B66" s="41" t="str">
        <f t="shared" si="1"/>
        <v>PRÉSENTATION</v>
      </c>
      <c r="C66" s="62" t="s">
        <v>59</v>
      </c>
      <c r="D66" s="156" t="s">
        <v>460</v>
      </c>
      <c r="E66" s="63" t="s">
        <v>286</v>
      </c>
      <c r="F66" s="88" t="str">
        <f>'Visualisation d''ensemble'!$AW71&amp;CHAR(10)&amp;'Visualisation d''ensemble'!$AU71</f>
        <v>NT
0</v>
      </c>
      <c r="G66" s="64" t="s">
        <v>61</v>
      </c>
      <c r="H66" s="65" t="s">
        <v>89</v>
      </c>
      <c r="I66" s="65" t="s">
        <v>63</v>
      </c>
      <c r="J66" s="66" t="s">
        <v>287</v>
      </c>
    </row>
    <row r="67" spans="1:10" s="1" customFormat="1" ht="68.25" customHeight="1">
      <c r="A67" s="62" t="s">
        <v>288</v>
      </c>
      <c r="B67" s="41" t="str">
        <f t="shared" si="1"/>
        <v>PRÉSENTATION</v>
      </c>
      <c r="C67" s="62" t="s">
        <v>59</v>
      </c>
      <c r="D67" s="156" t="s">
        <v>460</v>
      </c>
      <c r="E67" s="63" t="s">
        <v>289</v>
      </c>
      <c r="F67" s="88" t="str">
        <f>'Visualisation d''ensemble'!$AW72&amp;CHAR(10)&amp;'Visualisation d''ensemble'!$AU72</f>
        <v>NT
0</v>
      </c>
      <c r="G67" s="64" t="s">
        <v>94</v>
      </c>
      <c r="H67" s="65" t="s">
        <v>89</v>
      </c>
      <c r="I67" s="65" t="s">
        <v>63</v>
      </c>
      <c r="J67" s="66" t="s">
        <v>290</v>
      </c>
    </row>
    <row r="68" spans="1:10" s="1" customFormat="1" ht="68.25" customHeight="1">
      <c r="A68" s="62" t="s">
        <v>291</v>
      </c>
      <c r="B68" s="41" t="str">
        <f t="shared" si="1"/>
        <v>PRÉSENTATION</v>
      </c>
      <c r="C68" s="62" t="s">
        <v>59</v>
      </c>
      <c r="D68" s="156" t="s">
        <v>460</v>
      </c>
      <c r="E68" s="63" t="s">
        <v>292</v>
      </c>
      <c r="F68" s="88" t="str">
        <f>'Visualisation d''ensemble'!$AW73&amp;CHAR(10)&amp;'Visualisation d''ensemble'!$AU73</f>
        <v>NT
0</v>
      </c>
      <c r="G68" s="64" t="s">
        <v>94</v>
      </c>
      <c r="H68" s="65" t="s">
        <v>89</v>
      </c>
      <c r="I68" s="65" t="s">
        <v>63</v>
      </c>
      <c r="J68" s="66" t="s">
        <v>293</v>
      </c>
    </row>
    <row r="69" spans="1:10" s="1" customFormat="1" ht="68.25" customHeight="1">
      <c r="A69" s="62" t="s">
        <v>294</v>
      </c>
      <c r="B69" s="41" t="str">
        <f t="shared" si="1"/>
        <v>PRÉSENTATION</v>
      </c>
      <c r="C69" s="62" t="s">
        <v>87</v>
      </c>
      <c r="D69" s="156" t="s">
        <v>460</v>
      </c>
      <c r="E69" s="63" t="s">
        <v>295</v>
      </c>
      <c r="F69" s="88" t="str">
        <f>'Visualisation d''ensemble'!$AW74&amp;CHAR(10)&amp;'Visualisation d''ensemble'!$AU74</f>
        <v>NT
0</v>
      </c>
      <c r="G69" s="64" t="s">
        <v>296</v>
      </c>
      <c r="H69" s="65" t="s">
        <v>67</v>
      </c>
      <c r="I69" s="65" t="s">
        <v>96</v>
      </c>
      <c r="J69" s="66" t="s">
        <v>297</v>
      </c>
    </row>
    <row r="70" spans="1:10" s="1" customFormat="1" ht="68.25" customHeight="1">
      <c r="A70" s="62" t="s">
        <v>298</v>
      </c>
      <c r="B70" s="41" t="str">
        <f t="shared" si="1"/>
        <v>PRÉSENTATION</v>
      </c>
      <c r="C70" s="62" t="s">
        <v>87</v>
      </c>
      <c r="D70" s="156" t="s">
        <v>460</v>
      </c>
      <c r="E70" s="63" t="s">
        <v>299</v>
      </c>
      <c r="F70" s="88" t="str">
        <f>'Visualisation d''ensemble'!$AW75&amp;CHAR(10)&amp;'Visualisation d''ensemble'!$AU75</f>
        <v>NT
0</v>
      </c>
      <c r="G70" s="64" t="s">
        <v>300</v>
      </c>
      <c r="H70" s="65" t="s">
        <v>149</v>
      </c>
      <c r="I70" s="65" t="s">
        <v>96</v>
      </c>
      <c r="J70" s="66" t="s">
        <v>301</v>
      </c>
    </row>
    <row r="71" spans="1:10" s="1" customFormat="1" ht="68.25" customHeight="1">
      <c r="A71" s="62" t="s">
        <v>302</v>
      </c>
      <c r="B71" s="41" t="str">
        <f t="shared" si="1"/>
        <v>PRÉSENTATION</v>
      </c>
      <c r="C71" s="62" t="s">
        <v>87</v>
      </c>
      <c r="D71" s="156" t="s">
        <v>460</v>
      </c>
      <c r="E71" s="63" t="s">
        <v>303</v>
      </c>
      <c r="F71" s="88" t="str">
        <f>'Visualisation d''ensemble'!$AW76&amp;CHAR(10)&amp;'Visualisation d''ensemble'!$AU76</f>
        <v>NT
0</v>
      </c>
      <c r="G71" s="64" t="s">
        <v>304</v>
      </c>
      <c r="H71" s="65" t="s">
        <v>149</v>
      </c>
      <c r="I71" s="65" t="s">
        <v>96</v>
      </c>
      <c r="J71" s="66" t="s">
        <v>305</v>
      </c>
    </row>
    <row r="72" spans="1:10" s="1" customFormat="1" ht="68.25" customHeight="1">
      <c r="A72" s="62" t="s">
        <v>306</v>
      </c>
      <c r="B72" s="41" t="str">
        <f t="shared" si="1"/>
        <v>PRÉSENTATION</v>
      </c>
      <c r="C72" s="62" t="s">
        <v>87</v>
      </c>
      <c r="D72" s="156" t="s">
        <v>460</v>
      </c>
      <c r="E72" s="63" t="s">
        <v>307</v>
      </c>
      <c r="F72" s="88" t="str">
        <f>'Visualisation d''ensemble'!$AW77&amp;CHAR(10)&amp;'Visualisation d''ensemble'!$AU77</f>
        <v>NT
0</v>
      </c>
      <c r="G72" s="64" t="s">
        <v>304</v>
      </c>
      <c r="H72" s="65" t="s">
        <v>95</v>
      </c>
      <c r="I72" s="65" t="s">
        <v>96</v>
      </c>
      <c r="J72" s="66" t="s">
        <v>308</v>
      </c>
    </row>
    <row r="73" spans="1:10" s="1" customFormat="1" ht="105.75" customHeight="1">
      <c r="A73" s="62" t="s">
        <v>310</v>
      </c>
      <c r="B73" s="41" t="s">
        <v>309</v>
      </c>
      <c r="C73" s="62" t="s">
        <v>59</v>
      </c>
      <c r="D73" s="156" t="s">
        <v>460</v>
      </c>
      <c r="E73" s="63" t="s">
        <v>311</v>
      </c>
      <c r="F73" s="88" t="str">
        <f>'Visualisation d''ensemble'!$AW78&amp;CHAR(10)&amp;'Visualisation d''ensemble'!$AU78</f>
        <v>NT
0</v>
      </c>
      <c r="G73" s="64" t="s">
        <v>210</v>
      </c>
      <c r="H73" s="65" t="s">
        <v>95</v>
      </c>
      <c r="I73" s="65" t="s">
        <v>96</v>
      </c>
      <c r="J73" s="66" t="s">
        <v>312</v>
      </c>
    </row>
    <row r="74" spans="1:10" s="1" customFormat="1" ht="95.25" customHeight="1">
      <c r="A74" s="62" t="s">
        <v>313</v>
      </c>
      <c r="B74" s="41" t="s">
        <v>309</v>
      </c>
      <c r="C74" s="62" t="s">
        <v>59</v>
      </c>
      <c r="D74" s="156" t="s">
        <v>460</v>
      </c>
      <c r="E74" s="63" t="s">
        <v>314</v>
      </c>
      <c r="F74" s="88" t="str">
        <f>'Visualisation d''ensemble'!$AW79&amp;CHAR(10)&amp;'Visualisation d''ensemble'!$AU79</f>
        <v>NT
0</v>
      </c>
      <c r="G74" s="64" t="s">
        <v>210</v>
      </c>
      <c r="H74" s="65" t="s">
        <v>95</v>
      </c>
      <c r="I74" s="65" t="s">
        <v>96</v>
      </c>
      <c r="J74" s="66" t="s">
        <v>315</v>
      </c>
    </row>
    <row r="75" spans="1:10" s="1" customFormat="1" ht="68.25" customHeight="1">
      <c r="A75" s="62" t="s">
        <v>316</v>
      </c>
      <c r="B75" s="41" t="s">
        <v>309</v>
      </c>
      <c r="C75" s="62" t="s">
        <v>59</v>
      </c>
      <c r="D75" s="156" t="s">
        <v>460</v>
      </c>
      <c r="E75" s="63" t="s">
        <v>317</v>
      </c>
      <c r="F75" s="88" t="str">
        <f>'Visualisation d''ensemble'!$AW80&amp;CHAR(10)&amp;'Visualisation d''ensemble'!$AU80</f>
        <v>NT
0</v>
      </c>
      <c r="G75" s="64" t="s">
        <v>210</v>
      </c>
      <c r="H75" s="65" t="s">
        <v>95</v>
      </c>
      <c r="I75" s="65" t="s">
        <v>96</v>
      </c>
      <c r="J75" s="66" t="s">
        <v>318</v>
      </c>
    </row>
    <row r="76" spans="1:10" s="1" customFormat="1" ht="68.25" customHeight="1">
      <c r="A76" s="62" t="s">
        <v>319</v>
      </c>
      <c r="B76" s="41" t="s">
        <v>309</v>
      </c>
      <c r="C76" s="62" t="s">
        <v>59</v>
      </c>
      <c r="D76" s="156" t="s">
        <v>460</v>
      </c>
      <c r="E76" s="63" t="s">
        <v>320</v>
      </c>
      <c r="F76" s="88" t="str">
        <f>'Visualisation d''ensemble'!$AW81&amp;CHAR(10)&amp;'Visualisation d''ensemble'!$AU81</f>
        <v>NT
0</v>
      </c>
      <c r="G76" s="64" t="s">
        <v>111</v>
      </c>
      <c r="H76" s="65" t="s">
        <v>95</v>
      </c>
      <c r="I76" s="65" t="s">
        <v>90</v>
      </c>
      <c r="J76" s="66" t="s">
        <v>321</v>
      </c>
    </row>
    <row r="77" spans="1:10" s="1" customFormat="1" ht="68.25" customHeight="1">
      <c r="A77" s="62" t="s">
        <v>322</v>
      </c>
      <c r="B77" s="41" t="s">
        <v>309</v>
      </c>
      <c r="C77" s="62" t="s">
        <v>59</v>
      </c>
      <c r="D77" s="156" t="s">
        <v>460</v>
      </c>
      <c r="E77" s="63" t="s">
        <v>323</v>
      </c>
      <c r="F77" s="88" t="str">
        <f>'Visualisation d''ensemble'!$AW82&amp;CHAR(10)&amp;'Visualisation d''ensemble'!$AU82</f>
        <v>NT
0</v>
      </c>
      <c r="G77" s="64" t="s">
        <v>61</v>
      </c>
      <c r="H77" s="65" t="s">
        <v>140</v>
      </c>
      <c r="I77" s="65" t="s">
        <v>96</v>
      </c>
      <c r="J77" s="66" t="s">
        <v>324</v>
      </c>
    </row>
    <row r="78" spans="1:10" s="1" customFormat="1" ht="68.25" customHeight="1">
      <c r="A78" s="62" t="s">
        <v>325</v>
      </c>
      <c r="B78" s="41" t="s">
        <v>309</v>
      </c>
      <c r="C78" s="62" t="s">
        <v>59</v>
      </c>
      <c r="D78" s="156" t="s">
        <v>460</v>
      </c>
      <c r="E78" s="63" t="s">
        <v>326</v>
      </c>
      <c r="F78" s="88" t="str">
        <f>'Visualisation d''ensemble'!$AW83&amp;CHAR(10)&amp;'Visualisation d''ensemble'!$AU83</f>
        <v>NT
0</v>
      </c>
      <c r="G78" s="64" t="s">
        <v>61</v>
      </c>
      <c r="H78" s="65" t="s">
        <v>95</v>
      </c>
      <c r="I78" s="65" t="s">
        <v>96</v>
      </c>
      <c r="J78" s="66" t="s">
        <v>327</v>
      </c>
    </row>
    <row r="79" spans="1:10" s="1" customFormat="1" ht="68.25" customHeight="1">
      <c r="A79" s="62" t="s">
        <v>328</v>
      </c>
      <c r="B79" s="41" t="s">
        <v>309</v>
      </c>
      <c r="C79" s="62" t="s">
        <v>59</v>
      </c>
      <c r="D79" s="156" t="s">
        <v>460</v>
      </c>
      <c r="E79" s="63" t="s">
        <v>329</v>
      </c>
      <c r="F79" s="88" t="str">
        <f>'Visualisation d''ensemble'!$AW84&amp;CHAR(10)&amp;'Visualisation d''ensemble'!$AU84</f>
        <v>NT
0</v>
      </c>
      <c r="G79" s="64" t="s">
        <v>61</v>
      </c>
      <c r="H79" s="65" t="s">
        <v>62</v>
      </c>
      <c r="I79" s="65" t="s">
        <v>96</v>
      </c>
      <c r="J79" s="66" t="s">
        <v>330</v>
      </c>
    </row>
    <row r="80" spans="1:10" s="1" customFormat="1" ht="68.25" customHeight="1">
      <c r="A80" s="62" t="s">
        <v>331</v>
      </c>
      <c r="B80" s="41" t="s">
        <v>309</v>
      </c>
      <c r="C80" s="62" t="s">
        <v>59</v>
      </c>
      <c r="D80" s="156" t="s">
        <v>460</v>
      </c>
      <c r="E80" s="63" t="s">
        <v>332</v>
      </c>
      <c r="F80" s="88" t="str">
        <f>'Visualisation d''ensemble'!$AW85&amp;CHAR(10)&amp;'Visualisation d''ensemble'!$AU85</f>
        <v>NT
0</v>
      </c>
      <c r="G80" s="64" t="s">
        <v>94</v>
      </c>
      <c r="H80" s="65" t="s">
        <v>62</v>
      </c>
      <c r="I80" s="65" t="s">
        <v>96</v>
      </c>
      <c r="J80" s="66" t="s">
        <v>333</v>
      </c>
    </row>
    <row r="81" spans="1:10" s="1" customFormat="1" ht="68.25" customHeight="1">
      <c r="A81" s="62" t="s">
        <v>334</v>
      </c>
      <c r="B81" s="41" t="s">
        <v>309</v>
      </c>
      <c r="C81" s="62" t="s">
        <v>59</v>
      </c>
      <c r="D81" s="156" t="s">
        <v>460</v>
      </c>
      <c r="E81" s="63" t="s">
        <v>335</v>
      </c>
      <c r="F81" s="88" t="str">
        <f>'Visualisation d''ensemble'!$AW86&amp;CHAR(10)&amp;'Visualisation d''ensemble'!$AU86</f>
        <v>NT
0</v>
      </c>
      <c r="G81" s="64" t="s">
        <v>336</v>
      </c>
      <c r="H81" s="65" t="s">
        <v>62</v>
      </c>
      <c r="I81" s="65" t="s">
        <v>96</v>
      </c>
      <c r="J81" s="66" t="s">
        <v>337</v>
      </c>
    </row>
    <row r="82" spans="1:10" s="1" customFormat="1" ht="68.25" customHeight="1">
      <c r="A82" s="62" t="s">
        <v>338</v>
      </c>
      <c r="B82" s="41" t="s">
        <v>309</v>
      </c>
      <c r="C82" s="62" t="s">
        <v>59</v>
      </c>
      <c r="D82" s="156" t="s">
        <v>460</v>
      </c>
      <c r="E82" s="63" t="s">
        <v>339</v>
      </c>
      <c r="F82" s="88" t="str">
        <f>'Visualisation d''ensemble'!$AW87&amp;CHAR(10)&amp;'Visualisation d''ensemble'!$AU87</f>
        <v>NT
0</v>
      </c>
      <c r="G82" s="64" t="s">
        <v>340</v>
      </c>
      <c r="H82" s="65" t="s">
        <v>95</v>
      </c>
      <c r="I82" s="65" t="s">
        <v>96</v>
      </c>
      <c r="J82" s="66" t="s">
        <v>341</v>
      </c>
    </row>
    <row r="83" spans="1:10" s="1" customFormat="1" ht="68.25" customHeight="1">
      <c r="A83" s="62" t="s">
        <v>342</v>
      </c>
      <c r="B83" s="41" t="s">
        <v>309</v>
      </c>
      <c r="C83" s="62" t="s">
        <v>59</v>
      </c>
      <c r="D83" s="156" t="s">
        <v>460</v>
      </c>
      <c r="E83" s="63" t="s">
        <v>343</v>
      </c>
      <c r="F83" s="88" t="str">
        <f>'Visualisation d''ensemble'!$AW88&amp;CHAR(10)&amp;'Visualisation d''ensemble'!$AU88</f>
        <v>NT
0</v>
      </c>
      <c r="G83" s="64" t="s">
        <v>340</v>
      </c>
      <c r="H83" s="65" t="s">
        <v>95</v>
      </c>
      <c r="I83" s="65" t="s">
        <v>96</v>
      </c>
      <c r="J83" s="66" t="s">
        <v>344</v>
      </c>
    </row>
    <row r="84" spans="1:10" s="1" customFormat="1" ht="68.25" customHeight="1">
      <c r="A84" s="62" t="s">
        <v>345</v>
      </c>
      <c r="B84" s="41" t="s">
        <v>309</v>
      </c>
      <c r="C84" s="62" t="s">
        <v>59</v>
      </c>
      <c r="D84" s="156" t="s">
        <v>460</v>
      </c>
      <c r="E84" s="63" t="s">
        <v>346</v>
      </c>
      <c r="F84" s="88" t="str">
        <f>'Visualisation d''ensemble'!$AW89&amp;CHAR(10)&amp;'Visualisation d''ensemble'!$AU89</f>
        <v>NT
0</v>
      </c>
      <c r="G84" s="64" t="s">
        <v>119</v>
      </c>
      <c r="H84" s="65" t="s">
        <v>95</v>
      </c>
      <c r="I84" s="65" t="s">
        <v>96</v>
      </c>
      <c r="J84" s="66" t="s">
        <v>347</v>
      </c>
    </row>
    <row r="85" spans="1:10" s="1" customFormat="1" ht="68.25" customHeight="1">
      <c r="A85" s="62" t="s">
        <v>348</v>
      </c>
      <c r="B85" s="41" t="s">
        <v>309</v>
      </c>
      <c r="C85" s="62" t="s">
        <v>87</v>
      </c>
      <c r="D85" s="156" t="s">
        <v>460</v>
      </c>
      <c r="E85" s="63" t="s">
        <v>349</v>
      </c>
      <c r="F85" s="88" t="str">
        <f>'Visualisation d''ensemble'!$AW90&amp;CHAR(10)&amp;'Visualisation d''ensemble'!$AU90</f>
        <v>NT
0</v>
      </c>
      <c r="G85" s="64" t="s">
        <v>350</v>
      </c>
      <c r="H85" s="65" t="s">
        <v>95</v>
      </c>
      <c r="I85" s="65" t="s">
        <v>96</v>
      </c>
      <c r="J85" s="66" t="s">
        <v>351</v>
      </c>
    </row>
    <row r="86" spans="1:10" s="1" customFormat="1" ht="68.25" customHeight="1">
      <c r="A86" s="62" t="s">
        <v>353</v>
      </c>
      <c r="B86" s="41" t="s">
        <v>352</v>
      </c>
      <c r="C86" s="62" t="s">
        <v>87</v>
      </c>
      <c r="D86" s="156" t="s">
        <v>460</v>
      </c>
      <c r="E86" s="63" t="s">
        <v>354</v>
      </c>
      <c r="F86" s="88" t="str">
        <f>'Visualisation d''ensemble'!$AW91&amp;CHAR(10)&amp;'Visualisation d''ensemble'!$AU91</f>
        <v>NT
0</v>
      </c>
      <c r="G86" s="64" t="s">
        <v>355</v>
      </c>
      <c r="H86" s="65" t="s">
        <v>140</v>
      </c>
      <c r="I86" s="65" t="s">
        <v>90</v>
      </c>
      <c r="J86" s="66" t="s">
        <v>356</v>
      </c>
    </row>
    <row r="87" spans="1:10" s="1" customFormat="1" ht="68.25" customHeight="1">
      <c r="A87" s="62" t="s">
        <v>357</v>
      </c>
      <c r="B87" s="41" t="s">
        <v>352</v>
      </c>
      <c r="C87" s="62" t="s">
        <v>87</v>
      </c>
      <c r="D87" s="156" t="s">
        <v>460</v>
      </c>
      <c r="E87" s="63" t="s">
        <v>358</v>
      </c>
      <c r="F87" s="88" t="str">
        <f>'Visualisation d''ensemble'!$AW92&amp;CHAR(10)&amp;'Visualisation d''ensemble'!$AU92</f>
        <v>NT
0</v>
      </c>
      <c r="G87" s="64" t="s">
        <v>359</v>
      </c>
      <c r="H87" s="65" t="s">
        <v>140</v>
      </c>
      <c r="I87" s="65" t="s">
        <v>90</v>
      </c>
      <c r="J87" s="66" t="s">
        <v>360</v>
      </c>
    </row>
    <row r="88" spans="1:10" s="1" customFormat="1" ht="68.25" customHeight="1">
      <c r="A88" s="62" t="s">
        <v>361</v>
      </c>
      <c r="B88" s="41" t="s">
        <v>352</v>
      </c>
      <c r="C88" s="62" t="s">
        <v>87</v>
      </c>
      <c r="D88" s="156" t="s">
        <v>460</v>
      </c>
      <c r="E88" s="63" t="s">
        <v>362</v>
      </c>
      <c r="F88" s="88" t="str">
        <f>'Visualisation d''ensemble'!$AW93&amp;CHAR(10)&amp;'Visualisation d''ensemble'!$AU93</f>
        <v>NT
0</v>
      </c>
      <c r="G88" s="64" t="s">
        <v>355</v>
      </c>
      <c r="H88" s="65" t="s">
        <v>140</v>
      </c>
      <c r="I88" s="65" t="s">
        <v>90</v>
      </c>
      <c r="J88" s="66" t="s">
        <v>363</v>
      </c>
    </row>
    <row r="89" spans="1:10" s="1" customFormat="1" ht="68.25" customHeight="1">
      <c r="A89" s="62" t="s">
        <v>364</v>
      </c>
      <c r="B89" s="41" t="s">
        <v>352</v>
      </c>
      <c r="C89" s="62" t="s">
        <v>87</v>
      </c>
      <c r="D89" s="156" t="s">
        <v>460</v>
      </c>
      <c r="E89" s="63" t="s">
        <v>365</v>
      </c>
      <c r="F89" s="88" t="str">
        <f>'Visualisation d''ensemble'!$AW94&amp;CHAR(10)&amp;'Visualisation d''ensemble'!$AU94</f>
        <v>NT
0</v>
      </c>
      <c r="G89" s="64" t="s">
        <v>366</v>
      </c>
      <c r="H89" s="65" t="s">
        <v>140</v>
      </c>
      <c r="I89" s="65" t="s">
        <v>90</v>
      </c>
      <c r="J89" s="66" t="s">
        <v>367</v>
      </c>
    </row>
    <row r="90" spans="1:10" s="1" customFormat="1" ht="68.25" customHeight="1">
      <c r="A90" s="62" t="s">
        <v>368</v>
      </c>
      <c r="B90" s="41" t="s">
        <v>352</v>
      </c>
      <c r="C90" s="62" t="s">
        <v>87</v>
      </c>
      <c r="D90" s="156" t="s">
        <v>460</v>
      </c>
      <c r="E90" s="63" t="s">
        <v>369</v>
      </c>
      <c r="F90" s="88" t="str">
        <f>'Visualisation d''ensemble'!$AW95&amp;CHAR(10)&amp;'Visualisation d''ensemble'!$AU95</f>
        <v>NT
0</v>
      </c>
      <c r="G90" s="64" t="s">
        <v>366</v>
      </c>
      <c r="H90" s="65" t="s">
        <v>140</v>
      </c>
      <c r="I90" s="65" t="s">
        <v>90</v>
      </c>
      <c r="J90" s="66" t="s">
        <v>370</v>
      </c>
    </row>
    <row r="91" spans="1:10" s="1" customFormat="1" ht="120.75" customHeight="1">
      <c r="A91" s="62" t="s">
        <v>371</v>
      </c>
      <c r="B91" s="41" t="s">
        <v>352</v>
      </c>
      <c r="C91" s="62" t="s">
        <v>59</v>
      </c>
      <c r="D91" s="156" t="s">
        <v>460</v>
      </c>
      <c r="E91" s="63" t="s">
        <v>372</v>
      </c>
      <c r="F91" s="88" t="str">
        <f>'Visualisation d''ensemble'!$AW96&amp;CHAR(10)&amp;'Visualisation d''ensemble'!$AU96</f>
        <v>NT
0</v>
      </c>
      <c r="G91" s="64" t="s">
        <v>373</v>
      </c>
      <c r="H91" s="65" t="s">
        <v>95</v>
      </c>
      <c r="I91" s="65" t="s">
        <v>90</v>
      </c>
      <c r="J91" s="66" t="s">
        <v>374</v>
      </c>
    </row>
    <row r="92" spans="1:10" s="1" customFormat="1" ht="120.75" customHeight="1">
      <c r="A92" s="62" t="s">
        <v>375</v>
      </c>
      <c r="B92" s="41" t="s">
        <v>352</v>
      </c>
      <c r="C92" s="62" t="s">
        <v>59</v>
      </c>
      <c r="D92" s="156" t="s">
        <v>460</v>
      </c>
      <c r="E92" s="63" t="s">
        <v>376</v>
      </c>
      <c r="F92" s="88" t="str">
        <f>'Visualisation d''ensemble'!$AW97&amp;CHAR(10)&amp;'Visualisation d''ensemble'!$AU97</f>
        <v>NT
0</v>
      </c>
      <c r="G92" s="64" t="s">
        <v>373</v>
      </c>
      <c r="H92" s="65" t="s">
        <v>95</v>
      </c>
      <c r="I92" s="65" t="s">
        <v>90</v>
      </c>
      <c r="J92" s="66" t="s">
        <v>377</v>
      </c>
    </row>
    <row r="93" spans="1:10" s="1" customFormat="1" ht="120.75" customHeight="1">
      <c r="A93" s="62" t="s">
        <v>378</v>
      </c>
      <c r="B93" s="41" t="s">
        <v>352</v>
      </c>
      <c r="C93" s="62" t="s">
        <v>59</v>
      </c>
      <c r="D93" s="156" t="s">
        <v>460</v>
      </c>
      <c r="E93" s="63" t="s">
        <v>379</v>
      </c>
      <c r="F93" s="88" t="str">
        <f>'Visualisation d''ensemble'!$AW98&amp;CHAR(10)&amp;'Visualisation d''ensemble'!$AU98</f>
        <v>NT
0</v>
      </c>
      <c r="G93" s="64" t="s">
        <v>380</v>
      </c>
      <c r="H93" s="65" t="s">
        <v>95</v>
      </c>
      <c r="I93" s="65" t="s">
        <v>96</v>
      </c>
      <c r="J93" s="66" t="s">
        <v>381</v>
      </c>
    </row>
    <row r="94" spans="1:10" s="1" customFormat="1" ht="68.25" customHeight="1">
      <c r="A94" s="62" t="s">
        <v>382</v>
      </c>
      <c r="B94" s="41" t="s">
        <v>352</v>
      </c>
      <c r="C94" s="62" t="s">
        <v>59</v>
      </c>
      <c r="D94" s="156" t="s">
        <v>460</v>
      </c>
      <c r="E94" s="63" t="s">
        <v>383</v>
      </c>
      <c r="F94" s="88" t="str">
        <f>'Visualisation d''ensemble'!$AW99&amp;CHAR(10)&amp;'Visualisation d''ensemble'!$AU99</f>
        <v>NT
0</v>
      </c>
      <c r="G94" s="64" t="s">
        <v>380</v>
      </c>
      <c r="H94" s="65" t="s">
        <v>89</v>
      </c>
      <c r="I94" s="65" t="s">
        <v>63</v>
      </c>
      <c r="J94" s="66" t="s">
        <v>384</v>
      </c>
    </row>
    <row r="95" spans="1:10" s="1" customFormat="1" ht="68.25" customHeight="1">
      <c r="A95" s="62" t="s">
        <v>385</v>
      </c>
      <c r="B95" s="41" t="s">
        <v>352</v>
      </c>
      <c r="C95" s="62" t="s">
        <v>59</v>
      </c>
      <c r="D95" s="156" t="s">
        <v>460</v>
      </c>
      <c r="E95" s="63" t="s">
        <v>386</v>
      </c>
      <c r="F95" s="88" t="str">
        <f>'Visualisation d''ensemble'!$AW100&amp;CHAR(10)&amp;'Visualisation d''ensemble'!$AU100</f>
        <v>NT
0</v>
      </c>
      <c r="G95" s="64" t="s">
        <v>119</v>
      </c>
      <c r="H95" s="65" t="s">
        <v>95</v>
      </c>
      <c r="I95" s="65" t="s">
        <v>63</v>
      </c>
      <c r="J95" s="66" t="s">
        <v>387</v>
      </c>
    </row>
    <row r="96" spans="1:10" s="1" customFormat="1" ht="68.25" customHeight="1">
      <c r="A96" s="62" t="s">
        <v>388</v>
      </c>
      <c r="B96" s="41" t="s">
        <v>352</v>
      </c>
      <c r="C96" s="62" t="s">
        <v>59</v>
      </c>
      <c r="D96" s="156" t="s">
        <v>460</v>
      </c>
      <c r="E96" s="63" t="s">
        <v>389</v>
      </c>
      <c r="F96" s="88" t="str">
        <f>'Visualisation d''ensemble'!$AW101&amp;CHAR(10)&amp;'Visualisation d''ensemble'!$AU101</f>
        <v>NT
0</v>
      </c>
      <c r="G96" s="64" t="s">
        <v>231</v>
      </c>
      <c r="H96" s="65" t="s">
        <v>95</v>
      </c>
      <c r="I96" s="65" t="s">
        <v>63</v>
      </c>
      <c r="J96" s="66" t="s">
        <v>390</v>
      </c>
    </row>
    <row r="97" spans="1:10" s="1" customFormat="1" ht="68.25" customHeight="1">
      <c r="A97" s="62" t="s">
        <v>392</v>
      </c>
      <c r="B97" s="41" t="s">
        <v>391</v>
      </c>
      <c r="C97" s="62" t="s">
        <v>59</v>
      </c>
      <c r="D97" s="156" t="s">
        <v>460</v>
      </c>
      <c r="E97" s="63" t="s">
        <v>393</v>
      </c>
      <c r="F97" s="88" t="str">
        <f>'Visualisation d''ensemble'!$AW102&amp;CHAR(10)&amp;'Visualisation d''ensemble'!$AU102</f>
        <v>NT
0</v>
      </c>
      <c r="G97" s="64" t="s">
        <v>119</v>
      </c>
      <c r="H97" s="65" t="s">
        <v>95</v>
      </c>
      <c r="I97" s="65" t="s">
        <v>96</v>
      </c>
      <c r="J97" s="66" t="s">
        <v>394</v>
      </c>
    </row>
    <row r="98" spans="1:10" s="1" customFormat="1" ht="68.25" customHeight="1">
      <c r="A98" s="62" t="s">
        <v>395</v>
      </c>
      <c r="B98" s="41" t="s">
        <v>391</v>
      </c>
      <c r="C98" s="62" t="s">
        <v>59</v>
      </c>
      <c r="D98" s="156" t="s">
        <v>460</v>
      </c>
      <c r="E98" s="63" t="s">
        <v>396</v>
      </c>
      <c r="F98" s="88" t="str">
        <f>'Visualisation d''ensemble'!$AW103&amp;CHAR(10)&amp;'Visualisation d''ensemble'!$AU103</f>
        <v>NT
0</v>
      </c>
      <c r="G98" s="64" t="s">
        <v>94</v>
      </c>
      <c r="H98" s="65" t="s">
        <v>95</v>
      </c>
      <c r="I98" s="65" t="s">
        <v>63</v>
      </c>
      <c r="J98" s="66" t="s">
        <v>397</v>
      </c>
    </row>
    <row r="99" spans="1:10" s="1" customFormat="1" ht="68.25" customHeight="1">
      <c r="A99" s="62" t="s">
        <v>398</v>
      </c>
      <c r="B99" s="41" t="s">
        <v>391</v>
      </c>
      <c r="C99" s="62" t="s">
        <v>59</v>
      </c>
      <c r="D99" s="156" t="s">
        <v>460</v>
      </c>
      <c r="E99" s="63" t="s">
        <v>399</v>
      </c>
      <c r="F99" s="88" t="str">
        <f>'Visualisation d''ensemble'!$AW104&amp;CHAR(10)&amp;'Visualisation d''ensemble'!$AU104</f>
        <v>NT
0</v>
      </c>
      <c r="G99" s="64" t="s">
        <v>75</v>
      </c>
      <c r="H99" s="65" t="s">
        <v>95</v>
      </c>
      <c r="I99" s="65" t="s">
        <v>63</v>
      </c>
      <c r="J99" s="66" t="s">
        <v>400</v>
      </c>
    </row>
    <row r="100" spans="1:10" s="1" customFormat="1" ht="68.25" customHeight="1">
      <c r="A100" s="62" t="s">
        <v>401</v>
      </c>
      <c r="B100" s="41" t="s">
        <v>391</v>
      </c>
      <c r="C100" s="62" t="s">
        <v>59</v>
      </c>
      <c r="D100" s="156" t="s">
        <v>460</v>
      </c>
      <c r="E100" s="63" t="s">
        <v>402</v>
      </c>
      <c r="F100" s="88" t="str">
        <f>'Visualisation d''ensemble'!$AW105&amp;CHAR(10)&amp;'Visualisation d''ensemble'!$AU105</f>
        <v>NT
0</v>
      </c>
      <c r="G100" s="64" t="s">
        <v>75</v>
      </c>
      <c r="H100" s="65" t="s">
        <v>95</v>
      </c>
      <c r="I100" s="65" t="s">
        <v>63</v>
      </c>
      <c r="J100" s="66" t="s">
        <v>403</v>
      </c>
    </row>
    <row r="101" spans="1:10" s="1" customFormat="1" ht="68.25" customHeight="1">
      <c r="A101" s="62" t="s">
        <v>404</v>
      </c>
      <c r="B101" s="41" t="s">
        <v>391</v>
      </c>
      <c r="C101" s="62" t="s">
        <v>59</v>
      </c>
      <c r="D101" s="156" t="s">
        <v>460</v>
      </c>
      <c r="E101" s="63" t="s">
        <v>405</v>
      </c>
      <c r="F101" s="88" t="str">
        <f>'Visualisation d''ensemble'!$AW106&amp;CHAR(10)&amp;'Visualisation d''ensemble'!$AU106</f>
        <v>NT
0</v>
      </c>
      <c r="G101" s="64" t="s">
        <v>340</v>
      </c>
      <c r="H101" s="65" t="s">
        <v>95</v>
      </c>
      <c r="I101" s="65" t="s">
        <v>96</v>
      </c>
      <c r="J101" s="66" t="s">
        <v>406</v>
      </c>
    </row>
    <row r="102" spans="1:10" s="1" customFormat="1" ht="68.25" customHeight="1">
      <c r="A102" s="62" t="s">
        <v>407</v>
      </c>
      <c r="B102" s="41" t="s">
        <v>391</v>
      </c>
      <c r="C102" s="62" t="s">
        <v>59</v>
      </c>
      <c r="D102" s="156" t="s">
        <v>460</v>
      </c>
      <c r="E102" s="63" t="s">
        <v>408</v>
      </c>
      <c r="F102" s="88" t="str">
        <f>'Visualisation d''ensemble'!$AW107&amp;CHAR(10)&amp;'Visualisation d''ensemble'!$AU107</f>
        <v>NT
0</v>
      </c>
      <c r="G102" s="64" t="s">
        <v>340</v>
      </c>
      <c r="H102" s="65" t="s">
        <v>95</v>
      </c>
      <c r="I102" s="65" t="s">
        <v>96</v>
      </c>
      <c r="J102" s="66" t="s">
        <v>409</v>
      </c>
    </row>
    <row r="103" spans="1:10" s="1" customFormat="1" ht="68.25" customHeight="1">
      <c r="A103" s="62" t="s">
        <v>410</v>
      </c>
      <c r="B103" s="41" t="s">
        <v>391</v>
      </c>
      <c r="C103" s="62" t="s">
        <v>59</v>
      </c>
      <c r="D103" s="156" t="s">
        <v>460</v>
      </c>
      <c r="E103" s="63" t="s">
        <v>411</v>
      </c>
      <c r="F103" s="88" t="str">
        <f>'Visualisation d''ensemble'!$AW108&amp;CHAR(10)&amp;'Visualisation d''ensemble'!$AU108</f>
        <v>NT
0</v>
      </c>
      <c r="G103" s="64" t="s">
        <v>412</v>
      </c>
      <c r="H103" s="65" t="s">
        <v>95</v>
      </c>
      <c r="I103" s="65" t="s">
        <v>96</v>
      </c>
      <c r="J103" s="66" t="s">
        <v>413</v>
      </c>
    </row>
    <row r="104" spans="1:10" s="1" customFormat="1" ht="68.25" customHeight="1">
      <c r="A104" s="62" t="s">
        <v>414</v>
      </c>
      <c r="B104" s="41" t="s">
        <v>391</v>
      </c>
      <c r="C104" s="62" t="s">
        <v>59</v>
      </c>
      <c r="D104" s="156" t="s">
        <v>460</v>
      </c>
      <c r="E104" s="63" t="s">
        <v>415</v>
      </c>
      <c r="F104" s="88" t="str">
        <f>'Visualisation d''ensemble'!$AW109&amp;CHAR(10)&amp;'Visualisation d''ensemble'!$AU109</f>
        <v>NT
0</v>
      </c>
      <c r="G104" s="64" t="s">
        <v>416</v>
      </c>
      <c r="H104" s="65" t="s">
        <v>95</v>
      </c>
      <c r="I104" s="65" t="s">
        <v>96</v>
      </c>
      <c r="J104" s="66" t="s">
        <v>417</v>
      </c>
    </row>
    <row r="105" spans="1:10" s="1" customFormat="1" ht="68.25" customHeight="1">
      <c r="A105" s="62" t="s">
        <v>418</v>
      </c>
      <c r="B105" s="41" t="s">
        <v>391</v>
      </c>
      <c r="C105" s="62" t="s">
        <v>87</v>
      </c>
      <c r="D105" s="156" t="s">
        <v>460</v>
      </c>
      <c r="E105" s="63" t="s">
        <v>419</v>
      </c>
      <c r="F105" s="88" t="str">
        <f>'Visualisation d''ensemble'!$AW110&amp;CHAR(10)&amp;'Visualisation d''ensemble'!$AU110</f>
        <v>NT
0</v>
      </c>
      <c r="G105" s="64" t="s">
        <v>420</v>
      </c>
      <c r="H105" s="65" t="s">
        <v>95</v>
      </c>
      <c r="I105" s="65" t="s">
        <v>96</v>
      </c>
      <c r="J105" s="66" t="s">
        <v>421</v>
      </c>
    </row>
    <row r="106" spans="1:10" s="1" customFormat="1" ht="68.25" customHeight="1">
      <c r="A106" s="62" t="s">
        <v>422</v>
      </c>
      <c r="B106" s="41" t="s">
        <v>391</v>
      </c>
      <c r="C106" s="62" t="s">
        <v>87</v>
      </c>
      <c r="D106" s="156" t="s">
        <v>460</v>
      </c>
      <c r="E106" s="63" t="s">
        <v>423</v>
      </c>
      <c r="F106" s="88" t="str">
        <f>'Visualisation d''ensemble'!$AW111&amp;CHAR(10)&amp;'Visualisation d''ensemble'!$AU111</f>
        <v>NT
0</v>
      </c>
      <c r="G106" s="64" t="s">
        <v>420</v>
      </c>
      <c r="H106" s="65" t="s">
        <v>95</v>
      </c>
      <c r="I106" s="65" t="s">
        <v>63</v>
      </c>
      <c r="J106" s="66" t="s">
        <v>424</v>
      </c>
    </row>
    <row r="107" spans="1:10" s="1" customFormat="1" ht="68.25" customHeight="1">
      <c r="A107" s="62" t="s">
        <v>425</v>
      </c>
      <c r="B107" s="41" t="s">
        <v>391</v>
      </c>
      <c r="C107" s="62" t="s">
        <v>87</v>
      </c>
      <c r="D107" s="156" t="s">
        <v>460</v>
      </c>
      <c r="E107" s="63" t="s">
        <v>426</v>
      </c>
      <c r="F107" s="88" t="str">
        <f>'Visualisation d''ensemble'!$AW112&amp;CHAR(10)&amp;'Visualisation d''ensemble'!$AU112</f>
        <v>NT
0</v>
      </c>
      <c r="G107" s="64" t="s">
        <v>420</v>
      </c>
      <c r="H107" s="65" t="s">
        <v>89</v>
      </c>
      <c r="I107" s="65" t="s">
        <v>63</v>
      </c>
      <c r="J107" s="66" t="s">
        <v>427</v>
      </c>
    </row>
    <row r="108" spans="1:10" s="1" customFormat="1" ht="68.25" customHeight="1">
      <c r="A108" s="62" t="s">
        <v>428</v>
      </c>
      <c r="B108" s="41" t="s">
        <v>391</v>
      </c>
      <c r="C108" s="62" t="s">
        <v>59</v>
      </c>
      <c r="D108" s="156" t="s">
        <v>460</v>
      </c>
      <c r="E108" s="63" t="s">
        <v>429</v>
      </c>
      <c r="F108" s="88" t="str">
        <f>'Visualisation d''ensemble'!$AW113&amp;CHAR(10)&amp;'Visualisation d''ensemble'!$AU113</f>
        <v>NT
0</v>
      </c>
      <c r="G108" s="64" t="s">
        <v>430</v>
      </c>
      <c r="H108" s="65" t="s">
        <v>89</v>
      </c>
      <c r="I108" s="65" t="s">
        <v>63</v>
      </c>
      <c r="J108" s="66" t="s">
        <v>431</v>
      </c>
    </row>
    <row r="109" spans="1:10" ht="68.25" customHeight="1">
      <c r="H109" s="14"/>
      <c r="J109" s="3"/>
    </row>
    <row r="110" spans="1:10" ht="68.25" customHeight="1">
      <c r="H110" s="14"/>
      <c r="J110" s="3"/>
    </row>
    <row r="111" spans="1:10" ht="68.25" customHeight="1">
      <c r="H111" s="14"/>
      <c r="J111" s="3"/>
    </row>
    <row r="112" spans="1:10" ht="68.25" customHeight="1">
      <c r="H112" s="14"/>
      <c r="J112" s="3"/>
    </row>
    <row r="113" spans="8:10" ht="68.25" customHeight="1">
      <c r="H113" s="14"/>
      <c r="J113" s="3"/>
    </row>
    <row r="114" spans="8:10" ht="68.25" customHeight="1">
      <c r="H114" s="14"/>
      <c r="J114" s="3"/>
    </row>
    <row r="115" spans="8:10" ht="68.25" customHeight="1">
      <c r="H115" s="14"/>
      <c r="J115" s="3"/>
    </row>
    <row r="116" spans="8:10" ht="68.25" customHeight="1">
      <c r="H116" s="14"/>
    </row>
    <row r="117" spans="8:10" ht="68.25" customHeight="1">
      <c r="H117" s="14"/>
    </row>
    <row r="118" spans="8:10" ht="68.25" customHeight="1">
      <c r="H118" s="14"/>
    </row>
    <row r="119" spans="8:10" ht="68.25" customHeight="1">
      <c r="H119" s="14"/>
    </row>
    <row r="120" spans="8:10" ht="68.25" customHeight="1">
      <c r="H120" s="14"/>
    </row>
    <row r="121" spans="8:10" ht="68.25" customHeight="1">
      <c r="H121" s="14"/>
    </row>
    <row r="122" spans="8:10" ht="68.25" customHeight="1">
      <c r="H122" s="14"/>
    </row>
    <row r="123" spans="8:10" ht="68.25" customHeight="1">
      <c r="H123" s="14"/>
    </row>
    <row r="124" spans="8:10" ht="68.25" customHeight="1">
      <c r="H124" s="14"/>
    </row>
    <row r="125" spans="8:10" ht="68.25" customHeight="1">
      <c r="H125" s="14"/>
    </row>
    <row r="126" spans="8:10" ht="68.25" customHeight="1">
      <c r="H126" s="14"/>
    </row>
    <row r="127" spans="8:10" ht="68.25" customHeight="1">
      <c r="H127" s="14"/>
    </row>
    <row r="128" spans="8:10" ht="68.25" customHeight="1">
      <c r="H128" s="14"/>
    </row>
    <row r="129" spans="8:8" ht="68.25" customHeight="1">
      <c r="H129" s="14"/>
    </row>
    <row r="130" spans="8:8" ht="68.25" customHeight="1">
      <c r="H130" s="14"/>
    </row>
    <row r="131" spans="8:8" ht="68.25" customHeight="1">
      <c r="H131" s="14"/>
    </row>
    <row r="132" spans="8:8" ht="68.25" customHeight="1">
      <c r="H132" s="14"/>
    </row>
  </sheetData>
  <autoFilter ref="A2:J108" xr:uid="{260C94D4-11B9-4782-9144-F514A794CEE0}"/>
  <phoneticPr fontId="1" type="noConversion"/>
  <hyperlinks>
    <hyperlink ref="J108" r:id="rId1" location="13.12" display="https://accessibilite.numerique.gouv.fr/methode/criteres-et-tests/#13.12" xr:uid="{465C8B3D-C77D-4F10-9622-B22FBC50283E}"/>
    <hyperlink ref="J106" r:id="rId2" location="13.10" display="https://accessibilite.numerique.gouv.fr/methode/criteres-et-tests/#13.10" xr:uid="{AA38293C-7B6B-4AF7-B30D-2173F25AFCA5}"/>
    <hyperlink ref="J105" r:id="rId3" location="13.9" display="https://accessibilite.numerique.gouv.fr/methode/criteres-et-tests/#13.9" xr:uid="{01267BC8-DF48-47C3-A06D-6013966E2F12}"/>
    <hyperlink ref="J107" r:id="rId4" location="13.11" display="https://accessibilite.numerique.gouv.fr/methode/criteres-et-tests/#13.11" xr:uid="{83AF01C1-C68B-48C1-A34A-847A888136C0}"/>
    <hyperlink ref="J4" r:id="rId5" location="1.2" display="https://accessibilite.numerique.gouv.fr/methode/criteres-et-tests/#1.2" xr:uid="{37E7106E-C85D-40A9-83AD-6C591B20429F}"/>
    <hyperlink ref="J5" r:id="rId6" location="1.3" display="https://accessibilite.numerique.gouv.fr/methode/criteres-et-tests/#1.3" xr:uid="{EC799934-44B9-42FC-8DE4-8E48800B854A}"/>
    <hyperlink ref="J6" r:id="rId7" location="1.4" display="https://accessibilite.numerique.gouv.fr/methode/criteres-et-tests/#1.4" xr:uid="{0B1DC1B2-7291-4E1F-9191-06945D53501E}"/>
    <hyperlink ref="J7" r:id="rId8" location="1.5" display="https://accessibilite.numerique.gouv.fr/methode/criteres-et-tests/#1.5" xr:uid="{FEF96A7B-C0EF-4C69-956B-B0FD3897B81B}"/>
    <hyperlink ref="J9" r:id="rId9" location="1.7" display="https://accessibilite.numerique.gouv.fr/methode/criteres-et-tests/#1.7" xr:uid="{2B74F56C-A808-45D2-B0D3-ACB88A9C521D}"/>
    <hyperlink ref="J8" r:id="rId10" location="1.6" display="https://accessibilite.numerique.gouv.fr/methode/criteres-et-tests/#1.6" xr:uid="{2D4FD27C-016C-4A2E-8E04-A78D82C0AD0B}"/>
    <hyperlink ref="J10" r:id="rId11" location="1.8" display="https://accessibilite.numerique.gouv.fr/methode/criteres-et-tests/#1.8" xr:uid="{9CFC2ECB-5EB3-471B-BE18-278BB74DD92E}"/>
    <hyperlink ref="J11" r:id="rId12" location="1.9" display="https://accessibilite.numerique.gouv.fr/methode/criteres-et-tests/#1.9" xr:uid="{74DF8F66-AB2C-44D1-B036-88C39B62F791}"/>
    <hyperlink ref="J12" r:id="rId13" location="2.1" display="https://accessibilite.numerique.gouv.fr/methode/criteres-et-tests/#2.1" xr:uid="{1F7C01EE-ECA2-4EB0-A05F-CF0CE69DFEE1}"/>
    <hyperlink ref="J13" r:id="rId14" location="2.2" display="https://accessibilite.numerique.gouv.fr/methode/criteres-et-tests/#2.2" xr:uid="{5587E877-8009-47BA-B4D4-FB6285BDFA28}"/>
    <hyperlink ref="J14" r:id="rId15" location="3.1" display="https://accessibilite.numerique.gouv.fr/methode/criteres-et-tests/#3.1" xr:uid="{30645A9D-F143-4F6B-9E6C-229F6F462AAA}"/>
    <hyperlink ref="J16" r:id="rId16" location="3.3" display="https://accessibilite.numerique.gouv.fr/methode/criteres-et-tests/#3.3" xr:uid="{67145C99-CAA0-40BB-9D6B-57B3292B6EC9}"/>
    <hyperlink ref="J17" r:id="rId17" location="4.1" display="https://accessibilite.numerique.gouv.fr/methode/criteres-et-tests/#4.1" xr:uid="{8C005566-9A14-4881-81C9-B8BFD5A31D3E}"/>
    <hyperlink ref="J18" r:id="rId18" location="4.2" display="https://accessibilite.numerique.gouv.fr/methode/criteres-et-tests/#4.2" xr:uid="{B8257C23-7A0A-4729-B219-D65CBC8CBEC2}"/>
    <hyperlink ref="J19" r:id="rId19" location="4.3" display="https://accessibilite.numerique.gouv.fr/methode/criteres-et-tests/#4.3" xr:uid="{659E6755-E39E-4698-B50D-321DFAE273A8}"/>
    <hyperlink ref="J20" r:id="rId20" location="4.4" display="https://accessibilite.numerique.gouv.fr/methode/criteres-et-tests/#4.4" xr:uid="{3F8B9052-8278-4641-998A-49066CED546F}"/>
    <hyperlink ref="J21" r:id="rId21" location="4.5" display="https://accessibilite.numerique.gouv.fr/methode/criteres-et-tests/#4.5" xr:uid="{1EBFAFE4-DB9D-49C1-B052-B705110E327F}"/>
    <hyperlink ref="J22" r:id="rId22" location="4.6" display="https://accessibilite.numerique.gouv.fr/methode/criteres-et-tests/#4.6" xr:uid="{0C5002D3-C0FB-422F-8D29-E071E03E270A}"/>
    <hyperlink ref="J23" r:id="rId23" location="4.7" display="https://accessibilite.numerique.gouv.fr/methode/criteres-et-tests/#4.7" xr:uid="{31D33A1D-9EED-4EAE-86DC-0A20CD06F1C2}"/>
    <hyperlink ref="J24" r:id="rId24" location="4.8" display="https://accessibilite.numerique.gouv.fr/methode/criteres-et-tests/#4.8" xr:uid="{29878818-9FF4-4A0B-BF8E-BBFE2F919055}"/>
    <hyperlink ref="J25" r:id="rId25" location="4.9" display="https://accessibilite.numerique.gouv.fr/methode/criteres-et-tests/#4.9" xr:uid="{B2383AA4-DCE9-4879-B6D5-DC6E91266001}"/>
    <hyperlink ref="J26" r:id="rId26" location="4.10" display="https://accessibilite.numerique.gouv.fr/methode/criteres-et-tests/#4.10" xr:uid="{265872C3-F7AF-451D-B6A2-5FF3870B9D04}"/>
    <hyperlink ref="J27" r:id="rId27" location="4.11" display="https://accessibilite.numerique.gouv.fr/methode/criteres-et-tests/#4.11" xr:uid="{F43C1C67-710E-4999-80C6-A24F9D168A3E}"/>
    <hyperlink ref="J28" r:id="rId28" location="4.12" display="https://accessibilite.numerique.gouv.fr/methode/criteres-et-tests/#4.12" xr:uid="{E83C4254-D03F-45DF-8A84-353971C8650C}"/>
    <hyperlink ref="J29" r:id="rId29" location="4.13" display="https://accessibilite.numerique.gouv.fr/methode/criteres-et-tests/#4.13" xr:uid="{94FB9AD7-9973-4635-AEC8-B17E9390C732}"/>
    <hyperlink ref="J30" r:id="rId30" location="5.1 " display="https://accessibilite.numerique.gouv.fr/methode/criteres-et-tests/#5.1 " xr:uid="{3DB772FB-850A-47C9-AE03-C2AB82567E10}"/>
    <hyperlink ref="J31" r:id="rId31" location="5.2" display="https://accessibilite.numerique.gouv.fr/methode/criteres-et-tests/#5.2" xr:uid="{E513DCC0-0B6B-4DDC-B445-D27368AB5EA1}"/>
    <hyperlink ref="J32" r:id="rId32" location="5.3" display="https://accessibilite.numerique.gouv.fr/methode/criteres-et-tests/#5.3" xr:uid="{BC17FEB3-E6EF-4D75-B1F7-854FE7858A81}"/>
    <hyperlink ref="J33" r:id="rId33" location="5.4" display="https://accessibilite.numerique.gouv.fr/methode/criteres-et-tests/#5.4" xr:uid="{17DC9E76-DE41-4A3F-BA63-928AEFF05F1E}"/>
    <hyperlink ref="J34" r:id="rId34" location="5.5" display="https://accessibilite.numerique.gouv.fr/methode/criteres-et-tests/#5.5" xr:uid="{145C49AA-FEF6-45FF-9759-7D62E1BD2A74}"/>
    <hyperlink ref="J35" r:id="rId35" location="5.6" display="https://accessibilite.numerique.gouv.fr/methode/criteres-et-tests/#5.6" xr:uid="{E16510A4-1444-4D00-B9D3-75AB4ADE61F7}"/>
    <hyperlink ref="J36" r:id="rId36" location="5.7" display="https://accessibilite.numerique.gouv.fr/methode/criteres-et-tests/#5.7" xr:uid="{1BC70DCC-C75F-4FB7-9376-1F294A017F97}"/>
    <hyperlink ref="J37" r:id="rId37" location="5.8" display="https://accessibilite.numerique.gouv.fr/methode/criteres-et-tests/#5.8" xr:uid="{2D326358-395D-41A1-A276-E72EF72F5303}"/>
    <hyperlink ref="J38" r:id="rId38" location="6.1" display="https://accessibilite.numerique.gouv.fr/methode/criteres-et-tests/#6.1" xr:uid="{46E397F2-C9BC-47C7-8249-2A68FC722B7D}"/>
    <hyperlink ref="J39" r:id="rId39" location="6.2" display="https://accessibilite.numerique.gouv.fr/methode/criteres-et-tests/#6.2" xr:uid="{FE83A5E5-0810-43C0-BC0B-AC9919A568DD}"/>
    <hyperlink ref="J40" r:id="rId40" location="7.1" display="https://accessibilite.numerique.gouv.fr/methode/criteres-et-tests/#7.1" xr:uid="{A1A5B5EF-BEDD-4BD2-8AAF-F912F9D10085}"/>
    <hyperlink ref="J41" r:id="rId41" location="7.2" display="https://accessibilite.numerique.gouv.fr/methode/criteres-et-tests/#7.2" xr:uid="{78B0E0E5-0945-4811-92BD-45B1E4BA0999}"/>
    <hyperlink ref="J42" r:id="rId42" location="7.3" display="https://accessibilite.numerique.gouv.fr/methode/criteres-et-tests/#7.3" xr:uid="{696D5770-1D15-4CFA-928C-CB15F9FD3BEA}"/>
    <hyperlink ref="J43" r:id="rId43" location="7.4" display="https://accessibilite.numerique.gouv.fr/methode/criteres-et-tests/#7.4" xr:uid="{915DAF20-4269-488F-9676-AE58BBFC9A97}"/>
    <hyperlink ref="J44" r:id="rId44" location="7.5" display="https://accessibilite.numerique.gouv.fr/methode/criteres-et-tests/#7.5" xr:uid="{C12D0A0D-665B-4BA3-BC5E-4804001A77D5}"/>
    <hyperlink ref="J45" r:id="rId45" location="8.1" display="https://accessibilite.numerique.gouv.fr/methode/criteres-et-tests/#8.1" xr:uid="{AD4A01A3-112C-4A3A-A68B-EBE2ED5FDF06}"/>
    <hyperlink ref="J46" r:id="rId46" location="8.2" display="https://accessibilite.numerique.gouv.fr/methode/criteres-et-tests/#8.2" xr:uid="{55AA6CFA-1846-4B91-89B2-8C6CD82098BC}"/>
    <hyperlink ref="J47" r:id="rId47" location="8.3" display="https://accessibilite.numerique.gouv.fr/methode/criteres-et-tests/#8.3" xr:uid="{A79B4980-B470-4177-8A71-596E43076860}"/>
    <hyperlink ref="J48" r:id="rId48" location="8.4" display="https://accessibilite.numerique.gouv.fr/methode/criteres-et-tests/#8.4" xr:uid="{3E25D665-28B3-46CC-9895-6CBDE582D468}"/>
    <hyperlink ref="J49" r:id="rId49" location="8.5" display="https://accessibilite.numerique.gouv.fr/methode/criteres-et-tests/#8.5" xr:uid="{0B9A4EF8-6DBE-43CF-8285-69B898A62245}"/>
    <hyperlink ref="J50" r:id="rId50" location="8.6" display="https://accessibilite.numerique.gouv.fr/methode/criteres-et-tests/#8.6" xr:uid="{972F2215-E444-4813-AF36-FB122E7E66E3}"/>
    <hyperlink ref="J51" r:id="rId51" location="8.7" display="https://accessibilite.numerique.gouv.fr/methode/criteres-et-tests/#8.7" xr:uid="{409041C0-AF4A-4074-923B-8965069D7BF0}"/>
    <hyperlink ref="J52" r:id="rId52" location="8.8" display="https://accessibilite.numerique.gouv.fr/methode/criteres-et-tests/#8.8" xr:uid="{E9EB50BE-8E52-4F31-BB0A-A92BE221AD1C}"/>
    <hyperlink ref="J53" r:id="rId53" location="8.9" display="https://accessibilite.numerique.gouv.fr/methode/criteres-et-tests/#8.9" xr:uid="{18B1B5F7-FF0E-4058-AA84-77C2018D5EAD}"/>
    <hyperlink ref="J54" r:id="rId54" location="8.10" display="https://accessibilite.numerique.gouv.fr/methode/criteres-et-tests/#8.10" xr:uid="{EA1429B4-4F94-402A-BE2B-E8A2FCAD6FED}"/>
    <hyperlink ref="J55" r:id="rId55" location="9.1" display="https://accessibilite.numerique.gouv.fr/methode/criteres-et-tests/#9.1" xr:uid="{77E12E5C-8994-4358-97B2-522105D3A064}"/>
    <hyperlink ref="J56" r:id="rId56" location="9.2" display="https://accessibilite.numerique.gouv.fr/methode/criteres-et-tests/#9.2" xr:uid="{0126C2A9-A3EB-427D-8A9F-E768F93F0568}"/>
    <hyperlink ref="J57" r:id="rId57" location="9.3" display="https://accessibilite.numerique.gouv.fr/methode/criteres-et-tests/#9.3" xr:uid="{CA64C5ED-E5B9-4054-8247-3C07F2654D56}"/>
    <hyperlink ref="J58" r:id="rId58" location="9.4" display="https://accessibilite.numerique.gouv.fr/methode/criteres-et-tests/#9.4" xr:uid="{EF35916C-D988-407A-8D3D-848C33A5FE98}"/>
    <hyperlink ref="J59" r:id="rId59" location="10.1" display="https://accessibilite.numerique.gouv.fr/methode/criteres-et-tests/#10.1" xr:uid="{36C8C9F9-8C6C-461D-8802-B993A0739B98}"/>
    <hyperlink ref="J60" r:id="rId60" location="10.2" display="https://accessibilite.numerique.gouv.fr/methode/criteres-et-tests/#10.2" xr:uid="{B3297674-C534-4ED0-8857-D54D078893F6}"/>
    <hyperlink ref="J61" r:id="rId61" location="10.3" display="https://accessibilite.numerique.gouv.fr/methode/criteres-et-tests/#10.3" xr:uid="{16AFA823-1D30-4980-B7AD-9DDA92A2C990}"/>
    <hyperlink ref="J62" r:id="rId62" location="10.4" display="https://accessibilite.numerique.gouv.fr/methode/criteres-et-tests/#10.4" xr:uid="{FBA6EF9A-D351-4A23-B459-8BC9F250C491}"/>
    <hyperlink ref="J63" r:id="rId63" location="10.5" display="https://accessibilite.numerique.gouv.fr/methode/criteres-et-tests/#10.5" xr:uid="{F4A76F2E-839D-4916-9FD1-3A60C7284FB6}"/>
    <hyperlink ref="J64" r:id="rId64" location="10.6" display="https://accessibilite.numerique.gouv.fr/methode/criteres-et-tests/#10.6" xr:uid="{43DEB71C-B9C9-4DF6-AFBF-A08F55F7C59E}"/>
    <hyperlink ref="J65" r:id="rId65" location="10.7" display="https://accessibilite.numerique.gouv.fr/methode/criteres-et-tests/#10.7" xr:uid="{9095DF23-C52A-44EC-B8D7-E59117AD730A}"/>
    <hyperlink ref="J66" r:id="rId66" location="10.8" display="https://accessibilite.numerique.gouv.fr/methode/criteres-et-tests/#10.8" xr:uid="{9A683B03-69BA-4385-8181-9E82D093547C}"/>
    <hyperlink ref="J67" r:id="rId67" location="10.9" display="https://accessibilite.numerique.gouv.fr/methode/criteres-et-tests/#10.9" xr:uid="{37BFE50B-1E2F-4250-AC50-3E5EDF2CB3E4}"/>
    <hyperlink ref="J68" r:id="rId68" location="10.10" display="https://accessibilite.numerique.gouv.fr/methode/criteres-et-tests/#10.10" xr:uid="{7D1AEC14-2B23-4402-95FA-D897D697A36A}"/>
    <hyperlink ref="J69" r:id="rId69" location="10.11" display="https://accessibilite.numerique.gouv.fr/methode/criteres-et-tests/#10.11" xr:uid="{C289825E-A3BA-4983-BBF6-A27A84DE9B2B}"/>
    <hyperlink ref="J70" r:id="rId70" location="10.12" display="https://accessibilite.numerique.gouv.fr/methode/criteres-et-tests/#10.12" xr:uid="{B728B9EB-33DA-447E-9AFE-919533CF3C75}"/>
    <hyperlink ref="J71" r:id="rId71" location="10.13" display="https://accessibilite.numerique.gouv.fr/methode/criteres-et-tests/#10.13" xr:uid="{E6785777-70EA-453F-AF0B-91A13FE2037E}"/>
    <hyperlink ref="J72" r:id="rId72" location="10.14" display="https://accessibilite.numerique.gouv.fr/methode/criteres-et-tests/#10.14" xr:uid="{B2C5DFA3-329E-44B2-A89E-D719EF90E983}"/>
    <hyperlink ref="J73" r:id="rId73" location="11.1" display="https://accessibilite.numerique.gouv.fr/methode/criteres-et-tests/#11.1" xr:uid="{1DF09E84-E14B-4233-8FA0-B8734906C350}"/>
    <hyperlink ref="J74" r:id="rId74" location="11.2" display="https://accessibilite.numerique.gouv.fr/methode/criteres-et-tests/#11.2" xr:uid="{CA371F52-25B7-4E1A-91E0-8D1659B1979E}"/>
    <hyperlink ref="J75" r:id="rId75" location="11.3" display="https://accessibilite.numerique.gouv.fr/methode/criteres-et-tests/#11.3" xr:uid="{57C31EE0-30A1-4756-BEF3-0AE0C3C8A777}"/>
    <hyperlink ref="J76" r:id="rId76" location="11.4" display="https://accessibilite.numerique.gouv.fr/methode/criteres-et-tests/#11.4" xr:uid="{2B4C71EE-CED1-4BD5-B69B-A21C3442E7EA}"/>
    <hyperlink ref="J77" r:id="rId77" location="11.5" display="https://accessibilite.numerique.gouv.fr/methode/criteres-et-tests/#11.5" xr:uid="{9AA1818E-3DF0-4A74-B9A0-A55F8F9CE037}"/>
    <hyperlink ref="J78" r:id="rId78" location="11.6" display="https://accessibilite.numerique.gouv.fr/methode/criteres-et-tests/#11.6" xr:uid="{4C167B46-0B0A-4DAB-B70D-672B73A9C68A}"/>
    <hyperlink ref="J79" r:id="rId79" location="11.7" display="https://accessibilite.numerique.gouv.fr/methode/criteres-et-tests/#11.7" xr:uid="{5AA536F2-3DAB-4EC7-A953-0510894323D3}"/>
    <hyperlink ref="J80" r:id="rId80" location="11.8" display="https://accessibilite.numerique.gouv.fr/methode/criteres-et-tests/#11.8" xr:uid="{85201DE6-E8DD-4EDD-95B6-B7243D120BB9}"/>
    <hyperlink ref="J81" r:id="rId81" location="11.9" display="https://accessibilite.numerique.gouv.fr/methode/criteres-et-tests/#11.9" xr:uid="{0C4BACE5-5162-44A9-9383-9F3FFC7924D9}"/>
    <hyperlink ref="J82" r:id="rId82" location="11.10" display="https://accessibilite.numerique.gouv.fr/methode/criteres-et-tests/#11.10" xr:uid="{53E1BD31-4411-43F2-A258-0390FA9342B1}"/>
    <hyperlink ref="J83" r:id="rId83" location="11.11" display="https://accessibilite.numerique.gouv.fr/methode/criteres-et-tests/#11.11" xr:uid="{07FDE50F-B974-409A-A5DA-505E4F13F311}"/>
    <hyperlink ref="J84" r:id="rId84" location="11.12" display="https://accessibilite.numerique.gouv.fr/methode/criteres-et-tests/#11.12" xr:uid="{0F24950E-8CE8-412D-8938-61C8C7449358}"/>
    <hyperlink ref="J85" r:id="rId85" location="11.13" display="https://accessibilite.numerique.gouv.fr/methode/criteres-et-tests/#11.13" xr:uid="{C018F6A6-4DD3-45B8-BE7C-38C5EED9E42C}"/>
    <hyperlink ref="J86" r:id="rId86" location="12.1" display="https://accessibilite.numerique.gouv.fr/methode/criteres-et-tests/#12.1" xr:uid="{8971E0DA-4B7B-45A5-92D6-FA3130DF4BA1}"/>
    <hyperlink ref="J87" r:id="rId87" location="12.2" display="https://accessibilite.numerique.gouv.fr/methode/criteres-et-tests/#12.2" xr:uid="{6AFCFBC5-2EFA-4C98-AF06-AC474959DB31}"/>
    <hyperlink ref="J88" r:id="rId88" location="12.3" display="https://accessibilite.numerique.gouv.fr/methode/criteres-et-tests/#12.3" xr:uid="{4F4CE836-BB53-43B2-89C7-8B4155333865}"/>
    <hyperlink ref="J89" r:id="rId89" location="12.4" display="https://accessibilite.numerique.gouv.fr/methode/criteres-et-tests/#12.4" xr:uid="{AA46B090-7B93-43A7-AB21-774AFA049B79}"/>
    <hyperlink ref="J90" r:id="rId90" location="12.5" display="https://accessibilite.numerique.gouv.fr/methode/criteres-et-tests/#12.5" xr:uid="{5CBFC365-ACF9-4FBD-8D7A-D4963DF58012}"/>
    <hyperlink ref="J91" r:id="rId91" location="12.6" display="https://accessibilite.numerique.gouv.fr/methode/criteres-et-tests/#12.6" xr:uid="{3BBC87F0-745D-4E37-BA93-6E6D7D553D2E}"/>
    <hyperlink ref="J92" r:id="rId92" location="12.7" display="https://accessibilite.numerique.gouv.fr/methode/criteres-et-tests/#12.7" xr:uid="{1387AFDA-1320-4C98-B49D-2E9CD464A579}"/>
    <hyperlink ref="J93" r:id="rId93" location="12.8" display="https://accessibilite.numerique.gouv.fr/methode/criteres-et-tests/#12.8" xr:uid="{2B3E3AF7-54F4-4CA2-9FF7-8FADB530C500}"/>
    <hyperlink ref="J94" r:id="rId94" location="12.9" display="https://accessibilite.numerique.gouv.fr/methode/criteres-et-tests/#12.9" xr:uid="{0C6A018A-61E6-44FC-864D-5D173EB98EE0}"/>
    <hyperlink ref="J95" r:id="rId95" location="12.10" display="https://accessibilite.numerique.gouv.fr/methode/criteres-et-tests/#12.10" xr:uid="{D51E38F2-255A-4B92-B17A-7D8BC407DEFD}"/>
    <hyperlink ref="J96" r:id="rId96" location="12.11" display="https://accessibilite.numerique.gouv.fr/methode/criteres-et-tests/#12.11" xr:uid="{4771BDA4-8896-444E-B169-AFF50B8CB83F}"/>
    <hyperlink ref="J97" r:id="rId97" location="13.1" display="https://accessibilite.numerique.gouv.fr/methode/criteres-et-tests/#13.1" xr:uid="{9A94634F-A355-49ED-A272-EDAB538C380B}"/>
    <hyperlink ref="J98" r:id="rId98" location="13.2" display="https://accessibilite.numerique.gouv.fr/methode/criteres-et-tests/#13.2" xr:uid="{C798E48F-DFCC-433C-AEE2-3B1E9E81B252}"/>
    <hyperlink ref="J99" r:id="rId99" location="13.3" display="https://accessibilite.numerique.gouv.fr/methode/criteres-et-tests/#13.3" xr:uid="{463EC774-E79B-4B18-B14F-1EE6B40CE367}"/>
    <hyperlink ref="J100" r:id="rId100" location="13.4" display="https://accessibilite.numerique.gouv.fr/methode/criteres-et-tests/#13.4" xr:uid="{4F76EA94-A65E-4CD8-A554-B8C0CE165473}"/>
    <hyperlink ref="J101" r:id="rId101" location="13.5" display="https://accessibilite.numerique.gouv.fr/methode/criteres-et-tests/#13.5" xr:uid="{4EF64F5C-3543-4E55-A02A-540EFB20FA8D}"/>
    <hyperlink ref="J102" r:id="rId102" location="13.6" display="https://accessibilite.numerique.gouv.fr/methode/criteres-et-tests/#13.6" xr:uid="{CB42C8BB-D1A4-43BC-86D4-4D7CA2370A0E}"/>
    <hyperlink ref="J103" r:id="rId103" location="13.7" display="https://accessibilite.numerique.gouv.fr/methode/criteres-et-tests/#13.7" xr:uid="{B1D2A100-543A-48EC-831F-3F0DF5B2B2E9}"/>
    <hyperlink ref="J104" r:id="rId104" location="13.8" display="https://accessibilite.numerique.gouv.fr/methode/criteres-et-tests/#13.8" xr:uid="{D6AD6D68-A9B4-46E9-91D2-F3CA76779B53}"/>
    <hyperlink ref="J15" r:id="rId105" location="3.2" display="https://accessibilite.numerique.gouv.fr/methode/criteres-et-tests/#3.2" xr:uid="{96886D7E-A9E2-4F1D-8847-323CB1ABCC87}"/>
    <hyperlink ref="J3" r:id="rId106" location="1.1" display="https://accessibilite.numerique.gouv.fr/methode/criteres-et-tests/#1.1" xr:uid="{CDF2BD5C-29FC-46D0-83A9-814FDC9AD172}"/>
  </hyperlinks>
  <pageMargins left="0.7" right="0.7" top="0.75" bottom="0.75" header="0.3" footer="0.3"/>
  <pageSetup paperSize="9" orientation="portrait" r:id="rId10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3532-8B61-4704-BA42-F290C403E95A}">
  <sheetPr codeName="Feuil2"/>
  <dimension ref="A1:CO113"/>
  <sheetViews>
    <sheetView topLeftCell="A10" zoomScale="70" zoomScaleNormal="70" workbookViewId="0">
      <selection activeCell="AW8" sqref="AW8"/>
    </sheetView>
  </sheetViews>
  <sheetFormatPr baseColWidth="10" defaultColWidth="11.42578125" defaultRowHeight="39.75" customHeight="1"/>
  <cols>
    <col min="1" max="1" width="20.28515625" style="52" customWidth="1"/>
    <col min="2" max="2" width="6.85546875" style="5" customWidth="1"/>
    <col min="3" max="3" width="25.7109375" style="5" customWidth="1"/>
    <col min="4" max="4" width="6.42578125" style="5" customWidth="1"/>
    <col min="5" max="5" width="11.140625" style="5" customWidth="1"/>
    <col min="6" max="6" width="8.42578125" style="40" customWidth="1"/>
    <col min="7" max="7" width="10.28515625" style="40" bestFit="1" customWidth="1"/>
    <col min="8" max="45" width="8.42578125" style="40" customWidth="1"/>
    <col min="46" max="48" width="6.85546875" style="5" customWidth="1"/>
    <col min="49" max="49" width="11.140625" style="5" customWidth="1"/>
    <col min="50" max="50" width="2.5703125" style="5" customWidth="1"/>
    <col min="51" max="51" width="18.42578125" style="5" customWidth="1"/>
    <col min="52" max="52" width="15.7109375" style="5" customWidth="1"/>
    <col min="53" max="71" width="5.85546875" style="5" customWidth="1"/>
    <col min="72" max="92" width="5.5703125" style="5" customWidth="1"/>
    <col min="93" max="16384" width="11.42578125" style="5"/>
  </cols>
  <sheetData>
    <row r="1" spans="1:93" customFormat="1" ht="48.75" customHeight="1">
      <c r="A1" s="178" t="str">
        <f>Échantillon!A1</f>
        <v>Capgemini ♠</v>
      </c>
      <c r="B1" s="59" t="s">
        <v>472</v>
      </c>
      <c r="C1" s="59"/>
      <c r="D1" s="5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37"/>
      <c r="CJ1" s="37"/>
      <c r="CK1" s="37"/>
      <c r="CL1" s="37"/>
      <c r="CM1" s="37"/>
      <c r="CN1" s="37"/>
    </row>
    <row r="2" spans="1:93" customFormat="1" ht="32.25" customHeight="1">
      <c r="A2" s="180" t="s">
        <v>473</v>
      </c>
      <c r="B2" s="180"/>
      <c r="C2" s="180"/>
      <c r="D2" s="180"/>
      <c r="E2" s="186"/>
      <c r="F2" s="245" t="s">
        <v>474</v>
      </c>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6"/>
      <c r="AO2" s="246"/>
      <c r="AP2" s="246"/>
      <c r="AQ2" s="246"/>
      <c r="AR2" s="246"/>
      <c r="AS2" s="246"/>
      <c r="AT2" s="245"/>
      <c r="AU2" s="246"/>
      <c r="AV2" s="246"/>
      <c r="AW2" s="247"/>
      <c r="AX2" s="97"/>
      <c r="AY2" s="97"/>
      <c r="AZ2" s="37"/>
      <c r="BA2" s="234" t="s">
        <v>475</v>
      </c>
      <c r="BB2" s="235"/>
      <c r="BC2" s="235"/>
      <c r="BD2" s="235"/>
      <c r="BE2" s="235"/>
      <c r="BF2" s="235"/>
      <c r="BG2" s="235"/>
      <c r="BH2" s="235"/>
      <c r="BI2" s="235"/>
      <c r="BJ2" s="235"/>
      <c r="BK2" s="235"/>
      <c r="BL2" s="235"/>
      <c r="BM2" s="235"/>
      <c r="BN2" s="235"/>
      <c r="BO2" s="235"/>
      <c r="BP2" s="235"/>
      <c r="BQ2" s="235"/>
      <c r="BR2" s="235"/>
      <c r="BS2" s="235"/>
      <c r="BT2" s="235"/>
      <c r="BU2" s="235"/>
      <c r="BV2" s="235"/>
      <c r="BW2" s="235"/>
      <c r="BX2" s="235"/>
      <c r="BY2" s="235"/>
      <c r="BZ2" s="235"/>
      <c r="CA2" s="235"/>
      <c r="CB2" s="235"/>
      <c r="CC2" s="235"/>
      <c r="CD2" s="235"/>
      <c r="CE2" s="235"/>
      <c r="CF2" s="235"/>
      <c r="CG2" s="235"/>
      <c r="CH2" s="235"/>
      <c r="CI2" s="235"/>
      <c r="CJ2" s="235"/>
      <c r="CK2" s="235"/>
      <c r="CL2" s="235"/>
      <c r="CM2" s="235"/>
      <c r="CN2" s="235"/>
    </row>
    <row r="3" spans="1:93" customFormat="1" ht="23.25" customHeight="1">
      <c r="A3" s="243" t="s">
        <v>476</v>
      </c>
      <c r="B3" s="243"/>
      <c r="C3" s="243"/>
      <c r="D3" s="243"/>
      <c r="E3" s="187" t="s">
        <v>45</v>
      </c>
      <c r="F3" s="188">
        <f t="shared" ref="F3:AS3" si="0">COUNTIFS(F7:F138,"C*",$E7:$E138,"RGAA")</f>
        <v>0</v>
      </c>
      <c r="G3" s="188">
        <f t="shared" si="0"/>
        <v>0</v>
      </c>
      <c r="H3" s="188">
        <f t="shared" si="0"/>
        <v>0</v>
      </c>
      <c r="I3" s="188">
        <f t="shared" si="0"/>
        <v>0</v>
      </c>
      <c r="J3" s="188">
        <f t="shared" si="0"/>
        <v>0</v>
      </c>
      <c r="K3" s="188">
        <f t="shared" si="0"/>
        <v>0</v>
      </c>
      <c r="L3" s="188">
        <f t="shared" si="0"/>
        <v>0</v>
      </c>
      <c r="M3" s="188">
        <f t="shared" si="0"/>
        <v>0</v>
      </c>
      <c r="N3" s="188">
        <f t="shared" si="0"/>
        <v>0</v>
      </c>
      <c r="O3" s="188">
        <f t="shared" si="0"/>
        <v>0</v>
      </c>
      <c r="P3" s="188">
        <f t="shared" si="0"/>
        <v>0</v>
      </c>
      <c r="Q3" s="188">
        <f t="shared" si="0"/>
        <v>0</v>
      </c>
      <c r="R3" s="188">
        <f t="shared" si="0"/>
        <v>0</v>
      </c>
      <c r="S3" s="188">
        <f t="shared" si="0"/>
        <v>0</v>
      </c>
      <c r="T3" s="188">
        <f t="shared" si="0"/>
        <v>0</v>
      </c>
      <c r="U3" s="188">
        <f t="shared" si="0"/>
        <v>0</v>
      </c>
      <c r="V3" s="188">
        <f t="shared" si="0"/>
        <v>0</v>
      </c>
      <c r="W3" s="188">
        <f t="shared" si="0"/>
        <v>0</v>
      </c>
      <c r="X3" s="188">
        <f t="shared" si="0"/>
        <v>0</v>
      </c>
      <c r="Y3" s="188">
        <f t="shared" si="0"/>
        <v>0</v>
      </c>
      <c r="Z3" s="188">
        <f t="shared" si="0"/>
        <v>0</v>
      </c>
      <c r="AA3" s="188">
        <f t="shared" si="0"/>
        <v>0</v>
      </c>
      <c r="AB3" s="188">
        <f t="shared" si="0"/>
        <v>0</v>
      </c>
      <c r="AC3" s="188">
        <f t="shared" si="0"/>
        <v>0</v>
      </c>
      <c r="AD3" s="188">
        <f t="shared" si="0"/>
        <v>0</v>
      </c>
      <c r="AE3" s="188">
        <f t="shared" si="0"/>
        <v>0</v>
      </c>
      <c r="AF3" s="188">
        <f t="shared" si="0"/>
        <v>0</v>
      </c>
      <c r="AG3" s="188">
        <f t="shared" si="0"/>
        <v>0</v>
      </c>
      <c r="AH3" s="188">
        <f t="shared" si="0"/>
        <v>0</v>
      </c>
      <c r="AI3" s="188">
        <f t="shared" si="0"/>
        <v>0</v>
      </c>
      <c r="AJ3" s="188">
        <f t="shared" si="0"/>
        <v>0</v>
      </c>
      <c r="AK3" s="188">
        <f t="shared" si="0"/>
        <v>0</v>
      </c>
      <c r="AL3" s="188">
        <f t="shared" si="0"/>
        <v>0</v>
      </c>
      <c r="AM3" s="188">
        <f t="shared" si="0"/>
        <v>0</v>
      </c>
      <c r="AN3" s="188">
        <f t="shared" si="0"/>
        <v>0</v>
      </c>
      <c r="AO3" s="188">
        <f t="shared" si="0"/>
        <v>0</v>
      </c>
      <c r="AP3" s="188">
        <f t="shared" si="0"/>
        <v>0</v>
      </c>
      <c r="AQ3" s="188">
        <f t="shared" si="0"/>
        <v>0</v>
      </c>
      <c r="AR3" s="188">
        <f t="shared" si="0"/>
        <v>0</v>
      </c>
      <c r="AS3" s="188">
        <f t="shared" si="0"/>
        <v>0</v>
      </c>
      <c r="AT3" s="236" t="s">
        <v>434</v>
      </c>
      <c r="AU3" s="237"/>
      <c r="AV3" s="237"/>
      <c r="AW3" s="189">
        <f>COUNTIFS(AW7:AW138,"C*",$E7:$E138,"RGAA")</f>
        <v>0</v>
      </c>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row>
    <row r="4" spans="1:93" customFormat="1" ht="23.25" customHeight="1">
      <c r="A4" s="243"/>
      <c r="B4" s="243"/>
      <c r="C4" s="243"/>
      <c r="D4" s="243"/>
      <c r="E4" s="185" t="s">
        <v>46</v>
      </c>
      <c r="F4" s="183">
        <f t="shared" ref="F4:AS4" si="1">COUNTIFS(F7:F138,"NC*",$E7:$E138,"RGAA")</f>
        <v>0</v>
      </c>
      <c r="G4" s="183">
        <f t="shared" si="1"/>
        <v>0</v>
      </c>
      <c r="H4" s="183">
        <f t="shared" si="1"/>
        <v>0</v>
      </c>
      <c r="I4" s="183">
        <f t="shared" si="1"/>
        <v>0</v>
      </c>
      <c r="J4" s="183">
        <f t="shared" si="1"/>
        <v>0</v>
      </c>
      <c r="K4" s="183">
        <f t="shared" si="1"/>
        <v>0</v>
      </c>
      <c r="L4" s="183">
        <f t="shared" si="1"/>
        <v>0</v>
      </c>
      <c r="M4" s="183">
        <f t="shared" si="1"/>
        <v>0</v>
      </c>
      <c r="N4" s="183">
        <f t="shared" si="1"/>
        <v>0</v>
      </c>
      <c r="O4" s="183">
        <f t="shared" si="1"/>
        <v>0</v>
      </c>
      <c r="P4" s="183">
        <f t="shared" si="1"/>
        <v>0</v>
      </c>
      <c r="Q4" s="183">
        <f t="shared" si="1"/>
        <v>0</v>
      </c>
      <c r="R4" s="183">
        <f t="shared" si="1"/>
        <v>0</v>
      </c>
      <c r="S4" s="183">
        <f t="shared" si="1"/>
        <v>0</v>
      </c>
      <c r="T4" s="183">
        <f t="shared" si="1"/>
        <v>0</v>
      </c>
      <c r="U4" s="183">
        <f t="shared" si="1"/>
        <v>0</v>
      </c>
      <c r="V4" s="183">
        <f t="shared" si="1"/>
        <v>0</v>
      </c>
      <c r="W4" s="183">
        <f t="shared" si="1"/>
        <v>0</v>
      </c>
      <c r="X4" s="183">
        <f t="shared" si="1"/>
        <v>0</v>
      </c>
      <c r="Y4" s="183">
        <f t="shared" si="1"/>
        <v>0</v>
      </c>
      <c r="Z4" s="183">
        <f t="shared" si="1"/>
        <v>0</v>
      </c>
      <c r="AA4" s="183">
        <f t="shared" si="1"/>
        <v>0</v>
      </c>
      <c r="AB4" s="183">
        <f t="shared" si="1"/>
        <v>0</v>
      </c>
      <c r="AC4" s="183">
        <f t="shared" si="1"/>
        <v>0</v>
      </c>
      <c r="AD4" s="183">
        <f t="shared" si="1"/>
        <v>0</v>
      </c>
      <c r="AE4" s="183">
        <f t="shared" si="1"/>
        <v>0</v>
      </c>
      <c r="AF4" s="183">
        <f t="shared" si="1"/>
        <v>0</v>
      </c>
      <c r="AG4" s="183">
        <f t="shared" si="1"/>
        <v>0</v>
      </c>
      <c r="AH4" s="183">
        <f t="shared" si="1"/>
        <v>0</v>
      </c>
      <c r="AI4" s="183">
        <f t="shared" si="1"/>
        <v>0</v>
      </c>
      <c r="AJ4" s="183">
        <f t="shared" si="1"/>
        <v>0</v>
      </c>
      <c r="AK4" s="183">
        <f t="shared" si="1"/>
        <v>0</v>
      </c>
      <c r="AL4" s="183">
        <f t="shared" si="1"/>
        <v>0</v>
      </c>
      <c r="AM4" s="183">
        <f t="shared" si="1"/>
        <v>0</v>
      </c>
      <c r="AN4" s="183">
        <f t="shared" si="1"/>
        <v>0</v>
      </c>
      <c r="AO4" s="183">
        <f t="shared" si="1"/>
        <v>0</v>
      </c>
      <c r="AP4" s="183">
        <f t="shared" si="1"/>
        <v>0</v>
      </c>
      <c r="AQ4" s="183">
        <f t="shared" si="1"/>
        <v>0</v>
      </c>
      <c r="AR4" s="183">
        <f t="shared" si="1"/>
        <v>0</v>
      </c>
      <c r="AS4" s="183">
        <f t="shared" si="1"/>
        <v>0</v>
      </c>
      <c r="AT4" s="238" t="s">
        <v>435</v>
      </c>
      <c r="AU4" s="239"/>
      <c r="AV4" s="239"/>
      <c r="AW4" s="181">
        <f>COUNTIFS(AW7:AW138,"NC*",$E7:$E138,"RGAA")</f>
        <v>0</v>
      </c>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row>
    <row r="5" spans="1:93" customFormat="1" ht="23.25" customHeight="1">
      <c r="A5" s="244"/>
      <c r="B5" s="244"/>
      <c r="C5" s="244"/>
      <c r="D5" s="244"/>
      <c r="E5" s="197" t="s">
        <v>47</v>
      </c>
      <c r="F5" s="183">
        <f t="shared" ref="F5:AS5" si="2">COUNTIFS(F7:F138,"NA*",$E7:$E138,"RGAA")</f>
        <v>0</v>
      </c>
      <c r="G5" s="183">
        <f t="shared" si="2"/>
        <v>0</v>
      </c>
      <c r="H5" s="183">
        <f t="shared" si="2"/>
        <v>0</v>
      </c>
      <c r="I5" s="183">
        <f t="shared" si="2"/>
        <v>0</v>
      </c>
      <c r="J5" s="183">
        <f t="shared" si="2"/>
        <v>0</v>
      </c>
      <c r="K5" s="183">
        <f t="shared" si="2"/>
        <v>0</v>
      </c>
      <c r="L5" s="183">
        <f t="shared" si="2"/>
        <v>0</v>
      </c>
      <c r="M5" s="183">
        <f t="shared" si="2"/>
        <v>0</v>
      </c>
      <c r="N5" s="183">
        <f t="shared" si="2"/>
        <v>0</v>
      </c>
      <c r="O5" s="183">
        <f t="shared" si="2"/>
        <v>0</v>
      </c>
      <c r="P5" s="183">
        <f t="shared" si="2"/>
        <v>0</v>
      </c>
      <c r="Q5" s="183">
        <f t="shared" si="2"/>
        <v>0</v>
      </c>
      <c r="R5" s="183">
        <f t="shared" si="2"/>
        <v>0</v>
      </c>
      <c r="S5" s="183">
        <f t="shared" si="2"/>
        <v>0</v>
      </c>
      <c r="T5" s="183">
        <f t="shared" si="2"/>
        <v>0</v>
      </c>
      <c r="U5" s="183">
        <f t="shared" si="2"/>
        <v>0</v>
      </c>
      <c r="V5" s="183">
        <f t="shared" si="2"/>
        <v>0</v>
      </c>
      <c r="W5" s="183">
        <f t="shared" si="2"/>
        <v>0</v>
      </c>
      <c r="X5" s="183">
        <f t="shared" si="2"/>
        <v>0</v>
      </c>
      <c r="Y5" s="183">
        <f t="shared" si="2"/>
        <v>0</v>
      </c>
      <c r="Z5" s="183">
        <f t="shared" si="2"/>
        <v>0</v>
      </c>
      <c r="AA5" s="183">
        <f t="shared" si="2"/>
        <v>0</v>
      </c>
      <c r="AB5" s="183">
        <f t="shared" si="2"/>
        <v>0</v>
      </c>
      <c r="AC5" s="183">
        <f t="shared" si="2"/>
        <v>0</v>
      </c>
      <c r="AD5" s="183">
        <f t="shared" si="2"/>
        <v>0</v>
      </c>
      <c r="AE5" s="183">
        <f t="shared" si="2"/>
        <v>0</v>
      </c>
      <c r="AF5" s="183">
        <f t="shared" si="2"/>
        <v>0</v>
      </c>
      <c r="AG5" s="183">
        <f t="shared" si="2"/>
        <v>0</v>
      </c>
      <c r="AH5" s="183">
        <f t="shared" si="2"/>
        <v>0</v>
      </c>
      <c r="AI5" s="183">
        <f t="shared" si="2"/>
        <v>0</v>
      </c>
      <c r="AJ5" s="183">
        <f t="shared" si="2"/>
        <v>0</v>
      </c>
      <c r="AK5" s="183">
        <f t="shared" si="2"/>
        <v>0</v>
      </c>
      <c r="AL5" s="183">
        <f t="shared" si="2"/>
        <v>0</v>
      </c>
      <c r="AM5" s="183">
        <f t="shared" si="2"/>
        <v>0</v>
      </c>
      <c r="AN5" s="183">
        <f t="shared" si="2"/>
        <v>0</v>
      </c>
      <c r="AO5" s="183">
        <f t="shared" si="2"/>
        <v>0</v>
      </c>
      <c r="AP5" s="183">
        <f t="shared" si="2"/>
        <v>0</v>
      </c>
      <c r="AQ5" s="183">
        <f t="shared" si="2"/>
        <v>0</v>
      </c>
      <c r="AR5" s="183">
        <f t="shared" si="2"/>
        <v>0</v>
      </c>
      <c r="AS5" s="183">
        <f t="shared" si="2"/>
        <v>0</v>
      </c>
      <c r="AT5" s="240" t="s">
        <v>436</v>
      </c>
      <c r="AU5" s="241"/>
      <c r="AV5" s="242"/>
      <c r="AW5" s="182">
        <f>COUNTIFS(AW7:AW138,"NA",$E7:$E138,"RGAA")</f>
        <v>0</v>
      </c>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row>
    <row r="6" spans="1:93" customFormat="1" ht="23.25" customHeight="1">
      <c r="A6" s="230" t="s">
        <v>477</v>
      </c>
      <c r="B6" s="230"/>
      <c r="C6" s="230"/>
      <c r="D6" s="230"/>
      <c r="E6" s="184" t="str">
        <f>IF(COUNT(F6:AS6)&gt;0,AVERAGE(F6:AS6),"-")</f>
        <v>-</v>
      </c>
      <c r="F6" s="121" t="str">
        <f>IFERROR(F3/(F3+F4), "")</f>
        <v/>
      </c>
      <c r="G6" s="121" t="str">
        <f t="shared" ref="G6:AS6" si="3">IFERROR(G3/(G3+G4), "")</f>
        <v/>
      </c>
      <c r="H6" s="121" t="str">
        <f t="shared" si="3"/>
        <v/>
      </c>
      <c r="I6" s="121" t="str">
        <f t="shared" si="3"/>
        <v/>
      </c>
      <c r="J6" s="121" t="str">
        <f t="shared" si="3"/>
        <v/>
      </c>
      <c r="K6" s="121" t="str">
        <f t="shared" si="3"/>
        <v/>
      </c>
      <c r="L6" s="121" t="str">
        <f t="shared" si="3"/>
        <v/>
      </c>
      <c r="M6" s="121" t="str">
        <f t="shared" si="3"/>
        <v/>
      </c>
      <c r="N6" s="121" t="str">
        <f t="shared" si="3"/>
        <v/>
      </c>
      <c r="O6" s="121" t="str">
        <f t="shared" si="3"/>
        <v/>
      </c>
      <c r="P6" s="121" t="str">
        <f t="shared" si="3"/>
        <v/>
      </c>
      <c r="Q6" s="121" t="str">
        <f t="shared" si="3"/>
        <v/>
      </c>
      <c r="R6" s="121" t="str">
        <f t="shared" si="3"/>
        <v/>
      </c>
      <c r="S6" s="121" t="str">
        <f t="shared" si="3"/>
        <v/>
      </c>
      <c r="T6" s="121" t="str">
        <f t="shared" si="3"/>
        <v/>
      </c>
      <c r="U6" s="121" t="str">
        <f t="shared" si="3"/>
        <v/>
      </c>
      <c r="V6" s="121" t="str">
        <f t="shared" si="3"/>
        <v/>
      </c>
      <c r="W6" s="121" t="str">
        <f t="shared" si="3"/>
        <v/>
      </c>
      <c r="X6" s="121" t="str">
        <f t="shared" si="3"/>
        <v/>
      </c>
      <c r="Y6" s="121" t="str">
        <f t="shared" si="3"/>
        <v/>
      </c>
      <c r="Z6" s="121" t="str">
        <f t="shared" si="3"/>
        <v/>
      </c>
      <c r="AA6" s="121" t="str">
        <f t="shared" si="3"/>
        <v/>
      </c>
      <c r="AB6" s="121" t="str">
        <f t="shared" si="3"/>
        <v/>
      </c>
      <c r="AC6" s="121" t="str">
        <f t="shared" si="3"/>
        <v/>
      </c>
      <c r="AD6" s="121" t="str">
        <f t="shared" si="3"/>
        <v/>
      </c>
      <c r="AE6" s="121" t="str">
        <f t="shared" si="3"/>
        <v/>
      </c>
      <c r="AF6" s="121" t="str">
        <f t="shared" si="3"/>
        <v/>
      </c>
      <c r="AG6" s="121" t="str">
        <f t="shared" si="3"/>
        <v/>
      </c>
      <c r="AH6" s="121" t="str">
        <f t="shared" si="3"/>
        <v/>
      </c>
      <c r="AI6" s="121" t="str">
        <f t="shared" si="3"/>
        <v/>
      </c>
      <c r="AJ6" s="121" t="str">
        <f t="shared" si="3"/>
        <v/>
      </c>
      <c r="AK6" s="121" t="str">
        <f t="shared" si="3"/>
        <v/>
      </c>
      <c r="AL6" s="121" t="str">
        <f t="shared" si="3"/>
        <v/>
      </c>
      <c r="AM6" s="121" t="str">
        <f t="shared" si="3"/>
        <v/>
      </c>
      <c r="AN6" s="121" t="str">
        <f t="shared" si="3"/>
        <v/>
      </c>
      <c r="AO6" s="121" t="str">
        <f t="shared" si="3"/>
        <v/>
      </c>
      <c r="AP6" s="121" t="str">
        <f t="shared" si="3"/>
        <v/>
      </c>
      <c r="AQ6" s="121" t="str">
        <f t="shared" si="3"/>
        <v/>
      </c>
      <c r="AR6" s="121" t="str">
        <f t="shared" si="3"/>
        <v/>
      </c>
      <c r="AS6" s="121" t="str">
        <f t="shared" si="3"/>
        <v/>
      </c>
      <c r="AT6" s="231" t="s">
        <v>478</v>
      </c>
      <c r="AU6" s="232"/>
      <c r="AV6" s="233"/>
      <c r="AW6" s="121" t="str">
        <f>IF(AW3+AW4=0,"En attente de données",AW3/(AW3+AW4))</f>
        <v>En attente de données</v>
      </c>
      <c r="AX6" s="5"/>
      <c r="AY6" s="190" t="s">
        <v>479</v>
      </c>
      <c r="AZ6" s="191">
        <f>SUM(BA6:CN6)</f>
        <v>0</v>
      </c>
      <c r="BA6" s="40">
        <f t="shared" ref="BA6:CN6" si="4">COUNTIFS(BA7:BA138,"Oui",$E7:$E138,"RGAA")</f>
        <v>0</v>
      </c>
      <c r="BB6" s="40">
        <f t="shared" si="4"/>
        <v>0</v>
      </c>
      <c r="BC6" s="40">
        <f t="shared" si="4"/>
        <v>0</v>
      </c>
      <c r="BD6" s="40">
        <f t="shared" si="4"/>
        <v>0</v>
      </c>
      <c r="BE6" s="40">
        <f t="shared" si="4"/>
        <v>0</v>
      </c>
      <c r="BF6" s="40">
        <f t="shared" si="4"/>
        <v>0</v>
      </c>
      <c r="BG6" s="40">
        <f t="shared" si="4"/>
        <v>0</v>
      </c>
      <c r="BH6" s="40">
        <f t="shared" si="4"/>
        <v>0</v>
      </c>
      <c r="BI6" s="40">
        <f t="shared" si="4"/>
        <v>0</v>
      </c>
      <c r="BJ6" s="40">
        <f t="shared" si="4"/>
        <v>0</v>
      </c>
      <c r="BK6" s="40">
        <f t="shared" si="4"/>
        <v>0</v>
      </c>
      <c r="BL6" s="40">
        <f t="shared" si="4"/>
        <v>0</v>
      </c>
      <c r="BM6" s="40">
        <f t="shared" si="4"/>
        <v>0</v>
      </c>
      <c r="BN6" s="40">
        <f t="shared" si="4"/>
        <v>0</v>
      </c>
      <c r="BO6" s="40">
        <f t="shared" si="4"/>
        <v>0</v>
      </c>
      <c r="BP6" s="40">
        <f t="shared" si="4"/>
        <v>0</v>
      </c>
      <c r="BQ6" s="40">
        <f t="shared" si="4"/>
        <v>0</v>
      </c>
      <c r="BR6" s="40">
        <f t="shared" si="4"/>
        <v>0</v>
      </c>
      <c r="BS6" s="40">
        <f t="shared" si="4"/>
        <v>0</v>
      </c>
      <c r="BT6" s="40">
        <f t="shared" si="4"/>
        <v>0</v>
      </c>
      <c r="BU6" s="40">
        <f t="shared" si="4"/>
        <v>0</v>
      </c>
      <c r="BV6" s="40">
        <f t="shared" si="4"/>
        <v>0</v>
      </c>
      <c r="BW6" s="40">
        <f t="shared" si="4"/>
        <v>0</v>
      </c>
      <c r="BX6" s="40">
        <f t="shared" si="4"/>
        <v>0</v>
      </c>
      <c r="BY6" s="40">
        <f t="shared" si="4"/>
        <v>0</v>
      </c>
      <c r="BZ6" s="40">
        <f t="shared" si="4"/>
        <v>0</v>
      </c>
      <c r="CA6" s="40">
        <f t="shared" si="4"/>
        <v>0</v>
      </c>
      <c r="CB6" s="40">
        <f t="shared" si="4"/>
        <v>0</v>
      </c>
      <c r="CC6" s="40">
        <f t="shared" si="4"/>
        <v>0</v>
      </c>
      <c r="CD6" s="40">
        <f t="shared" si="4"/>
        <v>0</v>
      </c>
      <c r="CE6" s="40">
        <f t="shared" si="4"/>
        <v>0</v>
      </c>
      <c r="CF6" s="40">
        <f t="shared" si="4"/>
        <v>0</v>
      </c>
      <c r="CG6" s="40">
        <f t="shared" si="4"/>
        <v>0</v>
      </c>
      <c r="CH6" s="40">
        <f t="shared" si="4"/>
        <v>0</v>
      </c>
      <c r="CI6" s="40">
        <f t="shared" si="4"/>
        <v>0</v>
      </c>
      <c r="CJ6" s="40">
        <f t="shared" si="4"/>
        <v>0</v>
      </c>
      <c r="CK6" s="40">
        <f t="shared" si="4"/>
        <v>0</v>
      </c>
      <c r="CL6" s="40">
        <f t="shared" si="4"/>
        <v>0</v>
      </c>
      <c r="CM6" s="40">
        <f t="shared" si="4"/>
        <v>0</v>
      </c>
      <c r="CN6" s="40">
        <f t="shared" si="4"/>
        <v>0</v>
      </c>
    </row>
    <row r="7" spans="1:93" ht="96.75" customHeight="1">
      <c r="A7" s="122" t="str">
        <f>'Critères et tests'!B2</f>
        <v>Thématique</v>
      </c>
      <c r="B7" s="60" t="str">
        <f>'Critères et tests'!$A2</f>
        <v>n°critères</v>
      </c>
      <c r="C7" s="60" t="str">
        <f>'Critères et tests'!E2</f>
        <v>Intitulé des critères</v>
      </c>
      <c r="D7" s="60" t="str">
        <f>'Critères et tests'!$C2</f>
        <v>Niveau WCAG</v>
      </c>
      <c r="E7" s="60"/>
      <c r="F7" s="123" t="s">
        <v>3</v>
      </c>
      <c r="G7" s="123" t="s">
        <v>4</v>
      </c>
      <c r="H7" s="123" t="s">
        <v>5</v>
      </c>
      <c r="I7" s="123" t="s">
        <v>6</v>
      </c>
      <c r="J7" s="123" t="s">
        <v>7</v>
      </c>
      <c r="K7" s="123" t="s">
        <v>8</v>
      </c>
      <c r="L7" s="123" t="s">
        <v>9</v>
      </c>
      <c r="M7" s="123" t="s">
        <v>10</v>
      </c>
      <c r="N7" s="123" t="s">
        <v>11</v>
      </c>
      <c r="O7" s="123" t="s">
        <v>12</v>
      </c>
      <c r="P7" s="123" t="s">
        <v>13</v>
      </c>
      <c r="Q7" s="123" t="s">
        <v>14</v>
      </c>
      <c r="R7" s="123" t="s">
        <v>15</v>
      </c>
      <c r="S7" s="123" t="s">
        <v>16</v>
      </c>
      <c r="T7" s="123" t="s">
        <v>17</v>
      </c>
      <c r="U7" s="123" t="s">
        <v>18</v>
      </c>
      <c r="V7" s="123" t="s">
        <v>19</v>
      </c>
      <c r="W7" s="123" t="s">
        <v>20</v>
      </c>
      <c r="X7" s="123" t="s">
        <v>21</v>
      </c>
      <c r="Y7" s="123" t="s">
        <v>22</v>
      </c>
      <c r="Z7" s="123" t="s">
        <v>23</v>
      </c>
      <c r="AA7" s="123" t="s">
        <v>24</v>
      </c>
      <c r="AB7" s="123" t="s">
        <v>25</v>
      </c>
      <c r="AC7" s="123" t="s">
        <v>26</v>
      </c>
      <c r="AD7" s="123" t="s">
        <v>27</v>
      </c>
      <c r="AE7" s="123" t="s">
        <v>28</v>
      </c>
      <c r="AF7" s="123" t="s">
        <v>29</v>
      </c>
      <c r="AG7" s="123" t="s">
        <v>30</v>
      </c>
      <c r="AH7" s="123" t="s">
        <v>31</v>
      </c>
      <c r="AI7" s="123" t="s">
        <v>32</v>
      </c>
      <c r="AJ7" s="123" t="s">
        <v>33</v>
      </c>
      <c r="AK7" s="123" t="s">
        <v>34</v>
      </c>
      <c r="AL7" s="123" t="s">
        <v>35</v>
      </c>
      <c r="AM7" s="123" t="s">
        <v>36</v>
      </c>
      <c r="AN7" s="123" t="s">
        <v>37</v>
      </c>
      <c r="AO7" s="123" t="s">
        <v>38</v>
      </c>
      <c r="AP7" s="123" t="s">
        <v>39</v>
      </c>
      <c r="AQ7" s="123" t="s">
        <v>40</v>
      </c>
      <c r="AR7" s="123" t="s">
        <v>41</v>
      </c>
      <c r="AS7" s="123" t="s">
        <v>42</v>
      </c>
      <c r="AT7" s="57" t="s">
        <v>45</v>
      </c>
      <c r="AU7" s="58" t="s">
        <v>46</v>
      </c>
      <c r="AV7" s="198" t="s">
        <v>47</v>
      </c>
      <c r="AW7" s="16" t="s">
        <v>432</v>
      </c>
      <c r="AX7" s="12"/>
      <c r="AY7" s="12"/>
      <c r="AZ7" s="12"/>
      <c r="BA7" s="123" t="s">
        <v>3</v>
      </c>
      <c r="BB7" s="123" t="s">
        <v>4</v>
      </c>
      <c r="BC7" s="123" t="s">
        <v>5</v>
      </c>
      <c r="BD7" s="123" t="s">
        <v>6</v>
      </c>
      <c r="BE7" s="123" t="s">
        <v>7</v>
      </c>
      <c r="BF7" s="123" t="s">
        <v>8</v>
      </c>
      <c r="BG7" s="123" t="s">
        <v>9</v>
      </c>
      <c r="BH7" s="123" t="s">
        <v>10</v>
      </c>
      <c r="BI7" s="123" t="s">
        <v>11</v>
      </c>
      <c r="BJ7" s="123" t="s">
        <v>12</v>
      </c>
      <c r="BK7" s="123" t="s">
        <v>13</v>
      </c>
      <c r="BL7" s="123" t="s">
        <v>14</v>
      </c>
      <c r="BM7" s="123" t="s">
        <v>15</v>
      </c>
      <c r="BN7" s="123" t="s">
        <v>16</v>
      </c>
      <c r="BO7" s="123" t="s">
        <v>17</v>
      </c>
      <c r="BP7" s="123" t="s">
        <v>18</v>
      </c>
      <c r="BQ7" s="123" t="s">
        <v>19</v>
      </c>
      <c r="BR7" s="123" t="s">
        <v>20</v>
      </c>
      <c r="BS7" s="123" t="s">
        <v>21</v>
      </c>
      <c r="BT7" s="123" t="s">
        <v>22</v>
      </c>
      <c r="BU7" s="123" t="s">
        <v>23</v>
      </c>
      <c r="BV7" s="123" t="s">
        <v>24</v>
      </c>
      <c r="BW7" s="123" t="s">
        <v>25</v>
      </c>
      <c r="BX7" s="123" t="s">
        <v>26</v>
      </c>
      <c r="BY7" s="123" t="s">
        <v>27</v>
      </c>
      <c r="BZ7" s="123" t="s">
        <v>28</v>
      </c>
      <c r="CA7" s="123" t="s">
        <v>29</v>
      </c>
      <c r="CB7" s="123" t="s">
        <v>30</v>
      </c>
      <c r="CC7" s="123" t="s">
        <v>31</v>
      </c>
      <c r="CD7" s="123" t="s">
        <v>32</v>
      </c>
      <c r="CE7" s="123" t="s">
        <v>33</v>
      </c>
      <c r="CF7" s="123" t="s">
        <v>34</v>
      </c>
      <c r="CG7" s="123" t="s">
        <v>35</v>
      </c>
      <c r="CH7" s="123" t="s">
        <v>36</v>
      </c>
      <c r="CI7" s="123" t="s">
        <v>37</v>
      </c>
      <c r="CJ7" s="123" t="s">
        <v>38</v>
      </c>
      <c r="CK7" s="123" t="s">
        <v>39</v>
      </c>
      <c r="CL7" s="123" t="s">
        <v>40</v>
      </c>
      <c r="CM7" s="123" t="s">
        <v>41</v>
      </c>
      <c r="CN7" s="123" t="s">
        <v>42</v>
      </c>
    </row>
    <row r="8" spans="1:93" ht="39.75" customHeight="1">
      <c r="A8" s="122" t="str">
        <f>'Critères et tests'!B3</f>
        <v>IMAGES</v>
      </c>
      <c r="B8" s="124" t="str">
        <f>'Critères et tests'!$A3</f>
        <v>1.1</v>
      </c>
      <c r="C8" s="192" t="str">
        <f>VLOOKUP(B8,'Critères et tests'!$1:$1048576,5,FALSE)</f>
        <v>Chaque image porteuse d’information a-t-elle une alternative textuelle ?</v>
      </c>
      <c r="D8" s="124" t="str">
        <f>'Critères et tests'!$C3</f>
        <v>A</v>
      </c>
      <c r="E8" s="156" t="s">
        <v>460</v>
      </c>
      <c r="F8" s="88">
        <f>IF('P01'!$E$4&gt;"",'P01'!$E$4&amp;" "&amp;CHAR(10)&amp;'P01'!$F$4,'P01'!$E$4)</f>
        <v>0</v>
      </c>
      <c r="G8" s="89">
        <f>IF('P02'!$E4&gt;"",'P02'!$E4&amp;" "&amp;CHAR(10)&amp;'P02'!$F4,'P02'!$E4)</f>
        <v>0</v>
      </c>
      <c r="H8" s="89">
        <f>IF('P03'!$E4&gt;"",'P03'!$E4&amp;" "&amp;CHAR(10)&amp;'P03'!$F4,'P03'!$E4)</f>
        <v>0</v>
      </c>
      <c r="I8" s="89">
        <f>IF('P04'!$E4&gt;"",'P04'!$E4&amp;" "&amp;CHAR(10)&amp;'P04'!$F4,'P04'!$E4)</f>
        <v>0</v>
      </c>
      <c r="J8" s="89">
        <f>IF('P05'!$E4&gt;"",'P05'!$E4&amp;" "&amp;CHAR(10)&amp;'P05'!$F4,'P05'!$E4)</f>
        <v>0</v>
      </c>
      <c r="K8" s="89">
        <f>IF('P06'!$E4&gt;"",'P06'!$E4&amp;" "&amp;CHAR(10)&amp;'P06'!$F4,'P06'!$E4)</f>
        <v>0</v>
      </c>
      <c r="L8" s="89">
        <f>IF('P07'!$E4&gt;"",'P07'!$E4&amp;" "&amp;CHAR(10)&amp;'P07'!$F4,'P07'!$E4)</f>
        <v>0</v>
      </c>
      <c r="M8" s="89">
        <f>IF('P08'!$E4&gt;"",'P08'!$E4&amp;" "&amp;CHAR(10)&amp;'P08'!$F4,'P08'!$E4)</f>
        <v>0</v>
      </c>
      <c r="N8" s="89">
        <f>IF('P09'!$E4&gt;"",'P09'!$E4&amp;" "&amp;CHAR(10)&amp;'P09'!$F4,'P09'!$E4)</f>
        <v>0</v>
      </c>
      <c r="O8" s="89">
        <f>IF('P10'!$E4&gt;"",'P10'!$E4&amp;" "&amp;CHAR(10)&amp;'P10'!$F4,'P10'!$E4)</f>
        <v>0</v>
      </c>
      <c r="P8" s="89">
        <f>IF('P11'!$E4&gt;"",'P11'!$E4&amp;" "&amp;CHAR(10)&amp;'P11'!$F4,'P11'!$E4)</f>
        <v>0</v>
      </c>
      <c r="Q8" s="89">
        <f>IF('P12'!$E4&gt;"",'P12'!$E4&amp;" "&amp;CHAR(10)&amp;'P12'!$F4,'P12'!$E4)</f>
        <v>0</v>
      </c>
      <c r="R8" s="89">
        <f>IF('P13'!$E4&gt;"",'P13'!$E4&amp;" "&amp;CHAR(10)&amp;'P13'!$F4,'P13'!$E4)</f>
        <v>0</v>
      </c>
      <c r="S8" s="89">
        <f>IF('P14'!$E4&gt;"",'P14'!$E4&amp;" "&amp;CHAR(10)&amp;'P14'!$F4,'P14'!$E4)</f>
        <v>0</v>
      </c>
      <c r="T8" s="89">
        <f>IF('P15'!$E4&gt;"",'P15'!$E4&amp;" "&amp;CHAR(10)&amp;'P15'!$F4,'P15'!$E4)</f>
        <v>0</v>
      </c>
      <c r="U8" s="89">
        <f>IF('P16'!$E4&gt;"",'P16'!$E4&amp;" "&amp;CHAR(10)&amp;'P16'!$F4,'P16'!$E4)</f>
        <v>0</v>
      </c>
      <c r="V8" s="89">
        <f>IF('P17'!$E4&gt;"",'P17'!$E4&amp;" "&amp;CHAR(10)&amp;'P17'!$F4,'P17'!$E4)</f>
        <v>0</v>
      </c>
      <c r="W8" s="89">
        <f>IF('P18'!$E4&gt;"",'P18'!$E4&amp;" "&amp;CHAR(10)&amp;'P18'!$F4,'P18'!$E4)</f>
        <v>0</v>
      </c>
      <c r="X8" s="89">
        <f>IF('P19'!$E4&gt;"",'P19'!$E4&amp;" "&amp;CHAR(10)&amp;'P19'!$F4,'P19'!$E4)</f>
        <v>0</v>
      </c>
      <c r="Y8" s="89">
        <f>IF('P20'!$E4&gt;"",'P20'!$E4&amp;" "&amp;CHAR(10)&amp;'P20'!$F4,'P20'!$E4)</f>
        <v>0</v>
      </c>
      <c r="Z8" s="89">
        <f>IF('P21'!$E4&gt;"",'P21'!$E4&amp;" "&amp;CHAR(10)&amp;'P21'!$F4,'P21'!$E4)</f>
        <v>0</v>
      </c>
      <c r="AA8" s="89">
        <f>IF('P22'!$E4&gt;"",'P22'!$E4&amp;" "&amp;CHAR(10)&amp;'P22'!$F4,'P22'!$E4)</f>
        <v>0</v>
      </c>
      <c r="AB8" s="89">
        <f>IF('P23'!$E4&gt;"",'P23'!$E4&amp;" "&amp;CHAR(10)&amp;'P23'!$F4,'P23'!$E4)</f>
        <v>0</v>
      </c>
      <c r="AC8" s="89">
        <f>IF('P24'!$E4&gt;"",'P24'!$E4&amp;" "&amp;CHAR(10)&amp;'P24'!$F4,'P24'!$E4)</f>
        <v>0</v>
      </c>
      <c r="AD8" s="89">
        <f>IF('P25'!$E4&gt;"",'P25'!$E4&amp;" "&amp;CHAR(10)&amp;'P25'!$F4,'P25'!$E4)</f>
        <v>0</v>
      </c>
      <c r="AE8" s="89">
        <f>IF('P26'!$E4&gt;"",'P26'!$E4&amp;" "&amp;CHAR(10)&amp;'P26'!$F4,'P26'!$E4)</f>
        <v>0</v>
      </c>
      <c r="AF8" s="89">
        <f>IF('P27'!$E4&gt;"",'P27'!$E4&amp;" "&amp;CHAR(10)&amp;'P27'!$F4,'P27'!$E4)</f>
        <v>0</v>
      </c>
      <c r="AG8" s="89">
        <f>IF('P28'!$E4&gt;"",'P28'!$E4&amp;" "&amp;CHAR(10)&amp;'P28'!$F4,'P28'!$E4)</f>
        <v>0</v>
      </c>
      <c r="AH8" s="89">
        <f>IF('P29'!$E4&gt;"",'P29'!$E4&amp;" "&amp;CHAR(10)&amp;'P29'!$F4,'P29'!$E4)</f>
        <v>0</v>
      </c>
      <c r="AI8" s="89">
        <f>IF('P30'!$E4&gt;"",'P30'!$E4&amp;" "&amp;CHAR(10)&amp;'P30'!$F4,'P30'!$E4)</f>
        <v>0</v>
      </c>
      <c r="AJ8" s="89">
        <f>IF('P31'!$E4&gt;"",'P31'!$E4&amp;" "&amp;CHAR(10)&amp;'P31'!$F4,'P31'!$E4)</f>
        <v>0</v>
      </c>
      <c r="AK8" s="89">
        <f>IF('P32'!$E4&gt;"",'P32'!$E4&amp;" "&amp;CHAR(10)&amp;'P32'!$F4,'P32'!$E4)</f>
        <v>0</v>
      </c>
      <c r="AL8" s="89">
        <f>IF('P33'!$E4&gt;"",'P33'!$E4&amp;" "&amp;CHAR(10)&amp;'P33'!$F4,'P33'!$E4)</f>
        <v>0</v>
      </c>
      <c r="AM8" s="89">
        <f>IF('P34'!$E4&gt;"",'P34'!$E4&amp;" "&amp;CHAR(10)&amp;'P34'!$F4,'P34'!$E4)</f>
        <v>0</v>
      </c>
      <c r="AN8" s="89">
        <f>IF('P35'!$E4&gt;"",'P35'!$E4&amp;" "&amp;CHAR(10)&amp;'P35'!$F4,'P35'!$E4)</f>
        <v>0</v>
      </c>
      <c r="AO8" s="89">
        <f>IF('P36'!$E4&gt;"",'P36'!$E4&amp;" "&amp;CHAR(10)&amp;'P36'!$F4,'P36'!$E4)</f>
        <v>0</v>
      </c>
      <c r="AP8" s="89">
        <f>IF('P37'!$E4&gt;"",'P37'!$E4&amp;" "&amp;CHAR(10)&amp;'P37'!$F4,'P37'!$E4)</f>
        <v>0</v>
      </c>
      <c r="AQ8" s="89">
        <f>IF('P38'!$E4&gt;"",'P38'!$E4&amp;" "&amp;CHAR(10)&amp;'P38'!$F4,'P38'!$E4)</f>
        <v>0</v>
      </c>
      <c r="AR8" s="89">
        <f>IF('P39'!$E4&gt;"",'P39'!$E4&amp;" "&amp;CHAR(10)&amp;'P39'!$F4,'P39'!$E4)</f>
        <v>0</v>
      </c>
      <c r="AS8" s="89">
        <f>IF('P40'!$E4&gt;"",'P40'!$E4&amp;" "&amp;CHAR(10)&amp;'P40'!$F4,'P40'!$E4)</f>
        <v>0</v>
      </c>
      <c r="AT8" s="55">
        <f>COUNTIF(F8:AS8,"C*")</f>
        <v>0</v>
      </c>
      <c r="AU8" s="55">
        <f>COUNTIF(F8:AS8,"NC*")</f>
        <v>0</v>
      </c>
      <c r="AV8" s="55">
        <f>COUNTIF(F8:AS8,"NA*")</f>
        <v>0</v>
      </c>
      <c r="AW8" s="11" t="str">
        <f>IF(AU8&gt;0,"NC",IF(AT8&gt;0,"C",IF($AV8&gt;0,"NA","NT")))</f>
        <v>NT</v>
      </c>
      <c r="AX8" s="56"/>
      <c r="AY8" s="10"/>
      <c r="AZ8" s="10"/>
      <c r="BA8" s="10" t="str">
        <f>IF('P01'!$G4&lt;&gt;"", 'P01'!$G4, "non")</f>
        <v>non</v>
      </c>
      <c r="BB8" s="10" t="str">
        <f>IF('P02'!$G4&lt;&gt;"", 'P02'!$G4, "non")</f>
        <v>non</v>
      </c>
      <c r="BC8" s="10" t="str">
        <f>IF('P03'!$G4&lt;&gt;"", 'P03'!$G4, "non")</f>
        <v>non</v>
      </c>
      <c r="BD8" s="10" t="str">
        <f>IF('P04'!$G4&lt;&gt;"", 'P04'!$G4, "non")</f>
        <v>non</v>
      </c>
      <c r="BE8" s="10" t="str">
        <f>IF('P05'!$G4&lt;&gt;"", 'P05'!$G4, "non")</f>
        <v>non</v>
      </c>
      <c r="BF8" s="10" t="str">
        <f>IF('P06'!$G4&lt;&gt;"", 'P06'!$G4, "non")</f>
        <v>non</v>
      </c>
      <c r="BG8" s="10" t="str">
        <f>IF('P07'!$G4&lt;&gt;"", 'P07'!$G4, "non")</f>
        <v>non</v>
      </c>
      <c r="BH8" s="10" t="str">
        <f>IF('P08'!$G4&lt;&gt;"", 'P08'!$G4, "non")</f>
        <v>non</v>
      </c>
      <c r="BI8" s="10" t="str">
        <f>IF('P09'!$G4&lt;&gt;"", 'P09'!$G4, "non")</f>
        <v>non</v>
      </c>
      <c r="BJ8" s="10" t="str">
        <f>IF('P10'!$G4&lt;&gt;"", 'P10'!$G4, "non")</f>
        <v>non</v>
      </c>
      <c r="BK8" s="10" t="str">
        <f>IF('P11'!$G4&lt;&gt;"", 'P11'!$G4, "non")</f>
        <v>non</v>
      </c>
      <c r="BL8" s="10" t="str">
        <f>IF('P12'!$G4&lt;&gt;"", 'P12'!$G4, "non")</f>
        <v>non</v>
      </c>
      <c r="BM8" s="10" t="str">
        <f>IF('P13'!$G4&lt;&gt;"", 'P13'!$G4, "non")</f>
        <v>non</v>
      </c>
      <c r="BN8" s="10" t="str">
        <f>IF('P14'!$G4&lt;&gt;"", 'P14'!$G4, "non")</f>
        <v>non</v>
      </c>
      <c r="BO8" s="10" t="str">
        <f>IF('P15'!$G4&lt;&gt;"", 'P15'!$G4, "non")</f>
        <v>non</v>
      </c>
      <c r="BP8" s="10" t="str">
        <f>IF('P16'!$G4&lt;&gt;"", 'P16'!$G4, "non")</f>
        <v>non</v>
      </c>
      <c r="BQ8" s="10" t="str">
        <f>IF('P17'!$G4&lt;&gt;"", 'P17'!$G4, "non")</f>
        <v>non</v>
      </c>
      <c r="BR8" s="10" t="str">
        <f>IF('P18'!$G4&lt;&gt;"", 'P18'!$G4, "non")</f>
        <v>non</v>
      </c>
      <c r="BS8" s="10" t="str">
        <f>IF('P19'!$G4&lt;&gt;"", 'P19'!$G4, "non")</f>
        <v>non</v>
      </c>
      <c r="BT8" s="11" t="str">
        <f>IF('P20'!$G4&lt;&gt;"", 'P20'!$G4, "non")</f>
        <v>non</v>
      </c>
      <c r="BU8" s="10" t="str">
        <f>IF('P21'!$G4&lt;&gt;"", 'P21'!$G4, "non")</f>
        <v>non</v>
      </c>
      <c r="BV8" s="11" t="str">
        <f>IF('P22'!$G4&lt;&gt;"", 'P22'!$G4, "non")</f>
        <v>non</v>
      </c>
      <c r="BW8" s="10" t="str">
        <f>IF('P23'!$G4&lt;&gt;"", 'P23'!$G4, "non")</f>
        <v>non</v>
      </c>
      <c r="BX8" s="11" t="str">
        <f>IF('P24'!$G4&lt;&gt;"", 'P24'!$G4, "non")</f>
        <v>non</v>
      </c>
      <c r="BY8" s="10" t="str">
        <f>IF('P25'!$G4&lt;&gt;"", 'P25'!$G4, "non")</f>
        <v>non</v>
      </c>
      <c r="BZ8" s="11" t="str">
        <f>IF('P26'!$G4&lt;&gt;"", 'P26'!$G4, "non")</f>
        <v>non</v>
      </c>
      <c r="CA8" s="10" t="str">
        <f>IF('P27'!$G4&lt;&gt;"", 'P27'!$G4, "non")</f>
        <v>non</v>
      </c>
      <c r="CB8" s="11" t="str">
        <f>IF('P28'!$G4&lt;&gt;"", 'P28'!$G4, "non")</f>
        <v>non</v>
      </c>
      <c r="CC8" s="10" t="str">
        <f>IF('P29'!$G4&lt;&gt;"", 'P29'!$G4, "non")</f>
        <v>non</v>
      </c>
      <c r="CD8" s="11" t="str">
        <f>IF('P30'!$G4&lt;&gt;"", 'P30'!$G4, "non")</f>
        <v>non</v>
      </c>
      <c r="CE8" s="10" t="str">
        <f>IF('P31'!$G4&lt;&gt;"", 'P31'!$G4, "non")</f>
        <v>non</v>
      </c>
      <c r="CF8" s="11" t="str">
        <f>IF('P32'!$G4&lt;&gt;"", 'P32'!$G4, "non")</f>
        <v>non</v>
      </c>
      <c r="CG8" s="10" t="str">
        <f>IF('P33'!$G4&lt;&gt;"", 'P33'!$G4, "non")</f>
        <v>non</v>
      </c>
      <c r="CH8" s="10" t="str">
        <f>IF('P34'!$G4&lt;&gt;"", 'P34'!$G4, "non")</f>
        <v>non</v>
      </c>
      <c r="CI8" s="11" t="str">
        <f>IF('P35'!$G4&lt;&gt;"", 'P35'!$G4, "non")</f>
        <v>non</v>
      </c>
      <c r="CJ8" s="10" t="str">
        <f>IF('P36'!$G4&lt;&gt;"", 'P36'!$G4, "non")</f>
        <v>non</v>
      </c>
      <c r="CK8" s="11" t="str">
        <f>IF('P37'!$G4&lt;&gt;"", 'P37'!$G4, "non")</f>
        <v>non</v>
      </c>
      <c r="CL8" s="10" t="str">
        <f>IF('P38'!$G4&lt;&gt;"", 'P38'!$G4, "non")</f>
        <v>non</v>
      </c>
      <c r="CM8" s="11" t="str">
        <f>IF('P39'!$G4&lt;&gt;"", 'P39'!$G4, "non")</f>
        <v>non</v>
      </c>
      <c r="CN8" s="10" t="str">
        <f>IF('P40'!$G4&lt;&gt;"", 'P40'!$G4, "non")</f>
        <v>non</v>
      </c>
    </row>
    <row r="9" spans="1:93" s="6" customFormat="1" ht="39.75" customHeight="1">
      <c r="A9" s="122" t="str">
        <f>'Critères et tests'!B4</f>
        <v>IMAGES</v>
      </c>
      <c r="B9" s="124" t="str">
        <f>'Critères et tests'!$A4</f>
        <v>1.2</v>
      </c>
      <c r="C9" s="192" t="str">
        <f>VLOOKUP(B9,'Critères et tests'!$1:$1048576,5,FALSE)</f>
        <v>Chaque image de décoration est-elle correctement ignorée par les technologies d’assistance ?</v>
      </c>
      <c r="D9" s="124" t="str">
        <f>'Critères et tests'!$C4</f>
        <v>A</v>
      </c>
      <c r="E9" s="156" t="s">
        <v>460</v>
      </c>
      <c r="F9" s="88">
        <f>IF('P01'!$E5&gt;"",'P01'!$E5&amp;" "&amp;CHAR(10)&amp;'P01'!$F5,'P01'!$E5)</f>
        <v>0</v>
      </c>
      <c r="G9" s="89">
        <f>IF('P02'!$E5&gt;"",'P02'!$E5&amp;" "&amp;CHAR(10)&amp;'P02'!$F5,'P02'!$E5)</f>
        <v>0</v>
      </c>
      <c r="H9" s="89">
        <f>IF('P03'!$E5&gt;"",'P03'!$E5&amp;" "&amp;CHAR(10)&amp;'P03'!$F5,'P03'!$E5)</f>
        <v>0</v>
      </c>
      <c r="I9" s="89">
        <f>IF('P04'!$E5&gt;"",'P04'!$E5&amp;" "&amp;CHAR(10)&amp;'P04'!$F5,'P04'!$E5)</f>
        <v>0</v>
      </c>
      <c r="J9" s="89">
        <f>IF('P05'!$E5&gt;"",'P05'!$E5&amp;" "&amp;CHAR(10)&amp;'P05'!$F5,'P05'!$E5)</f>
        <v>0</v>
      </c>
      <c r="K9" s="89">
        <f>IF('P06'!$E5&gt;"",'P06'!$E5&amp;" "&amp;CHAR(10)&amp;'P06'!$F5,'P06'!$E5)</f>
        <v>0</v>
      </c>
      <c r="L9" s="89">
        <f>IF('P07'!$E5&gt;"",'P07'!$E5&amp;" "&amp;CHAR(10)&amp;'P07'!$F5,'P07'!$E5)</f>
        <v>0</v>
      </c>
      <c r="M9" s="89">
        <f>IF('P08'!$E5&gt;"",'P08'!$E5&amp;" "&amp;CHAR(10)&amp;'P08'!$F5,'P08'!$E5)</f>
        <v>0</v>
      </c>
      <c r="N9" s="89">
        <f>IF('P09'!$E5&gt;"",'P09'!$E5&amp;" "&amp;CHAR(10)&amp;'P09'!$F5,'P09'!$E5)</f>
        <v>0</v>
      </c>
      <c r="O9" s="89">
        <f>IF('P10'!$E5&gt;"",'P10'!$E5&amp;" "&amp;CHAR(10)&amp;'P10'!$F5,'P10'!$E5)</f>
        <v>0</v>
      </c>
      <c r="P9" s="89">
        <f>IF('P11'!$E5&gt;"",'P11'!$E5&amp;" "&amp;CHAR(10)&amp;'P11'!$F5,'P11'!$E5)</f>
        <v>0</v>
      </c>
      <c r="Q9" s="89">
        <f>IF('P12'!$E5&gt;"",'P12'!$E5&amp;" "&amp;CHAR(10)&amp;'P12'!$F5,'P12'!$E5)</f>
        <v>0</v>
      </c>
      <c r="R9" s="89">
        <f>IF('P13'!$E5&gt;"",'P13'!$E5&amp;" "&amp;CHAR(10)&amp;'P13'!$F5,'P13'!$E5)</f>
        <v>0</v>
      </c>
      <c r="S9" s="89">
        <f>IF('P14'!$E5&gt;"",'P14'!$E5&amp;" "&amp;CHAR(10)&amp;'P14'!$F5,'P14'!$E5)</f>
        <v>0</v>
      </c>
      <c r="T9" s="89">
        <f>IF('P15'!$E5&gt;"",'P15'!$E5&amp;" "&amp;CHAR(10)&amp;'P15'!$F5,'P15'!$E5)</f>
        <v>0</v>
      </c>
      <c r="U9" s="89">
        <f>IF('P16'!$E5&gt;"",'P16'!$E5&amp;" "&amp;CHAR(10)&amp;'P16'!$F5,'P16'!$E5)</f>
        <v>0</v>
      </c>
      <c r="V9" s="89">
        <f>IF('P17'!$E5&gt;"",'P17'!$E5&amp;" "&amp;CHAR(10)&amp;'P17'!$F5,'P17'!$E5)</f>
        <v>0</v>
      </c>
      <c r="W9" s="89">
        <f>IF('P18'!$E5&gt;"",'P18'!$E5&amp;" "&amp;CHAR(10)&amp;'P18'!$F5,'P18'!$E5)</f>
        <v>0</v>
      </c>
      <c r="X9" s="89">
        <f>IF('P19'!$E5&gt;"",'P19'!$E5&amp;" "&amp;CHAR(10)&amp;'P19'!$F5,'P19'!$E5)</f>
        <v>0</v>
      </c>
      <c r="Y9" s="89">
        <f>IF('P20'!$E5&gt;"",'P20'!$E5&amp;" "&amp;CHAR(10)&amp;'P20'!$F5,'P20'!$E5)</f>
        <v>0</v>
      </c>
      <c r="Z9" s="89">
        <f>IF('P21'!$E5&gt;"",'P21'!$E5&amp;" "&amp;CHAR(10)&amp;'P21'!$F5,'P21'!$E5)</f>
        <v>0</v>
      </c>
      <c r="AA9" s="89">
        <f>IF('P22'!$E5&gt;"",'P22'!$E5&amp;" "&amp;CHAR(10)&amp;'P22'!$F5,'P22'!$E5)</f>
        <v>0</v>
      </c>
      <c r="AB9" s="89">
        <f>IF('P23'!$E5&gt;"",'P23'!$E5&amp;" "&amp;CHAR(10)&amp;'P23'!$F5,'P23'!$E5)</f>
        <v>0</v>
      </c>
      <c r="AC9" s="89">
        <f>IF('P24'!$E5&gt;"",'P24'!$E5&amp;" "&amp;CHAR(10)&amp;'P24'!$F5,'P24'!$E5)</f>
        <v>0</v>
      </c>
      <c r="AD9" s="89">
        <f>IF('P25'!$E5&gt;"",'P25'!$E5&amp;" "&amp;CHAR(10)&amp;'P25'!$F5,'P25'!$E5)</f>
        <v>0</v>
      </c>
      <c r="AE9" s="89">
        <f>IF('P26'!$E5&gt;"",'P26'!$E5&amp;" "&amp;CHAR(10)&amp;'P26'!$F5,'P26'!$E5)</f>
        <v>0</v>
      </c>
      <c r="AF9" s="89">
        <f>IF('P27'!$E5&gt;"",'P27'!$E5&amp;" "&amp;CHAR(10)&amp;'P27'!$F5,'P27'!$E5)</f>
        <v>0</v>
      </c>
      <c r="AG9" s="89">
        <f>IF('P28'!$E5&gt;"",'P28'!$E5&amp;" "&amp;CHAR(10)&amp;'P28'!$F5,'P28'!$E5)</f>
        <v>0</v>
      </c>
      <c r="AH9" s="89">
        <f>IF('P29'!$E5&gt;"",'P29'!$E5&amp;" "&amp;CHAR(10)&amp;'P29'!$F5,'P29'!$E5)</f>
        <v>0</v>
      </c>
      <c r="AI9" s="89">
        <f>IF('P30'!$E5&gt;"",'P30'!$E5&amp;" "&amp;CHAR(10)&amp;'P30'!$F5,'P30'!$E5)</f>
        <v>0</v>
      </c>
      <c r="AJ9" s="89">
        <f>IF('P31'!$E5&gt;"",'P31'!$E5&amp;" "&amp;CHAR(10)&amp;'P31'!$F5,'P31'!$E5)</f>
        <v>0</v>
      </c>
      <c r="AK9" s="89">
        <f>IF('P32'!$E5&gt;"",'P32'!$E5&amp;" "&amp;CHAR(10)&amp;'P32'!$F5,'P32'!$E5)</f>
        <v>0</v>
      </c>
      <c r="AL9" s="89">
        <f>IF('P33'!$E5&gt;"",'P33'!$E5&amp;" "&amp;CHAR(10)&amp;'P33'!$F5,'P33'!$E5)</f>
        <v>0</v>
      </c>
      <c r="AM9" s="89">
        <f>IF('P34'!$E5&gt;"",'P34'!$E5&amp;" "&amp;CHAR(10)&amp;'P34'!$F5,'P34'!$E5)</f>
        <v>0</v>
      </c>
      <c r="AN9" s="89">
        <f>IF('P35'!$E5&gt;"",'P35'!$E5&amp;" "&amp;CHAR(10)&amp;'P35'!$F5,'P35'!$E5)</f>
        <v>0</v>
      </c>
      <c r="AO9" s="89">
        <f>IF('P36'!$E5&gt;"",'P36'!$E5&amp;" "&amp;CHAR(10)&amp;'P36'!$F5,'P36'!$E5)</f>
        <v>0</v>
      </c>
      <c r="AP9" s="89">
        <f>IF('P37'!$E5&gt;"",'P37'!$E5&amp;" "&amp;CHAR(10)&amp;'P37'!$F5,'P37'!$E5)</f>
        <v>0</v>
      </c>
      <c r="AQ9" s="89">
        <f>IF('P38'!$E5&gt;"",'P38'!$E5&amp;" "&amp;CHAR(10)&amp;'P38'!$F5,'P38'!$E5)</f>
        <v>0</v>
      </c>
      <c r="AR9" s="89">
        <f>IF('P39'!$E5&gt;"",'P39'!$E5&amp;" "&amp;CHAR(10)&amp;'P39'!$F5,'P39'!$E5)</f>
        <v>0</v>
      </c>
      <c r="AS9" s="89">
        <f>IF('P40'!$E5&gt;"",'P40'!$E5&amp;" "&amp;CHAR(10)&amp;'P40'!$F5,'P40'!$E5)</f>
        <v>0</v>
      </c>
      <c r="AT9" s="55">
        <f t="shared" ref="AT9:AT72" si="5">COUNTIF(F9:AS9,"C*")</f>
        <v>0</v>
      </c>
      <c r="AU9" s="9">
        <f t="shared" ref="AU9:AU72" si="6">COUNTIF(F9:AS9,"NC*")</f>
        <v>0</v>
      </c>
      <c r="AV9" s="55">
        <f t="shared" ref="AV9:AV72" si="7">COUNTIF(F9:AS9,"NA*")</f>
        <v>0</v>
      </c>
      <c r="AW9" s="38" t="str">
        <f t="shared" ref="AW9:AW72" si="8">IF(AU9&gt;0,"NC",IF(AT9&gt;0,"C",IF($AV9&gt;0,"NA","NT")))</f>
        <v>NT</v>
      </c>
      <c r="AX9" s="39"/>
      <c r="AY9" s="10"/>
      <c r="AZ9" s="10"/>
      <c r="BA9" s="10" t="str">
        <f>IF('P01'!$G5&lt;&gt;"", 'P01'!$G5, "non")</f>
        <v>non</v>
      </c>
      <c r="BB9" s="10" t="str">
        <f>IF('P02'!$G5&lt;&gt;"", 'P02'!$G5, "non")</f>
        <v>non</v>
      </c>
      <c r="BC9" s="10" t="str">
        <f>IF('P03'!$G5&lt;&gt;"", 'P03'!$G5, "non")</f>
        <v>non</v>
      </c>
      <c r="BD9" s="10" t="str">
        <f>IF('P04'!$G5&lt;&gt;"", 'P04'!$G5, "non")</f>
        <v>non</v>
      </c>
      <c r="BE9" s="10" t="str">
        <f>IF('P05'!$G5&lt;&gt;"", 'P05'!$G5, "non")</f>
        <v>non</v>
      </c>
      <c r="BF9" s="10" t="str">
        <f>IF('P06'!$G5&lt;&gt;"", 'P06'!$G5, "non")</f>
        <v>non</v>
      </c>
      <c r="BG9" s="10" t="str">
        <f>IF('P07'!$G5&lt;&gt;"", 'P07'!$G5, "non")</f>
        <v>non</v>
      </c>
      <c r="BH9" s="10" t="str">
        <f>IF('P08'!$G5&lt;&gt;"", 'P08'!$G5, "non")</f>
        <v>non</v>
      </c>
      <c r="BI9" s="10" t="str">
        <f>IF('P09'!$G5&lt;&gt;"", 'P09'!$G5, "non")</f>
        <v>non</v>
      </c>
      <c r="BJ9" s="10" t="str">
        <f>IF('P10'!$G5&lt;&gt;"", 'P10'!$G5, "non")</f>
        <v>non</v>
      </c>
      <c r="BK9" s="10" t="str">
        <f>IF('P11'!$G5&lt;&gt;"", 'P11'!$G5, "non")</f>
        <v>non</v>
      </c>
      <c r="BL9" s="10" t="str">
        <f>IF('P12'!$G5&lt;&gt;"", 'P12'!$G5, "non")</f>
        <v>non</v>
      </c>
      <c r="BM9" s="10" t="str">
        <f>IF('P13'!$G5&lt;&gt;"", 'P13'!$G5, "non")</f>
        <v>non</v>
      </c>
      <c r="BN9" s="10" t="str">
        <f>IF('P14'!$G5&lt;&gt;"", 'P14'!$G5, "non")</f>
        <v>non</v>
      </c>
      <c r="BO9" s="10" t="str">
        <f>IF('P15'!$G5&lt;&gt;"", 'P15'!$G5, "non")</f>
        <v>non</v>
      </c>
      <c r="BP9" s="10" t="str">
        <f>IF('P16'!$G5&lt;&gt;"", 'P16'!$G5, "non")</f>
        <v>non</v>
      </c>
      <c r="BQ9" s="10" t="str">
        <f>IF('P17'!$G5&lt;&gt;"", 'P17'!$G5, "non")</f>
        <v>non</v>
      </c>
      <c r="BR9" s="10" t="str">
        <f>IF('P18'!$G5&lt;&gt;"", 'P18'!$G5, "non")</f>
        <v>non</v>
      </c>
      <c r="BS9" s="10" t="str">
        <f>IF('P19'!$G5&lt;&gt;"", 'P19'!$G5, "non")</f>
        <v>non</v>
      </c>
      <c r="BT9" s="11" t="str">
        <f>IF('P20'!$G5&lt;&gt;"", 'P20'!$G5, "non")</f>
        <v>non</v>
      </c>
      <c r="BU9" s="10" t="str">
        <f>IF('P21'!$G5&lt;&gt;"", 'P21'!$G5, "non")</f>
        <v>non</v>
      </c>
      <c r="BV9" s="11" t="str">
        <f>IF('P22'!$G5&lt;&gt;"", 'P22'!$G5, "non")</f>
        <v>non</v>
      </c>
      <c r="BW9" s="10" t="str">
        <f>IF('P23'!$G5&lt;&gt;"", 'P23'!$G5, "non")</f>
        <v>non</v>
      </c>
      <c r="BX9" s="11" t="str">
        <f>IF('P24'!$G5&lt;&gt;"", 'P24'!$G5, "non")</f>
        <v>non</v>
      </c>
      <c r="BY9" s="10" t="str">
        <f>IF('P25'!$G5&lt;&gt;"", 'P25'!$G5, "non")</f>
        <v>non</v>
      </c>
      <c r="BZ9" s="11" t="str">
        <f>IF('P26'!$G5&lt;&gt;"", 'P26'!$G5, "non")</f>
        <v>non</v>
      </c>
      <c r="CA9" s="10" t="str">
        <f>IF('P27'!$G5&lt;&gt;"", 'P27'!$G5, "non")</f>
        <v>non</v>
      </c>
      <c r="CB9" s="11" t="str">
        <f>IF('P28'!$G5&lt;&gt;"", 'P28'!$G5, "non")</f>
        <v>non</v>
      </c>
      <c r="CC9" s="10" t="str">
        <f>IF('P29'!$G5&lt;&gt;"", 'P29'!$G5, "non")</f>
        <v>non</v>
      </c>
      <c r="CD9" s="11" t="str">
        <f>IF('P30'!$G5&lt;&gt;"", 'P30'!$G5, "non")</f>
        <v>non</v>
      </c>
      <c r="CE9" s="10" t="str">
        <f>IF('P31'!$G5&lt;&gt;"", 'P31'!$G5, "non")</f>
        <v>non</v>
      </c>
      <c r="CF9" s="11" t="str">
        <f>IF('P32'!$G5&lt;&gt;"", 'P32'!$G5, "non")</f>
        <v>non</v>
      </c>
      <c r="CG9" s="10" t="str">
        <f>IF('P33'!$G5&lt;&gt;"", 'P33'!$G5, "non")</f>
        <v>non</v>
      </c>
      <c r="CH9" s="10" t="str">
        <f>IF('P34'!$G5&lt;&gt;"", 'P34'!$G5, "non")</f>
        <v>non</v>
      </c>
      <c r="CI9" s="11" t="str">
        <f>IF('P35'!$G5&lt;&gt;"", 'P35'!$G5, "non")</f>
        <v>non</v>
      </c>
      <c r="CJ9" s="10" t="str">
        <f>IF('P36'!$G5&lt;&gt;"", 'P36'!$G5, "non")</f>
        <v>non</v>
      </c>
      <c r="CK9" s="11" t="str">
        <f>IF('P37'!$G5&lt;&gt;"", 'P37'!$G5, "non")</f>
        <v>non</v>
      </c>
      <c r="CL9" s="10" t="str">
        <f>IF('P38'!$G5&lt;&gt;"", 'P38'!$G5, "non")</f>
        <v>non</v>
      </c>
      <c r="CM9" s="11" t="str">
        <f>IF('P39'!$G5&lt;&gt;"", 'P39'!$G5, "non")</f>
        <v>non</v>
      </c>
      <c r="CN9" s="10" t="str">
        <f>IF('P40'!$G5&lt;&gt;"", 'P40'!$G5, "non")</f>
        <v>non</v>
      </c>
    </row>
    <row r="10" spans="1:93" s="6" customFormat="1" ht="39.75" customHeight="1">
      <c r="A10" s="122" t="str">
        <f>'Critères et tests'!B5</f>
        <v>IMAGES</v>
      </c>
      <c r="B10" s="124" t="str">
        <f>'Critères et tests'!$A5</f>
        <v>1.3</v>
      </c>
      <c r="C10" s="192" t="str">
        <f>VLOOKUP(B10,'Critères et tests'!$1:$1048576,5,FALSE)</f>
        <v>Pour chaque image porteuse d'information ayant une alternative textuelle, cette alternative est-elle pertinente (hors cas particuliers) ?</v>
      </c>
      <c r="D10" s="124" t="str">
        <f>'Critères et tests'!$C5</f>
        <v>A</v>
      </c>
      <c r="E10" s="156" t="s">
        <v>460</v>
      </c>
      <c r="F10" s="88">
        <f>IF('P01'!$E6&gt;"",'P01'!$E6&amp;" "&amp;CHAR(10)&amp;'P01'!$F6,'P01'!$E6)</f>
        <v>0</v>
      </c>
      <c r="G10" s="89">
        <f>IF('P02'!$E6&gt;"",'P02'!$E6&amp;" "&amp;CHAR(10)&amp;'P02'!$F6,'P02'!$E6)</f>
        <v>0</v>
      </c>
      <c r="H10" s="89">
        <f>IF('P03'!$E6&gt;"",'P03'!$E6&amp;" "&amp;CHAR(10)&amp;'P03'!$F6,'P03'!$E6)</f>
        <v>0</v>
      </c>
      <c r="I10" s="89">
        <f>IF('P04'!$E6&gt;"",'P04'!$E6&amp;" "&amp;CHAR(10)&amp;'P04'!$F6,'P04'!$E6)</f>
        <v>0</v>
      </c>
      <c r="J10" s="89">
        <f>IF('P05'!$E6&gt;"",'P05'!$E6&amp;" "&amp;CHAR(10)&amp;'P05'!$F6,'P05'!$E6)</f>
        <v>0</v>
      </c>
      <c r="K10" s="89">
        <f>IF('P06'!$E6&gt;"",'P06'!$E6&amp;" "&amp;CHAR(10)&amp;'P06'!$F6,'P06'!$E6)</f>
        <v>0</v>
      </c>
      <c r="L10" s="89">
        <f>IF('P07'!$E6&gt;"",'P07'!$E6&amp;" "&amp;CHAR(10)&amp;'P07'!$F6,'P07'!$E6)</f>
        <v>0</v>
      </c>
      <c r="M10" s="89">
        <f>IF('P08'!$E6&gt;"",'P08'!$E6&amp;" "&amp;CHAR(10)&amp;'P08'!$F6,'P08'!$E6)</f>
        <v>0</v>
      </c>
      <c r="N10" s="89">
        <f>IF('P09'!$E6&gt;"",'P09'!$E6&amp;" "&amp;CHAR(10)&amp;'P09'!$F6,'P09'!$E6)</f>
        <v>0</v>
      </c>
      <c r="O10" s="89">
        <f>IF('P10'!$E6&gt;"",'P10'!$E6&amp;" "&amp;CHAR(10)&amp;'P10'!$F6,'P10'!$E6)</f>
        <v>0</v>
      </c>
      <c r="P10" s="89">
        <f>IF('P11'!$E6&gt;"",'P11'!$E6&amp;" "&amp;CHAR(10)&amp;'P11'!$F6,'P11'!$E6)</f>
        <v>0</v>
      </c>
      <c r="Q10" s="89">
        <f>IF('P12'!$E6&gt;"",'P12'!$E6&amp;" "&amp;CHAR(10)&amp;'P12'!$F6,'P12'!$E6)</f>
        <v>0</v>
      </c>
      <c r="R10" s="89">
        <f>IF('P13'!$E6&gt;"",'P13'!$E6&amp;" "&amp;CHAR(10)&amp;'P13'!$F6,'P13'!$E6)</f>
        <v>0</v>
      </c>
      <c r="S10" s="89">
        <f>IF('P14'!$E6&gt;"",'P14'!$E6&amp;" "&amp;CHAR(10)&amp;'P14'!$F6,'P14'!$E6)</f>
        <v>0</v>
      </c>
      <c r="T10" s="89">
        <f>IF('P15'!$E6&gt;"",'P15'!$E6&amp;" "&amp;CHAR(10)&amp;'P15'!$F6,'P15'!$E6)</f>
        <v>0</v>
      </c>
      <c r="U10" s="89">
        <f>IF('P16'!$E6&gt;"",'P16'!$E6&amp;" "&amp;CHAR(10)&amp;'P16'!$F6,'P16'!$E6)</f>
        <v>0</v>
      </c>
      <c r="V10" s="89">
        <f>IF('P17'!$E6&gt;"",'P17'!$E6&amp;" "&amp;CHAR(10)&amp;'P17'!$F6,'P17'!$E6)</f>
        <v>0</v>
      </c>
      <c r="W10" s="89">
        <f>IF('P18'!$E6&gt;"",'P18'!$E6&amp;" "&amp;CHAR(10)&amp;'P18'!$F6,'P18'!$E6)</f>
        <v>0</v>
      </c>
      <c r="X10" s="89">
        <f>IF('P19'!$E6&gt;"",'P19'!$E6&amp;" "&amp;CHAR(10)&amp;'P19'!$F6,'P19'!$E6)</f>
        <v>0</v>
      </c>
      <c r="Y10" s="89">
        <f>IF('P20'!$E6&gt;"",'P20'!$E6&amp;" "&amp;CHAR(10)&amp;'P20'!$F6,'P20'!$E6)</f>
        <v>0</v>
      </c>
      <c r="Z10" s="89">
        <f>IF('P21'!$E6&gt;"",'P21'!$E6&amp;" "&amp;CHAR(10)&amp;'P21'!$F6,'P21'!$E6)</f>
        <v>0</v>
      </c>
      <c r="AA10" s="89">
        <f>IF('P22'!$E6&gt;"",'P22'!$E6&amp;" "&amp;CHAR(10)&amp;'P22'!$F6,'P22'!$E6)</f>
        <v>0</v>
      </c>
      <c r="AB10" s="89">
        <f>IF('P23'!$E6&gt;"",'P23'!$E6&amp;" "&amp;CHAR(10)&amp;'P23'!$F6,'P23'!$E6)</f>
        <v>0</v>
      </c>
      <c r="AC10" s="89">
        <f>IF('P24'!$E6&gt;"",'P24'!$E6&amp;" "&amp;CHAR(10)&amp;'P24'!$F6,'P24'!$E6)</f>
        <v>0</v>
      </c>
      <c r="AD10" s="89">
        <f>IF('P25'!$E6&gt;"",'P25'!$E6&amp;" "&amp;CHAR(10)&amp;'P25'!$F6,'P25'!$E6)</f>
        <v>0</v>
      </c>
      <c r="AE10" s="89">
        <f>IF('P26'!$E6&gt;"",'P26'!$E6&amp;" "&amp;CHAR(10)&amp;'P26'!$F6,'P26'!$E6)</f>
        <v>0</v>
      </c>
      <c r="AF10" s="89">
        <f>IF('P27'!$E6&gt;"",'P27'!$E6&amp;" "&amp;CHAR(10)&amp;'P27'!$F6,'P27'!$E6)</f>
        <v>0</v>
      </c>
      <c r="AG10" s="89">
        <f>IF('P28'!$E6&gt;"",'P28'!$E6&amp;" "&amp;CHAR(10)&amp;'P28'!$F6,'P28'!$E6)</f>
        <v>0</v>
      </c>
      <c r="AH10" s="89">
        <f>IF('P29'!$E6&gt;"",'P29'!$E6&amp;" "&amp;CHAR(10)&amp;'P29'!$F6,'P29'!$E6)</f>
        <v>0</v>
      </c>
      <c r="AI10" s="89">
        <f>IF('P30'!$E6&gt;"",'P30'!$E6&amp;" "&amp;CHAR(10)&amp;'P30'!$F6,'P30'!$E6)</f>
        <v>0</v>
      </c>
      <c r="AJ10" s="89">
        <f>IF('P31'!$E6&gt;"",'P31'!$E6&amp;" "&amp;CHAR(10)&amp;'P31'!$F6,'P31'!$E6)</f>
        <v>0</v>
      </c>
      <c r="AK10" s="89">
        <f>IF('P32'!$E6&gt;"",'P32'!$E6&amp;" "&amp;CHAR(10)&amp;'P32'!$F6,'P32'!$E6)</f>
        <v>0</v>
      </c>
      <c r="AL10" s="89">
        <f>IF('P33'!$E6&gt;"",'P33'!$E6&amp;" "&amp;CHAR(10)&amp;'P33'!$F6,'P33'!$E6)</f>
        <v>0</v>
      </c>
      <c r="AM10" s="89">
        <f>IF('P34'!$E6&gt;"",'P34'!$E6&amp;" "&amp;CHAR(10)&amp;'P34'!$F6,'P34'!$E6)</f>
        <v>0</v>
      </c>
      <c r="AN10" s="89">
        <f>IF('P35'!$E6&gt;"",'P35'!$E6&amp;" "&amp;CHAR(10)&amp;'P35'!$F6,'P35'!$E6)</f>
        <v>0</v>
      </c>
      <c r="AO10" s="89">
        <f>IF('P36'!$E6&gt;"",'P36'!$E6&amp;" "&amp;CHAR(10)&amp;'P36'!$F6,'P36'!$E6)</f>
        <v>0</v>
      </c>
      <c r="AP10" s="89">
        <f>IF('P37'!$E6&gt;"",'P37'!$E6&amp;" "&amp;CHAR(10)&amp;'P37'!$F6,'P37'!$E6)</f>
        <v>0</v>
      </c>
      <c r="AQ10" s="89">
        <f>IF('P38'!$E6&gt;"",'P38'!$E6&amp;" "&amp;CHAR(10)&amp;'P38'!$F6,'P38'!$E6)</f>
        <v>0</v>
      </c>
      <c r="AR10" s="89">
        <f>IF('P39'!$E6&gt;"",'P39'!$E6&amp;" "&amp;CHAR(10)&amp;'P39'!$F6,'P39'!$E6)</f>
        <v>0</v>
      </c>
      <c r="AS10" s="89">
        <f>IF('P40'!$E6&gt;"",'P40'!$E6&amp;" "&amp;CHAR(10)&amp;'P40'!$F6,'P40'!$E6)</f>
        <v>0</v>
      </c>
      <c r="AT10" s="55">
        <f t="shared" si="5"/>
        <v>0</v>
      </c>
      <c r="AU10" s="9">
        <f t="shared" si="6"/>
        <v>0</v>
      </c>
      <c r="AV10" s="55">
        <f t="shared" si="7"/>
        <v>0</v>
      </c>
      <c r="AW10" s="38" t="str">
        <f t="shared" si="8"/>
        <v>NT</v>
      </c>
      <c r="AX10" s="39"/>
      <c r="AY10" s="10"/>
      <c r="AZ10" s="10"/>
      <c r="BA10" s="10" t="str">
        <f>IF('P01'!$G6&lt;&gt;"", 'P01'!$G6, "non")</f>
        <v>non</v>
      </c>
      <c r="BB10" s="10" t="str">
        <f>IF('P02'!$G6&lt;&gt;"", 'P02'!$G6, "non")</f>
        <v>non</v>
      </c>
      <c r="BC10" s="10" t="str">
        <f>IF('P03'!$G6&lt;&gt;"", 'P03'!$G6, "non")</f>
        <v>non</v>
      </c>
      <c r="BD10" s="10" t="str">
        <f>IF('P04'!$G6&lt;&gt;"", 'P04'!$G6, "non")</f>
        <v>non</v>
      </c>
      <c r="BE10" s="10" t="str">
        <f>IF('P05'!$G6&lt;&gt;"", 'P05'!$G6, "non")</f>
        <v>non</v>
      </c>
      <c r="BF10" s="10" t="str">
        <f>IF('P06'!$G6&lt;&gt;"", 'P06'!$G6, "non")</f>
        <v>non</v>
      </c>
      <c r="BG10" s="10" t="str">
        <f>IF('P07'!$G6&lt;&gt;"", 'P07'!$G6, "non")</f>
        <v>non</v>
      </c>
      <c r="BH10" s="10" t="str">
        <f>IF('P08'!$G6&lt;&gt;"", 'P08'!$G6, "non")</f>
        <v>non</v>
      </c>
      <c r="BI10" s="10" t="str">
        <f>IF('P09'!$G6&lt;&gt;"", 'P09'!$G6, "non")</f>
        <v>non</v>
      </c>
      <c r="BJ10" s="10" t="str">
        <f>IF('P10'!$G6&lt;&gt;"", 'P10'!$G6, "non")</f>
        <v>non</v>
      </c>
      <c r="BK10" s="10" t="str">
        <f>IF('P11'!$G6&lt;&gt;"", 'P11'!$G6, "non")</f>
        <v>non</v>
      </c>
      <c r="BL10" s="10" t="str">
        <f>IF('P12'!$G6&lt;&gt;"", 'P12'!$G6, "non")</f>
        <v>non</v>
      </c>
      <c r="BM10" s="10" t="str">
        <f>IF('P13'!$G6&lt;&gt;"", 'P13'!$G6, "non")</f>
        <v>non</v>
      </c>
      <c r="BN10" s="10" t="str">
        <f>IF('P14'!$G6&lt;&gt;"", 'P14'!$G6, "non")</f>
        <v>non</v>
      </c>
      <c r="BO10" s="10" t="str">
        <f>IF('P15'!$G6&lt;&gt;"", 'P15'!$G6, "non")</f>
        <v>non</v>
      </c>
      <c r="BP10" s="10" t="str">
        <f>IF('P16'!$G6&lt;&gt;"", 'P16'!$G6, "non")</f>
        <v>non</v>
      </c>
      <c r="BQ10" s="10" t="str">
        <f>IF('P17'!$G6&lt;&gt;"", 'P17'!$G6, "non")</f>
        <v>non</v>
      </c>
      <c r="BR10" s="10" t="str">
        <f>IF('P18'!$G6&lt;&gt;"", 'P18'!$G6, "non")</f>
        <v>non</v>
      </c>
      <c r="BS10" s="10" t="str">
        <f>IF('P19'!$G6&lt;&gt;"", 'P19'!$G6, "non")</f>
        <v>non</v>
      </c>
      <c r="BT10" s="11" t="str">
        <f>IF('P20'!$G6&lt;&gt;"", 'P20'!$G6, "non")</f>
        <v>non</v>
      </c>
      <c r="BU10" s="10" t="str">
        <f>IF('P21'!$G6&lt;&gt;"", 'P21'!$G6, "non")</f>
        <v>non</v>
      </c>
      <c r="BV10" s="11" t="str">
        <f>IF('P22'!$G6&lt;&gt;"", 'P22'!$G6, "non")</f>
        <v>non</v>
      </c>
      <c r="BW10" s="10" t="str">
        <f>IF('P23'!$G6&lt;&gt;"", 'P23'!$G6, "non")</f>
        <v>non</v>
      </c>
      <c r="BX10" s="11" t="str">
        <f>IF('P24'!$G6&lt;&gt;"", 'P24'!$G6, "non")</f>
        <v>non</v>
      </c>
      <c r="BY10" s="10" t="str">
        <f>IF('P25'!$G6&lt;&gt;"", 'P25'!$G6, "non")</f>
        <v>non</v>
      </c>
      <c r="BZ10" s="11" t="str">
        <f>IF('P26'!$G6&lt;&gt;"", 'P26'!$G6, "non")</f>
        <v>non</v>
      </c>
      <c r="CA10" s="10" t="str">
        <f>IF('P27'!$G6&lt;&gt;"", 'P27'!$G6, "non")</f>
        <v>non</v>
      </c>
      <c r="CB10" s="11" t="str">
        <f>IF('P28'!$G6&lt;&gt;"", 'P28'!$G6, "non")</f>
        <v>non</v>
      </c>
      <c r="CC10" s="10" t="str">
        <f>IF('P29'!$G6&lt;&gt;"", 'P29'!$G6, "non")</f>
        <v>non</v>
      </c>
      <c r="CD10" s="11" t="str">
        <f>IF('P30'!$G6&lt;&gt;"", 'P30'!$G6, "non")</f>
        <v>non</v>
      </c>
      <c r="CE10" s="10" t="str">
        <f>IF('P31'!$G6&lt;&gt;"", 'P31'!$G6, "non")</f>
        <v>non</v>
      </c>
      <c r="CF10" s="11" t="str">
        <f>IF('P32'!$G6&lt;&gt;"", 'P32'!$G6, "non")</f>
        <v>non</v>
      </c>
      <c r="CG10" s="10" t="str">
        <f>IF('P33'!$G6&lt;&gt;"", 'P33'!$G6, "non")</f>
        <v>non</v>
      </c>
      <c r="CH10" s="10" t="str">
        <f>IF('P34'!$G6&lt;&gt;"", 'P34'!$G6, "non")</f>
        <v>non</v>
      </c>
      <c r="CI10" s="11" t="str">
        <f>IF('P35'!$G6&lt;&gt;"", 'P35'!$G6, "non")</f>
        <v>non</v>
      </c>
      <c r="CJ10" s="10" t="str">
        <f>IF('P36'!$G6&lt;&gt;"", 'P36'!$G6, "non")</f>
        <v>non</v>
      </c>
      <c r="CK10" s="11" t="str">
        <f>IF('P37'!$G6&lt;&gt;"", 'P37'!$G6, "non")</f>
        <v>non</v>
      </c>
      <c r="CL10" s="10" t="str">
        <f>IF('P38'!$G6&lt;&gt;"", 'P38'!$G6, "non")</f>
        <v>non</v>
      </c>
      <c r="CM10" s="11" t="str">
        <f>IF('P39'!$G6&lt;&gt;"", 'P39'!$G6, "non")</f>
        <v>non</v>
      </c>
      <c r="CN10" s="10" t="str">
        <f>IF('P40'!$G6&lt;&gt;"", 'P40'!$G6, "non")</f>
        <v>non</v>
      </c>
    </row>
    <row r="11" spans="1:93" s="6" customFormat="1" ht="39.75" customHeight="1">
      <c r="A11" s="122" t="str">
        <f>'Critères et tests'!B6</f>
        <v>IMAGES</v>
      </c>
      <c r="B11" s="124" t="str">
        <f>'Critères et tests'!$A6</f>
        <v>1.4</v>
      </c>
      <c r="C11" s="192" t="str">
        <f>VLOOKUP(B11,'Critères et tests'!$1:$1048576,5,FALSE)</f>
        <v>Pour chaque image utilisée comme CAPTCHA ou comme image-test, ayant une alternative textuelle, cette alternative permet-elle d’identifier la nature et la fonction de l’image ?</v>
      </c>
      <c r="D11" s="124" t="str">
        <f>'Critères et tests'!$C6</f>
        <v>A</v>
      </c>
      <c r="E11" s="156" t="s">
        <v>460</v>
      </c>
      <c r="F11" s="88">
        <f>IF('P01'!$E7&gt;"",'P01'!$E7&amp;" "&amp;CHAR(10)&amp;'P01'!$F7,'P01'!$E7)</f>
        <v>0</v>
      </c>
      <c r="G11" s="89">
        <f>IF('P02'!$E7&gt;"",'P02'!$E7&amp;" "&amp;CHAR(10)&amp;'P02'!$F7,'P02'!$E7)</f>
        <v>0</v>
      </c>
      <c r="H11" s="89">
        <f>IF('P03'!$E7&gt;"",'P03'!$E7&amp;" "&amp;CHAR(10)&amp;'P03'!$F7,'P03'!$E7)</f>
        <v>0</v>
      </c>
      <c r="I11" s="89">
        <f>IF('P04'!$E7&gt;"",'P04'!$E7&amp;" "&amp;CHAR(10)&amp;'P04'!$F7,'P04'!$E7)</f>
        <v>0</v>
      </c>
      <c r="J11" s="89">
        <f>IF('P05'!$E7&gt;"",'P05'!$E7&amp;" "&amp;CHAR(10)&amp;'P05'!$F7,'P05'!$E7)</f>
        <v>0</v>
      </c>
      <c r="K11" s="89">
        <f>IF('P06'!$E7&gt;"",'P06'!$E7&amp;" "&amp;CHAR(10)&amp;'P06'!$F7,'P06'!$E7)</f>
        <v>0</v>
      </c>
      <c r="L11" s="89">
        <f>IF('P07'!$E7&gt;"",'P07'!$E7&amp;" "&amp;CHAR(10)&amp;'P07'!$F7,'P07'!$E7)</f>
        <v>0</v>
      </c>
      <c r="M11" s="89">
        <f>IF('P08'!$E7&gt;"",'P08'!$E7&amp;" "&amp;CHAR(10)&amp;'P08'!$F7,'P08'!$E7)</f>
        <v>0</v>
      </c>
      <c r="N11" s="89">
        <f>IF('P09'!$E7&gt;"",'P09'!$E7&amp;" "&amp;CHAR(10)&amp;'P09'!$F7,'P09'!$E7)</f>
        <v>0</v>
      </c>
      <c r="O11" s="89">
        <f>IF('P10'!$E7&gt;"",'P10'!$E7&amp;" "&amp;CHAR(10)&amp;'P10'!$F7,'P10'!$E7)</f>
        <v>0</v>
      </c>
      <c r="P11" s="89">
        <f>IF('P11'!$E7&gt;"",'P11'!$E7&amp;" "&amp;CHAR(10)&amp;'P11'!$F7,'P11'!$E7)</f>
        <v>0</v>
      </c>
      <c r="Q11" s="89">
        <f>IF('P12'!$E7&gt;"",'P12'!$E7&amp;" "&amp;CHAR(10)&amp;'P12'!$F7,'P12'!$E7)</f>
        <v>0</v>
      </c>
      <c r="R11" s="89">
        <f>IF('P13'!$E7&gt;"",'P13'!$E7&amp;" "&amp;CHAR(10)&amp;'P13'!$F7,'P13'!$E7)</f>
        <v>0</v>
      </c>
      <c r="S11" s="89">
        <f>IF('P14'!$E7&gt;"",'P14'!$E7&amp;" "&amp;CHAR(10)&amp;'P14'!$F7,'P14'!$E7)</f>
        <v>0</v>
      </c>
      <c r="T11" s="89">
        <f>IF('P15'!$E7&gt;"",'P15'!$E7&amp;" "&amp;CHAR(10)&amp;'P15'!$F7,'P15'!$E7)</f>
        <v>0</v>
      </c>
      <c r="U11" s="89">
        <f>IF('P16'!$E7&gt;"",'P16'!$E7&amp;" "&amp;CHAR(10)&amp;'P16'!$F7,'P16'!$E7)</f>
        <v>0</v>
      </c>
      <c r="V11" s="89">
        <f>IF('P17'!$E7&gt;"",'P17'!$E7&amp;" "&amp;CHAR(10)&amp;'P17'!$F7,'P17'!$E7)</f>
        <v>0</v>
      </c>
      <c r="W11" s="89">
        <f>IF('P18'!$E7&gt;"",'P18'!$E7&amp;" "&amp;CHAR(10)&amp;'P18'!$F7,'P18'!$E7)</f>
        <v>0</v>
      </c>
      <c r="X11" s="89">
        <f>IF('P19'!$E7&gt;"",'P19'!$E7&amp;" "&amp;CHAR(10)&amp;'P19'!$F7,'P19'!$E7)</f>
        <v>0</v>
      </c>
      <c r="Y11" s="89">
        <f>IF('P20'!$E7&gt;"",'P20'!$E7&amp;" "&amp;CHAR(10)&amp;'P20'!$F7,'P20'!$E7)</f>
        <v>0</v>
      </c>
      <c r="Z11" s="89">
        <f>IF('P21'!$E7&gt;"",'P21'!$E7&amp;" "&amp;CHAR(10)&amp;'P21'!$F7,'P21'!$E7)</f>
        <v>0</v>
      </c>
      <c r="AA11" s="89">
        <f>IF('P22'!$E7&gt;"",'P22'!$E7&amp;" "&amp;CHAR(10)&amp;'P22'!$F7,'P22'!$E7)</f>
        <v>0</v>
      </c>
      <c r="AB11" s="89">
        <f>IF('P23'!$E7&gt;"",'P23'!$E7&amp;" "&amp;CHAR(10)&amp;'P23'!$F7,'P23'!$E7)</f>
        <v>0</v>
      </c>
      <c r="AC11" s="89">
        <f>IF('P24'!$E7&gt;"",'P24'!$E7&amp;" "&amp;CHAR(10)&amp;'P24'!$F7,'P24'!$E7)</f>
        <v>0</v>
      </c>
      <c r="AD11" s="89">
        <f>IF('P25'!$E7&gt;"",'P25'!$E7&amp;" "&amp;CHAR(10)&amp;'P25'!$F7,'P25'!$E7)</f>
        <v>0</v>
      </c>
      <c r="AE11" s="89">
        <f>IF('P26'!$E7&gt;"",'P26'!$E7&amp;" "&amp;CHAR(10)&amp;'P26'!$F7,'P26'!$E7)</f>
        <v>0</v>
      </c>
      <c r="AF11" s="89">
        <f>IF('P27'!$E7&gt;"",'P27'!$E7&amp;" "&amp;CHAR(10)&amp;'P27'!$F7,'P27'!$E7)</f>
        <v>0</v>
      </c>
      <c r="AG11" s="89">
        <f>IF('P28'!$E7&gt;"",'P28'!$E7&amp;" "&amp;CHAR(10)&amp;'P28'!$F7,'P28'!$E7)</f>
        <v>0</v>
      </c>
      <c r="AH11" s="89">
        <f>IF('P29'!$E7&gt;"",'P29'!$E7&amp;" "&amp;CHAR(10)&amp;'P29'!$F7,'P29'!$E7)</f>
        <v>0</v>
      </c>
      <c r="AI11" s="89">
        <f>IF('P30'!$E7&gt;"",'P30'!$E7&amp;" "&amp;CHAR(10)&amp;'P30'!$F7,'P30'!$E7)</f>
        <v>0</v>
      </c>
      <c r="AJ11" s="89">
        <f>IF('P31'!$E7&gt;"",'P31'!$E7&amp;" "&amp;CHAR(10)&amp;'P31'!$F7,'P31'!$E7)</f>
        <v>0</v>
      </c>
      <c r="AK11" s="89">
        <f>IF('P32'!$E7&gt;"",'P32'!$E7&amp;" "&amp;CHAR(10)&amp;'P32'!$F7,'P32'!$E7)</f>
        <v>0</v>
      </c>
      <c r="AL11" s="89">
        <f>IF('P33'!$E7&gt;"",'P33'!$E7&amp;" "&amp;CHAR(10)&amp;'P33'!$F7,'P33'!$E7)</f>
        <v>0</v>
      </c>
      <c r="AM11" s="89">
        <f>IF('P34'!$E7&gt;"",'P34'!$E7&amp;" "&amp;CHAR(10)&amp;'P34'!$F7,'P34'!$E7)</f>
        <v>0</v>
      </c>
      <c r="AN11" s="89">
        <f>IF('P35'!$E7&gt;"",'P35'!$E7&amp;" "&amp;CHAR(10)&amp;'P35'!$F7,'P35'!$E7)</f>
        <v>0</v>
      </c>
      <c r="AO11" s="89">
        <f>IF('P36'!$E7&gt;"",'P36'!$E7&amp;" "&amp;CHAR(10)&amp;'P36'!$F7,'P36'!$E7)</f>
        <v>0</v>
      </c>
      <c r="AP11" s="89">
        <f>IF('P37'!$E7&gt;"",'P37'!$E7&amp;" "&amp;CHAR(10)&amp;'P37'!$F7,'P37'!$E7)</f>
        <v>0</v>
      </c>
      <c r="AQ11" s="89">
        <f>IF('P38'!$E7&gt;"",'P38'!$E7&amp;" "&amp;CHAR(10)&amp;'P38'!$F7,'P38'!$E7)</f>
        <v>0</v>
      </c>
      <c r="AR11" s="89">
        <f>IF('P39'!$E7&gt;"",'P39'!$E7&amp;" "&amp;CHAR(10)&amp;'P39'!$F7,'P39'!$E7)</f>
        <v>0</v>
      </c>
      <c r="AS11" s="89">
        <f>IF('P40'!$E7&gt;"",'P40'!$E7&amp;" "&amp;CHAR(10)&amp;'P40'!$F7,'P40'!$E7)</f>
        <v>0</v>
      </c>
      <c r="AT11" s="55">
        <f t="shared" si="5"/>
        <v>0</v>
      </c>
      <c r="AU11" s="9">
        <f t="shared" si="6"/>
        <v>0</v>
      </c>
      <c r="AV11" s="55">
        <f t="shared" si="7"/>
        <v>0</v>
      </c>
      <c r="AW11" s="38" t="str">
        <f t="shared" si="8"/>
        <v>NT</v>
      </c>
      <c r="AX11" s="39"/>
      <c r="AY11" s="10"/>
      <c r="AZ11" s="10"/>
      <c r="BA11" s="10" t="str">
        <f>IF('P01'!$G7&lt;&gt;"", 'P01'!$G7, "non")</f>
        <v>non</v>
      </c>
      <c r="BB11" s="10" t="str">
        <f>IF('P02'!$G7&lt;&gt;"", 'P02'!$G7, "non")</f>
        <v>non</v>
      </c>
      <c r="BC11" s="10" t="str">
        <f>IF('P03'!$G7&lt;&gt;"", 'P03'!$G7, "non")</f>
        <v>non</v>
      </c>
      <c r="BD11" s="10" t="str">
        <f>IF('P04'!$G7&lt;&gt;"", 'P04'!$G7, "non")</f>
        <v>non</v>
      </c>
      <c r="BE11" s="10" t="str">
        <f>IF('P05'!$G7&lt;&gt;"", 'P05'!$G7, "non")</f>
        <v>non</v>
      </c>
      <c r="BF11" s="10" t="str">
        <f>IF('P06'!$G7&lt;&gt;"", 'P06'!$G7, "non")</f>
        <v>non</v>
      </c>
      <c r="BG11" s="10" t="str">
        <f>IF('P07'!$G7&lt;&gt;"", 'P07'!$G7, "non")</f>
        <v>non</v>
      </c>
      <c r="BH11" s="10" t="str">
        <f>IF('P08'!$G7&lt;&gt;"", 'P08'!$G7, "non")</f>
        <v>non</v>
      </c>
      <c r="BI11" s="10" t="str">
        <f>IF('P09'!$G7&lt;&gt;"", 'P09'!$G7, "non")</f>
        <v>non</v>
      </c>
      <c r="BJ11" s="10" t="str">
        <f>IF('P10'!$G7&lt;&gt;"", 'P10'!$G7, "non")</f>
        <v>non</v>
      </c>
      <c r="BK11" s="10" t="str">
        <f>IF('P11'!$G7&lt;&gt;"", 'P11'!$G7, "non")</f>
        <v>non</v>
      </c>
      <c r="BL11" s="10" t="str">
        <f>IF('P12'!$G7&lt;&gt;"", 'P12'!$G7, "non")</f>
        <v>non</v>
      </c>
      <c r="BM11" s="10" t="str">
        <f>IF('P13'!$G7&lt;&gt;"", 'P13'!$G7, "non")</f>
        <v>non</v>
      </c>
      <c r="BN11" s="10" t="str">
        <f>IF('P14'!$G7&lt;&gt;"", 'P14'!$G7, "non")</f>
        <v>non</v>
      </c>
      <c r="BO11" s="10" t="str">
        <f>IF('P15'!$G7&lt;&gt;"", 'P15'!$G7, "non")</f>
        <v>non</v>
      </c>
      <c r="BP11" s="10" t="str">
        <f>IF('P16'!$G7&lt;&gt;"", 'P16'!$G7, "non")</f>
        <v>non</v>
      </c>
      <c r="BQ11" s="10" t="str">
        <f>IF('P17'!$G7&lt;&gt;"", 'P17'!$G7, "non")</f>
        <v>non</v>
      </c>
      <c r="BR11" s="10" t="str">
        <f>IF('P18'!$G7&lt;&gt;"", 'P18'!$G7, "non")</f>
        <v>non</v>
      </c>
      <c r="BS11" s="10" t="str">
        <f>IF('P19'!$G7&lt;&gt;"", 'P19'!$G7, "non")</f>
        <v>non</v>
      </c>
      <c r="BT11" s="11" t="str">
        <f>IF('P20'!$G7&lt;&gt;"", 'P20'!$G7, "non")</f>
        <v>non</v>
      </c>
      <c r="BU11" s="10" t="str">
        <f>IF('P21'!$G7&lt;&gt;"", 'P21'!$G7, "non")</f>
        <v>non</v>
      </c>
      <c r="BV11" s="11" t="str">
        <f>IF('P22'!$G7&lt;&gt;"", 'P22'!$G7, "non")</f>
        <v>non</v>
      </c>
      <c r="BW11" s="10" t="str">
        <f>IF('P23'!$G7&lt;&gt;"", 'P23'!$G7, "non")</f>
        <v>non</v>
      </c>
      <c r="BX11" s="11" t="str">
        <f>IF('P24'!$G7&lt;&gt;"", 'P24'!$G7, "non")</f>
        <v>non</v>
      </c>
      <c r="BY11" s="10" t="str">
        <f>IF('P25'!$G7&lt;&gt;"", 'P25'!$G7, "non")</f>
        <v>non</v>
      </c>
      <c r="BZ11" s="11" t="str">
        <f>IF('P26'!$G7&lt;&gt;"", 'P26'!$G7, "non")</f>
        <v>non</v>
      </c>
      <c r="CA11" s="10" t="str">
        <f>IF('P27'!$G7&lt;&gt;"", 'P27'!$G7, "non")</f>
        <v>non</v>
      </c>
      <c r="CB11" s="11" t="str">
        <f>IF('P28'!$G7&lt;&gt;"", 'P28'!$G7, "non")</f>
        <v>non</v>
      </c>
      <c r="CC11" s="10" t="str">
        <f>IF('P29'!$G7&lt;&gt;"", 'P29'!$G7, "non")</f>
        <v>non</v>
      </c>
      <c r="CD11" s="11" t="str">
        <f>IF('P30'!$G7&lt;&gt;"", 'P30'!$G7, "non")</f>
        <v>non</v>
      </c>
      <c r="CE11" s="10" t="str">
        <f>IF('P31'!$G7&lt;&gt;"", 'P31'!$G7, "non")</f>
        <v>non</v>
      </c>
      <c r="CF11" s="11" t="str">
        <f>IF('P32'!$G7&lt;&gt;"", 'P32'!$G7, "non")</f>
        <v>non</v>
      </c>
      <c r="CG11" s="10" t="str">
        <f>IF('P33'!$G7&lt;&gt;"", 'P33'!$G7, "non")</f>
        <v>non</v>
      </c>
      <c r="CH11" s="10" t="str">
        <f>IF('P34'!$G7&lt;&gt;"", 'P34'!$G7, "non")</f>
        <v>non</v>
      </c>
      <c r="CI11" s="11" t="str">
        <f>IF('P35'!$G7&lt;&gt;"", 'P35'!$G7, "non")</f>
        <v>non</v>
      </c>
      <c r="CJ11" s="10" t="str">
        <f>IF('P36'!$G7&lt;&gt;"", 'P36'!$G7, "non")</f>
        <v>non</v>
      </c>
      <c r="CK11" s="11" t="str">
        <f>IF('P37'!$G7&lt;&gt;"", 'P37'!$G7, "non")</f>
        <v>non</v>
      </c>
      <c r="CL11" s="10" t="str">
        <f>IF('P38'!$G7&lt;&gt;"", 'P38'!$G7, "non")</f>
        <v>non</v>
      </c>
      <c r="CM11" s="11" t="str">
        <f>IF('P39'!$G7&lt;&gt;"", 'P39'!$G7, "non")</f>
        <v>non</v>
      </c>
      <c r="CN11" s="10" t="str">
        <f>IF('P40'!$G7&lt;&gt;"", 'P40'!$G7, "non")</f>
        <v>non</v>
      </c>
    </row>
    <row r="12" spans="1:93" s="6" customFormat="1" ht="39.75" customHeight="1">
      <c r="A12" s="122" t="str">
        <f>'Critères et tests'!B7</f>
        <v>IMAGES</v>
      </c>
      <c r="B12" s="124" t="str">
        <f>'Critères et tests'!$A7</f>
        <v>1.5</v>
      </c>
      <c r="C12" s="192" t="str">
        <f>VLOOKUP(B12,'Critères et tests'!$1:$1048576,5,FALSE)</f>
        <v>Pour chaque image utilisée comme CAPTCHA, une solution d’accès alternatif au contenu ou à la fonction du CAPTCHA est-elle présente ?</v>
      </c>
      <c r="D12" s="124" t="str">
        <f>'Critères et tests'!$C7</f>
        <v>A</v>
      </c>
      <c r="E12" s="156" t="s">
        <v>460</v>
      </c>
      <c r="F12" s="88">
        <f>IF('P01'!$E8&gt;"",'P01'!$E8&amp;" "&amp;CHAR(10)&amp;'P01'!$F8,'P01'!$E8)</f>
        <v>0</v>
      </c>
      <c r="G12" s="89">
        <f>IF('P02'!$E8&gt;"",'P02'!$E8&amp;" "&amp;CHAR(10)&amp;'P02'!$F8,'P02'!$E8)</f>
        <v>0</v>
      </c>
      <c r="H12" s="89">
        <f>IF('P03'!$E8&gt;"",'P03'!$E8&amp;" "&amp;CHAR(10)&amp;'P03'!$F8,'P03'!$E8)</f>
        <v>0</v>
      </c>
      <c r="I12" s="89">
        <f>IF('P04'!$E8&gt;"",'P04'!$E8&amp;" "&amp;CHAR(10)&amp;'P04'!$F8,'P04'!$E8)</f>
        <v>0</v>
      </c>
      <c r="J12" s="89">
        <f>IF('P05'!$E8&gt;"",'P05'!$E8&amp;" "&amp;CHAR(10)&amp;'P05'!$F8,'P05'!$E8)</f>
        <v>0</v>
      </c>
      <c r="K12" s="89">
        <f>IF('P06'!$E8&gt;"",'P06'!$E8&amp;" "&amp;CHAR(10)&amp;'P06'!$F8,'P06'!$E8)</f>
        <v>0</v>
      </c>
      <c r="L12" s="89">
        <f>IF('P07'!$E8&gt;"",'P07'!$E8&amp;" "&amp;CHAR(10)&amp;'P07'!$F8,'P07'!$E8)</f>
        <v>0</v>
      </c>
      <c r="M12" s="89">
        <f>IF('P08'!$E8&gt;"",'P08'!$E8&amp;" "&amp;CHAR(10)&amp;'P08'!$F8,'P08'!$E8)</f>
        <v>0</v>
      </c>
      <c r="N12" s="89">
        <f>IF('P09'!$E8&gt;"",'P09'!$E8&amp;" "&amp;CHAR(10)&amp;'P09'!$F8,'P09'!$E8)</f>
        <v>0</v>
      </c>
      <c r="O12" s="89">
        <f>IF('P10'!$E8&gt;"",'P10'!$E8&amp;" "&amp;CHAR(10)&amp;'P10'!$F8,'P10'!$E8)</f>
        <v>0</v>
      </c>
      <c r="P12" s="89">
        <f>IF('P11'!$E8&gt;"",'P11'!$E8&amp;" "&amp;CHAR(10)&amp;'P11'!$F8,'P11'!$E8)</f>
        <v>0</v>
      </c>
      <c r="Q12" s="89">
        <f>IF('P12'!$E8&gt;"",'P12'!$E8&amp;" "&amp;CHAR(10)&amp;'P12'!$F8,'P12'!$E8)</f>
        <v>0</v>
      </c>
      <c r="R12" s="89">
        <f>IF('P13'!$E8&gt;"",'P13'!$E8&amp;" "&amp;CHAR(10)&amp;'P13'!$F8,'P13'!$E8)</f>
        <v>0</v>
      </c>
      <c r="S12" s="89">
        <f>IF('P14'!$E8&gt;"",'P14'!$E8&amp;" "&amp;CHAR(10)&amp;'P14'!$F8,'P14'!$E8)</f>
        <v>0</v>
      </c>
      <c r="T12" s="89">
        <f>IF('P15'!$E8&gt;"",'P15'!$E8&amp;" "&amp;CHAR(10)&amp;'P15'!$F8,'P15'!$E8)</f>
        <v>0</v>
      </c>
      <c r="U12" s="89">
        <f>IF('P16'!$E8&gt;"",'P16'!$E8&amp;" "&amp;CHAR(10)&amp;'P16'!$F8,'P16'!$E8)</f>
        <v>0</v>
      </c>
      <c r="V12" s="89">
        <f>IF('P17'!$E8&gt;"",'P17'!$E8&amp;" "&amp;CHAR(10)&amp;'P17'!$F8,'P17'!$E8)</f>
        <v>0</v>
      </c>
      <c r="W12" s="89">
        <f>IF('P18'!$E8&gt;"",'P18'!$E8&amp;" "&amp;CHAR(10)&amp;'P18'!$F8,'P18'!$E8)</f>
        <v>0</v>
      </c>
      <c r="X12" s="89">
        <f>IF('P19'!$E8&gt;"",'P19'!$E8&amp;" "&amp;CHAR(10)&amp;'P19'!$F8,'P19'!$E8)</f>
        <v>0</v>
      </c>
      <c r="Y12" s="89">
        <f>IF('P20'!$E8&gt;"",'P20'!$E8&amp;" "&amp;CHAR(10)&amp;'P20'!$F8,'P20'!$E8)</f>
        <v>0</v>
      </c>
      <c r="Z12" s="89">
        <f>IF('P21'!$E8&gt;"",'P21'!$E8&amp;" "&amp;CHAR(10)&amp;'P21'!$F8,'P21'!$E8)</f>
        <v>0</v>
      </c>
      <c r="AA12" s="89">
        <f>IF('P22'!$E8&gt;"",'P22'!$E8&amp;" "&amp;CHAR(10)&amp;'P22'!$F8,'P22'!$E8)</f>
        <v>0</v>
      </c>
      <c r="AB12" s="89">
        <f>IF('P23'!$E8&gt;"",'P23'!$E8&amp;" "&amp;CHAR(10)&amp;'P23'!$F8,'P23'!$E8)</f>
        <v>0</v>
      </c>
      <c r="AC12" s="89">
        <f>IF('P24'!$E8&gt;"",'P24'!$E8&amp;" "&amp;CHAR(10)&amp;'P24'!$F8,'P24'!$E8)</f>
        <v>0</v>
      </c>
      <c r="AD12" s="89">
        <f>IF('P25'!$E8&gt;"",'P25'!$E8&amp;" "&amp;CHAR(10)&amp;'P25'!$F8,'P25'!$E8)</f>
        <v>0</v>
      </c>
      <c r="AE12" s="89">
        <f>IF('P26'!$E8&gt;"",'P26'!$E8&amp;" "&amp;CHAR(10)&amp;'P26'!$F8,'P26'!$E8)</f>
        <v>0</v>
      </c>
      <c r="AF12" s="89">
        <f>IF('P27'!$E8&gt;"",'P27'!$E8&amp;" "&amp;CHAR(10)&amp;'P27'!$F8,'P27'!$E8)</f>
        <v>0</v>
      </c>
      <c r="AG12" s="89">
        <f>IF('P28'!$E8&gt;"",'P28'!$E8&amp;" "&amp;CHAR(10)&amp;'P28'!$F8,'P28'!$E8)</f>
        <v>0</v>
      </c>
      <c r="AH12" s="89">
        <f>IF('P29'!$E8&gt;"",'P29'!$E8&amp;" "&amp;CHAR(10)&amp;'P29'!$F8,'P29'!$E8)</f>
        <v>0</v>
      </c>
      <c r="AI12" s="89">
        <f>IF('P30'!$E8&gt;"",'P30'!$E8&amp;" "&amp;CHAR(10)&amp;'P30'!$F8,'P30'!$E8)</f>
        <v>0</v>
      </c>
      <c r="AJ12" s="89">
        <f>IF('P31'!$E8&gt;"",'P31'!$E8&amp;" "&amp;CHAR(10)&amp;'P31'!$F8,'P31'!$E8)</f>
        <v>0</v>
      </c>
      <c r="AK12" s="89">
        <f>IF('P32'!$E8&gt;"",'P32'!$E8&amp;" "&amp;CHAR(10)&amp;'P32'!$F8,'P32'!$E8)</f>
        <v>0</v>
      </c>
      <c r="AL12" s="89">
        <f>IF('P33'!$E8&gt;"",'P33'!$E8&amp;" "&amp;CHAR(10)&amp;'P33'!$F8,'P33'!$E8)</f>
        <v>0</v>
      </c>
      <c r="AM12" s="89">
        <f>IF('P34'!$E8&gt;"",'P34'!$E8&amp;" "&amp;CHAR(10)&amp;'P34'!$F8,'P34'!$E8)</f>
        <v>0</v>
      </c>
      <c r="AN12" s="89">
        <f>IF('P35'!$E8&gt;"",'P35'!$E8&amp;" "&amp;CHAR(10)&amp;'P35'!$F8,'P35'!$E8)</f>
        <v>0</v>
      </c>
      <c r="AO12" s="89">
        <f>IF('P36'!$E8&gt;"",'P36'!$E8&amp;" "&amp;CHAR(10)&amp;'P36'!$F8,'P36'!$E8)</f>
        <v>0</v>
      </c>
      <c r="AP12" s="89">
        <f>IF('P37'!$E8&gt;"",'P37'!$E8&amp;" "&amp;CHAR(10)&amp;'P37'!$F8,'P37'!$E8)</f>
        <v>0</v>
      </c>
      <c r="AQ12" s="89">
        <f>IF('P38'!$E8&gt;"",'P38'!$E8&amp;" "&amp;CHAR(10)&amp;'P38'!$F8,'P38'!$E8)</f>
        <v>0</v>
      </c>
      <c r="AR12" s="89">
        <f>IF('P39'!$E8&gt;"",'P39'!$E8&amp;" "&amp;CHAR(10)&amp;'P39'!$F8,'P39'!$E8)</f>
        <v>0</v>
      </c>
      <c r="AS12" s="89">
        <f>IF('P40'!$E8&gt;"",'P40'!$E8&amp;" "&amp;CHAR(10)&amp;'P40'!$F8,'P40'!$E8)</f>
        <v>0</v>
      </c>
      <c r="AT12" s="55">
        <f t="shared" si="5"/>
        <v>0</v>
      </c>
      <c r="AU12" s="9">
        <f t="shared" si="6"/>
        <v>0</v>
      </c>
      <c r="AV12" s="55">
        <f t="shared" si="7"/>
        <v>0</v>
      </c>
      <c r="AW12" s="38" t="str">
        <f t="shared" si="8"/>
        <v>NT</v>
      </c>
      <c r="AX12" s="39"/>
      <c r="AY12" s="10"/>
      <c r="AZ12" s="10"/>
      <c r="BA12" s="10" t="str">
        <f>IF('P01'!$G8&lt;&gt;"", 'P01'!$G8, "non")</f>
        <v>non</v>
      </c>
      <c r="BB12" s="10" t="str">
        <f>IF('P02'!$G8&lt;&gt;"", 'P02'!$G8, "non")</f>
        <v>non</v>
      </c>
      <c r="BC12" s="10" t="str">
        <f>IF('P03'!$G8&lt;&gt;"", 'P03'!$G8, "non")</f>
        <v>non</v>
      </c>
      <c r="BD12" s="10" t="str">
        <f>IF('P04'!$G8&lt;&gt;"", 'P04'!$G8, "non")</f>
        <v>non</v>
      </c>
      <c r="BE12" s="10" t="str">
        <f>IF('P05'!$G8&lt;&gt;"", 'P05'!$G8, "non")</f>
        <v>non</v>
      </c>
      <c r="BF12" s="10" t="str">
        <f>IF('P06'!$G8&lt;&gt;"", 'P06'!$G8, "non")</f>
        <v>non</v>
      </c>
      <c r="BG12" s="10" t="str">
        <f>IF('P07'!$G8&lt;&gt;"", 'P07'!$G8, "non")</f>
        <v>non</v>
      </c>
      <c r="BH12" s="10" t="str">
        <f>IF('P08'!$G8&lt;&gt;"", 'P08'!$G8, "non")</f>
        <v>non</v>
      </c>
      <c r="BI12" s="10" t="str">
        <f>IF('P09'!$G8&lt;&gt;"", 'P09'!$G8, "non")</f>
        <v>non</v>
      </c>
      <c r="BJ12" s="10" t="str">
        <f>IF('P10'!$G8&lt;&gt;"", 'P10'!$G8, "non")</f>
        <v>non</v>
      </c>
      <c r="BK12" s="10" t="str">
        <f>IF('P11'!$G8&lt;&gt;"", 'P11'!$G8, "non")</f>
        <v>non</v>
      </c>
      <c r="BL12" s="10" t="str">
        <f>IF('P12'!$G8&lt;&gt;"", 'P12'!$G8, "non")</f>
        <v>non</v>
      </c>
      <c r="BM12" s="10" t="str">
        <f>IF('P13'!$G8&lt;&gt;"", 'P13'!$G8, "non")</f>
        <v>non</v>
      </c>
      <c r="BN12" s="10" t="str">
        <f>IF('P14'!$G8&lt;&gt;"", 'P14'!$G8, "non")</f>
        <v>non</v>
      </c>
      <c r="BO12" s="10" t="str">
        <f>IF('P15'!$G8&lt;&gt;"", 'P15'!$G8, "non")</f>
        <v>non</v>
      </c>
      <c r="BP12" s="10" t="str">
        <f>IF('P16'!$G8&lt;&gt;"", 'P16'!$G8, "non")</f>
        <v>non</v>
      </c>
      <c r="BQ12" s="10" t="str">
        <f>IF('P17'!$G8&lt;&gt;"", 'P17'!$G8, "non")</f>
        <v>non</v>
      </c>
      <c r="BR12" s="10" t="str">
        <f>IF('P18'!$G8&lt;&gt;"", 'P18'!$G8, "non")</f>
        <v>non</v>
      </c>
      <c r="BS12" s="10" t="str">
        <f>IF('P19'!$G8&lt;&gt;"", 'P19'!$G8, "non")</f>
        <v>non</v>
      </c>
      <c r="BT12" s="11" t="str">
        <f>IF('P20'!$G8&lt;&gt;"", 'P20'!$G8, "non")</f>
        <v>non</v>
      </c>
      <c r="BU12" s="10" t="str">
        <f>IF('P21'!$G8&lt;&gt;"", 'P21'!$G8, "non")</f>
        <v>non</v>
      </c>
      <c r="BV12" s="11" t="str">
        <f>IF('P22'!$G8&lt;&gt;"", 'P22'!$G8, "non")</f>
        <v>non</v>
      </c>
      <c r="BW12" s="10" t="str">
        <f>IF('P23'!$G8&lt;&gt;"", 'P23'!$G8, "non")</f>
        <v>non</v>
      </c>
      <c r="BX12" s="11" t="str">
        <f>IF('P24'!$G8&lt;&gt;"", 'P24'!$G8, "non")</f>
        <v>non</v>
      </c>
      <c r="BY12" s="10" t="str">
        <f>IF('P25'!$G8&lt;&gt;"", 'P25'!$G8, "non")</f>
        <v>non</v>
      </c>
      <c r="BZ12" s="11" t="str">
        <f>IF('P26'!$G8&lt;&gt;"", 'P26'!$G8, "non")</f>
        <v>non</v>
      </c>
      <c r="CA12" s="10" t="str">
        <f>IF('P27'!$G8&lt;&gt;"", 'P27'!$G8, "non")</f>
        <v>non</v>
      </c>
      <c r="CB12" s="11" t="str">
        <f>IF('P28'!$G8&lt;&gt;"", 'P28'!$G8, "non")</f>
        <v>non</v>
      </c>
      <c r="CC12" s="10" t="str">
        <f>IF('P29'!$G8&lt;&gt;"", 'P29'!$G8, "non")</f>
        <v>non</v>
      </c>
      <c r="CD12" s="11" t="str">
        <f>IF('P30'!$G8&lt;&gt;"", 'P30'!$G8, "non")</f>
        <v>non</v>
      </c>
      <c r="CE12" s="10" t="str">
        <f>IF('P31'!$G8&lt;&gt;"", 'P31'!$G8, "non")</f>
        <v>non</v>
      </c>
      <c r="CF12" s="11" t="str">
        <f>IF('P32'!$G8&lt;&gt;"", 'P32'!$G8, "non")</f>
        <v>non</v>
      </c>
      <c r="CG12" s="10" t="str">
        <f>IF('P33'!$G8&lt;&gt;"", 'P33'!$G8, "non")</f>
        <v>non</v>
      </c>
      <c r="CH12" s="10" t="str">
        <f>IF('P34'!$G8&lt;&gt;"", 'P34'!$G8, "non")</f>
        <v>non</v>
      </c>
      <c r="CI12" s="11" t="str">
        <f>IF('P35'!$G8&lt;&gt;"", 'P35'!$G8, "non")</f>
        <v>non</v>
      </c>
      <c r="CJ12" s="10" t="str">
        <f>IF('P36'!$G8&lt;&gt;"", 'P36'!$G8, "non")</f>
        <v>non</v>
      </c>
      <c r="CK12" s="11" t="str">
        <f>IF('P37'!$G8&lt;&gt;"", 'P37'!$G8, "non")</f>
        <v>non</v>
      </c>
      <c r="CL12" s="10" t="str">
        <f>IF('P38'!$G8&lt;&gt;"", 'P38'!$G8, "non")</f>
        <v>non</v>
      </c>
      <c r="CM12" s="11" t="str">
        <f>IF('P39'!$G8&lt;&gt;"", 'P39'!$G8, "non")</f>
        <v>non</v>
      </c>
      <c r="CN12" s="10" t="str">
        <f>IF('P40'!$G8&lt;&gt;"", 'P40'!$G8, "non")</f>
        <v>non</v>
      </c>
    </row>
    <row r="13" spans="1:93" s="6" customFormat="1" ht="39.75" customHeight="1">
      <c r="A13" s="122" t="str">
        <f>'Critères et tests'!B8</f>
        <v>IMAGES</v>
      </c>
      <c r="B13" s="124" t="str">
        <f>'Critères et tests'!$A8</f>
        <v>1.6</v>
      </c>
      <c r="C13" s="192" t="str">
        <f>VLOOKUP(B13,'Critères et tests'!$1:$1048576,5,FALSE)</f>
        <v>Chaque image porteuse d’information a-t-elle, si nécessaire, une description détaillée ?</v>
      </c>
      <c r="D13" s="124" t="str">
        <f>'Critères et tests'!$C8</f>
        <v>A</v>
      </c>
      <c r="E13" s="156" t="s">
        <v>460</v>
      </c>
      <c r="F13" s="88">
        <f>IF('P01'!$E9&gt;"",'P01'!$E9&amp;" "&amp;CHAR(10)&amp;'P01'!$F9,'P01'!$E9)</f>
        <v>0</v>
      </c>
      <c r="G13" s="89">
        <f>IF('P02'!$E9&gt;"",'P02'!$E9&amp;" "&amp;CHAR(10)&amp;'P02'!$F9,'P02'!$E9)</f>
        <v>0</v>
      </c>
      <c r="H13" s="89">
        <f>IF('P03'!$E9&gt;"",'P03'!$E9&amp;" "&amp;CHAR(10)&amp;'P03'!$F9,'P03'!$E9)</f>
        <v>0</v>
      </c>
      <c r="I13" s="89">
        <f>IF('P04'!$E9&gt;"",'P04'!$E9&amp;" "&amp;CHAR(10)&amp;'P04'!$F9,'P04'!$E9)</f>
        <v>0</v>
      </c>
      <c r="J13" s="89">
        <f>IF('P05'!$E9&gt;"",'P05'!$E9&amp;" "&amp;CHAR(10)&amp;'P05'!$F9,'P05'!$E9)</f>
        <v>0</v>
      </c>
      <c r="K13" s="89">
        <f>IF('P06'!$E9&gt;"",'P06'!$E9&amp;" "&amp;CHAR(10)&amp;'P06'!$F9,'P06'!$E9)</f>
        <v>0</v>
      </c>
      <c r="L13" s="89">
        <f>IF('P07'!$E9&gt;"",'P07'!$E9&amp;" "&amp;CHAR(10)&amp;'P07'!$F9,'P07'!$E9)</f>
        <v>0</v>
      </c>
      <c r="M13" s="89">
        <f>IF('P08'!$E9&gt;"",'P08'!$E9&amp;" "&amp;CHAR(10)&amp;'P08'!$F9,'P08'!$E9)</f>
        <v>0</v>
      </c>
      <c r="N13" s="89">
        <f>IF('P09'!$E9&gt;"",'P09'!$E9&amp;" "&amp;CHAR(10)&amp;'P09'!$F9,'P09'!$E9)</f>
        <v>0</v>
      </c>
      <c r="O13" s="89">
        <f>IF('P10'!$E9&gt;"",'P10'!$E9&amp;" "&amp;CHAR(10)&amp;'P10'!$F9,'P10'!$E9)</f>
        <v>0</v>
      </c>
      <c r="P13" s="89">
        <f>IF('P11'!$E9&gt;"",'P11'!$E9&amp;" "&amp;CHAR(10)&amp;'P11'!$F9,'P11'!$E9)</f>
        <v>0</v>
      </c>
      <c r="Q13" s="89">
        <f>IF('P12'!$E9&gt;"",'P12'!$E9&amp;" "&amp;CHAR(10)&amp;'P12'!$F9,'P12'!$E9)</f>
        <v>0</v>
      </c>
      <c r="R13" s="89">
        <f>IF('P13'!$E9&gt;"",'P13'!$E9&amp;" "&amp;CHAR(10)&amp;'P13'!$F9,'P13'!$E9)</f>
        <v>0</v>
      </c>
      <c r="S13" s="89">
        <f>IF('P14'!$E9&gt;"",'P14'!$E9&amp;" "&amp;CHAR(10)&amp;'P14'!$F9,'P14'!$E9)</f>
        <v>0</v>
      </c>
      <c r="T13" s="89">
        <f>IF('P15'!$E9&gt;"",'P15'!$E9&amp;" "&amp;CHAR(10)&amp;'P15'!$F9,'P15'!$E9)</f>
        <v>0</v>
      </c>
      <c r="U13" s="89">
        <f>IF('P16'!$E9&gt;"",'P16'!$E9&amp;" "&amp;CHAR(10)&amp;'P16'!$F9,'P16'!$E9)</f>
        <v>0</v>
      </c>
      <c r="V13" s="89">
        <f>IF('P17'!$E9&gt;"",'P17'!$E9&amp;" "&amp;CHAR(10)&amp;'P17'!$F9,'P17'!$E9)</f>
        <v>0</v>
      </c>
      <c r="W13" s="89">
        <f>IF('P18'!$E9&gt;"",'P18'!$E9&amp;" "&amp;CHAR(10)&amp;'P18'!$F9,'P18'!$E9)</f>
        <v>0</v>
      </c>
      <c r="X13" s="89">
        <f>IF('P19'!$E9&gt;"",'P19'!$E9&amp;" "&amp;CHAR(10)&amp;'P19'!$F9,'P19'!$E9)</f>
        <v>0</v>
      </c>
      <c r="Y13" s="89">
        <f>IF('P20'!$E9&gt;"",'P20'!$E9&amp;" "&amp;CHAR(10)&amp;'P20'!$F9,'P20'!$E9)</f>
        <v>0</v>
      </c>
      <c r="Z13" s="89">
        <f>IF('P21'!$E9&gt;"",'P21'!$E9&amp;" "&amp;CHAR(10)&amp;'P21'!$F9,'P21'!$E9)</f>
        <v>0</v>
      </c>
      <c r="AA13" s="89">
        <f>IF('P22'!$E9&gt;"",'P22'!$E9&amp;" "&amp;CHAR(10)&amp;'P22'!$F9,'P22'!$E9)</f>
        <v>0</v>
      </c>
      <c r="AB13" s="89">
        <f>IF('P23'!$E9&gt;"",'P23'!$E9&amp;" "&amp;CHAR(10)&amp;'P23'!$F9,'P23'!$E9)</f>
        <v>0</v>
      </c>
      <c r="AC13" s="89">
        <f>IF('P24'!$E9&gt;"",'P24'!$E9&amp;" "&amp;CHAR(10)&amp;'P24'!$F9,'P24'!$E9)</f>
        <v>0</v>
      </c>
      <c r="AD13" s="89">
        <f>IF('P25'!$E9&gt;"",'P25'!$E9&amp;" "&amp;CHAR(10)&amp;'P25'!$F9,'P25'!$E9)</f>
        <v>0</v>
      </c>
      <c r="AE13" s="89">
        <f>IF('P26'!$E9&gt;"",'P26'!$E9&amp;" "&amp;CHAR(10)&amp;'P26'!$F9,'P26'!$E9)</f>
        <v>0</v>
      </c>
      <c r="AF13" s="89">
        <f>IF('P27'!$E9&gt;"",'P27'!$E9&amp;" "&amp;CHAR(10)&amp;'P27'!$F9,'P27'!$E9)</f>
        <v>0</v>
      </c>
      <c r="AG13" s="89">
        <f>IF('P28'!$E9&gt;"",'P28'!$E9&amp;" "&amp;CHAR(10)&amp;'P28'!$F9,'P28'!$E9)</f>
        <v>0</v>
      </c>
      <c r="AH13" s="89">
        <f>IF('P29'!$E9&gt;"",'P29'!$E9&amp;" "&amp;CHAR(10)&amp;'P29'!$F9,'P29'!$E9)</f>
        <v>0</v>
      </c>
      <c r="AI13" s="89">
        <f>IF('P30'!$E9&gt;"",'P30'!$E9&amp;" "&amp;CHAR(10)&amp;'P30'!$F9,'P30'!$E9)</f>
        <v>0</v>
      </c>
      <c r="AJ13" s="89">
        <f>IF('P31'!$E9&gt;"",'P31'!$E9&amp;" "&amp;CHAR(10)&amp;'P31'!$F9,'P31'!$E9)</f>
        <v>0</v>
      </c>
      <c r="AK13" s="89">
        <f>IF('P32'!$E9&gt;"",'P32'!$E9&amp;" "&amp;CHAR(10)&amp;'P32'!$F9,'P32'!$E9)</f>
        <v>0</v>
      </c>
      <c r="AL13" s="89">
        <f>IF('P33'!$E9&gt;"",'P33'!$E9&amp;" "&amp;CHAR(10)&amp;'P33'!$F9,'P33'!$E9)</f>
        <v>0</v>
      </c>
      <c r="AM13" s="89">
        <f>IF('P34'!$E9&gt;"",'P34'!$E9&amp;" "&amp;CHAR(10)&amp;'P34'!$F9,'P34'!$E9)</f>
        <v>0</v>
      </c>
      <c r="AN13" s="89">
        <f>IF('P35'!$E9&gt;"",'P35'!$E9&amp;" "&amp;CHAR(10)&amp;'P35'!$F9,'P35'!$E9)</f>
        <v>0</v>
      </c>
      <c r="AO13" s="89">
        <f>IF('P36'!$E9&gt;"",'P36'!$E9&amp;" "&amp;CHAR(10)&amp;'P36'!$F9,'P36'!$E9)</f>
        <v>0</v>
      </c>
      <c r="AP13" s="89">
        <f>IF('P37'!$E9&gt;"",'P37'!$E9&amp;" "&amp;CHAR(10)&amp;'P37'!$F9,'P37'!$E9)</f>
        <v>0</v>
      </c>
      <c r="AQ13" s="89">
        <f>IF('P38'!$E9&gt;"",'P38'!$E9&amp;" "&amp;CHAR(10)&amp;'P38'!$F9,'P38'!$E9)</f>
        <v>0</v>
      </c>
      <c r="AR13" s="89">
        <f>IF('P39'!$E9&gt;"",'P39'!$E9&amp;" "&amp;CHAR(10)&amp;'P39'!$F9,'P39'!$E9)</f>
        <v>0</v>
      </c>
      <c r="AS13" s="89">
        <f>IF('P40'!$E9&gt;"",'P40'!$E9&amp;" "&amp;CHAR(10)&amp;'P40'!$F9,'P40'!$E9)</f>
        <v>0</v>
      </c>
      <c r="AT13" s="55">
        <f t="shared" si="5"/>
        <v>0</v>
      </c>
      <c r="AU13" s="9">
        <f t="shared" si="6"/>
        <v>0</v>
      </c>
      <c r="AV13" s="55">
        <f t="shared" si="7"/>
        <v>0</v>
      </c>
      <c r="AW13" s="38" t="str">
        <f t="shared" si="8"/>
        <v>NT</v>
      </c>
      <c r="AX13" s="39"/>
      <c r="AY13" s="10"/>
      <c r="AZ13" s="10"/>
      <c r="BA13" s="10" t="str">
        <f>IF('P01'!$G9&lt;&gt;"", 'P01'!$G9, "non")</f>
        <v>non</v>
      </c>
      <c r="BB13" s="10" t="str">
        <f>IF('P02'!$G9&lt;&gt;"", 'P02'!$G9, "non")</f>
        <v>non</v>
      </c>
      <c r="BC13" s="10" t="str">
        <f>IF('P03'!$G9&lt;&gt;"", 'P03'!$G9, "non")</f>
        <v>non</v>
      </c>
      <c r="BD13" s="10" t="str">
        <f>IF('P04'!$G9&lt;&gt;"", 'P04'!$G9, "non")</f>
        <v>non</v>
      </c>
      <c r="BE13" s="10" t="str">
        <f>IF('P05'!$G9&lt;&gt;"", 'P05'!$G9, "non")</f>
        <v>non</v>
      </c>
      <c r="BF13" s="10" t="str">
        <f>IF('P06'!$G9&lt;&gt;"", 'P06'!$G9, "non")</f>
        <v>non</v>
      </c>
      <c r="BG13" s="10" t="str">
        <f>IF('P07'!$G9&lt;&gt;"", 'P07'!$G9, "non")</f>
        <v>non</v>
      </c>
      <c r="BH13" s="10" t="str">
        <f>IF('P08'!$G9&lt;&gt;"", 'P08'!$G9, "non")</f>
        <v>non</v>
      </c>
      <c r="BI13" s="10" t="str">
        <f>IF('P09'!$G9&lt;&gt;"", 'P09'!$G9, "non")</f>
        <v>non</v>
      </c>
      <c r="BJ13" s="10" t="str">
        <f>IF('P10'!$G9&lt;&gt;"", 'P10'!$G9, "non")</f>
        <v>non</v>
      </c>
      <c r="BK13" s="10" t="str">
        <f>IF('P11'!$G9&lt;&gt;"", 'P11'!$G9, "non")</f>
        <v>non</v>
      </c>
      <c r="BL13" s="10" t="str">
        <f>IF('P12'!$G9&lt;&gt;"", 'P12'!$G9, "non")</f>
        <v>non</v>
      </c>
      <c r="BM13" s="10" t="str">
        <f>IF('P13'!$G9&lt;&gt;"", 'P13'!$G9, "non")</f>
        <v>non</v>
      </c>
      <c r="BN13" s="10" t="str">
        <f>IF('P14'!$G9&lt;&gt;"", 'P14'!$G9, "non")</f>
        <v>non</v>
      </c>
      <c r="BO13" s="10" t="str">
        <f>IF('P15'!$G9&lt;&gt;"", 'P15'!$G9, "non")</f>
        <v>non</v>
      </c>
      <c r="BP13" s="10" t="str">
        <f>IF('P16'!$G9&lt;&gt;"", 'P16'!$G9, "non")</f>
        <v>non</v>
      </c>
      <c r="BQ13" s="10" t="str">
        <f>IF('P17'!$G9&lt;&gt;"", 'P17'!$G9, "non")</f>
        <v>non</v>
      </c>
      <c r="BR13" s="10" t="str">
        <f>IF('P18'!$G9&lt;&gt;"", 'P18'!$G9, "non")</f>
        <v>non</v>
      </c>
      <c r="BS13" s="10" t="str">
        <f>IF('P19'!$G9&lt;&gt;"", 'P19'!$G9, "non")</f>
        <v>non</v>
      </c>
      <c r="BT13" s="11" t="str">
        <f>IF('P20'!$G9&lt;&gt;"", 'P20'!$G9, "non")</f>
        <v>non</v>
      </c>
      <c r="BU13" s="10" t="str">
        <f>IF('P21'!$G9&lt;&gt;"", 'P21'!$G9, "non")</f>
        <v>non</v>
      </c>
      <c r="BV13" s="11" t="str">
        <f>IF('P22'!$G9&lt;&gt;"", 'P22'!$G9, "non")</f>
        <v>non</v>
      </c>
      <c r="BW13" s="10" t="str">
        <f>IF('P23'!$G9&lt;&gt;"", 'P23'!$G9, "non")</f>
        <v>non</v>
      </c>
      <c r="BX13" s="11" t="str">
        <f>IF('P24'!$G9&lt;&gt;"", 'P24'!$G9, "non")</f>
        <v>non</v>
      </c>
      <c r="BY13" s="10" t="str">
        <f>IF('P25'!$G9&lt;&gt;"", 'P25'!$G9, "non")</f>
        <v>non</v>
      </c>
      <c r="BZ13" s="11" t="str">
        <f>IF('P26'!$G9&lt;&gt;"", 'P26'!$G9, "non")</f>
        <v>non</v>
      </c>
      <c r="CA13" s="10" t="str">
        <f>IF('P27'!$G9&lt;&gt;"", 'P27'!$G9, "non")</f>
        <v>non</v>
      </c>
      <c r="CB13" s="11" t="str">
        <f>IF('P28'!$G9&lt;&gt;"", 'P28'!$G9, "non")</f>
        <v>non</v>
      </c>
      <c r="CC13" s="10" t="str">
        <f>IF('P29'!$G9&lt;&gt;"", 'P29'!$G9, "non")</f>
        <v>non</v>
      </c>
      <c r="CD13" s="11" t="str">
        <f>IF('P30'!$G9&lt;&gt;"", 'P30'!$G9, "non")</f>
        <v>non</v>
      </c>
      <c r="CE13" s="10" t="str">
        <f>IF('P31'!$G9&lt;&gt;"", 'P31'!$G9, "non")</f>
        <v>non</v>
      </c>
      <c r="CF13" s="11" t="str">
        <f>IF('P32'!$G9&lt;&gt;"", 'P32'!$G9, "non")</f>
        <v>non</v>
      </c>
      <c r="CG13" s="10" t="str">
        <f>IF('P33'!$G9&lt;&gt;"", 'P33'!$G9, "non")</f>
        <v>non</v>
      </c>
      <c r="CH13" s="10" t="str">
        <f>IF('P34'!$G9&lt;&gt;"", 'P34'!$G9, "non")</f>
        <v>non</v>
      </c>
      <c r="CI13" s="11" t="str">
        <f>IF('P35'!$G9&lt;&gt;"", 'P35'!$G9, "non")</f>
        <v>non</v>
      </c>
      <c r="CJ13" s="10" t="str">
        <f>IF('P36'!$G9&lt;&gt;"", 'P36'!$G9, "non")</f>
        <v>non</v>
      </c>
      <c r="CK13" s="11" t="str">
        <f>IF('P37'!$G9&lt;&gt;"", 'P37'!$G9, "non")</f>
        <v>non</v>
      </c>
      <c r="CL13" s="10" t="str">
        <f>IF('P38'!$G9&lt;&gt;"", 'P38'!$G9, "non")</f>
        <v>non</v>
      </c>
      <c r="CM13" s="11" t="str">
        <f>IF('P39'!$G9&lt;&gt;"", 'P39'!$G9, "non")</f>
        <v>non</v>
      </c>
      <c r="CN13" s="10" t="str">
        <f>IF('P40'!$G9&lt;&gt;"", 'P40'!$G9, "non")</f>
        <v>non</v>
      </c>
    </row>
    <row r="14" spans="1:93" s="6" customFormat="1" ht="39.75" customHeight="1">
      <c r="A14" s="122" t="str">
        <f>'Critères et tests'!B9</f>
        <v>IMAGES</v>
      </c>
      <c r="B14" s="124" t="str">
        <f>'Critères et tests'!$A9</f>
        <v>1.7</v>
      </c>
      <c r="C14" s="192" t="str">
        <f>VLOOKUP(B14,'Critères et tests'!$1:$1048576,5,FALSE)</f>
        <v>Pour chaque image porteuse d’information ayant une description détaillée, cette description est-elle pertinente ?</v>
      </c>
      <c r="D14" s="124" t="str">
        <f>'Critères et tests'!$C9</f>
        <v>A</v>
      </c>
      <c r="E14" s="156" t="s">
        <v>460</v>
      </c>
      <c r="F14" s="88">
        <f>IF('P01'!$E10&gt;"",'P01'!$E10&amp;" "&amp;CHAR(10)&amp;'P01'!$F10,'P01'!$E10)</f>
        <v>0</v>
      </c>
      <c r="G14" s="89">
        <f>IF('P02'!$E10&gt;"",'P02'!$E10&amp;" "&amp;CHAR(10)&amp;'P02'!$F10,'P02'!$E10)</f>
        <v>0</v>
      </c>
      <c r="H14" s="89">
        <f>IF('P03'!$E10&gt;"",'P03'!$E10&amp;" "&amp;CHAR(10)&amp;'P03'!$F10,'P03'!$E10)</f>
        <v>0</v>
      </c>
      <c r="I14" s="89">
        <f>IF('P04'!$E10&gt;"",'P04'!$E10&amp;" "&amp;CHAR(10)&amp;'P04'!$F10,'P04'!$E10)</f>
        <v>0</v>
      </c>
      <c r="J14" s="89">
        <f>IF('P05'!$E10&gt;"",'P05'!$E10&amp;" "&amp;CHAR(10)&amp;'P05'!$F10,'P05'!$E10)</f>
        <v>0</v>
      </c>
      <c r="K14" s="89">
        <f>IF('P06'!$E10&gt;"",'P06'!$E10&amp;" "&amp;CHAR(10)&amp;'P06'!$F10,'P06'!$E10)</f>
        <v>0</v>
      </c>
      <c r="L14" s="89">
        <f>IF('P07'!$E10&gt;"",'P07'!$E10&amp;" "&amp;CHAR(10)&amp;'P07'!$F10,'P07'!$E10)</f>
        <v>0</v>
      </c>
      <c r="M14" s="89">
        <f>IF('P08'!$E10&gt;"",'P08'!$E10&amp;" "&amp;CHAR(10)&amp;'P08'!$F10,'P08'!$E10)</f>
        <v>0</v>
      </c>
      <c r="N14" s="89">
        <f>IF('P09'!$E10&gt;"",'P09'!$E10&amp;" "&amp;CHAR(10)&amp;'P09'!$F10,'P09'!$E10)</f>
        <v>0</v>
      </c>
      <c r="O14" s="89">
        <f>IF('P10'!$E10&gt;"",'P10'!$E10&amp;" "&amp;CHAR(10)&amp;'P10'!$F10,'P10'!$E10)</f>
        <v>0</v>
      </c>
      <c r="P14" s="89">
        <f>IF('P11'!$E10&gt;"",'P11'!$E10&amp;" "&amp;CHAR(10)&amp;'P11'!$F10,'P11'!$E10)</f>
        <v>0</v>
      </c>
      <c r="Q14" s="89">
        <f>IF('P12'!$E10&gt;"",'P12'!$E10&amp;" "&amp;CHAR(10)&amp;'P12'!$F10,'P12'!$E10)</f>
        <v>0</v>
      </c>
      <c r="R14" s="89">
        <f>IF('P13'!$E10&gt;"",'P13'!$E10&amp;" "&amp;CHAR(10)&amp;'P13'!$F10,'P13'!$E10)</f>
        <v>0</v>
      </c>
      <c r="S14" s="89">
        <f>IF('P14'!$E10&gt;"",'P14'!$E10&amp;" "&amp;CHAR(10)&amp;'P14'!$F10,'P14'!$E10)</f>
        <v>0</v>
      </c>
      <c r="T14" s="89">
        <f>IF('P15'!$E10&gt;"",'P15'!$E10&amp;" "&amp;CHAR(10)&amp;'P15'!$F10,'P15'!$E10)</f>
        <v>0</v>
      </c>
      <c r="U14" s="89">
        <f>IF('P16'!$E10&gt;"",'P16'!$E10&amp;" "&amp;CHAR(10)&amp;'P16'!$F10,'P16'!$E10)</f>
        <v>0</v>
      </c>
      <c r="V14" s="89">
        <f>IF('P17'!$E10&gt;"",'P17'!$E10&amp;" "&amp;CHAR(10)&amp;'P17'!$F10,'P17'!$E10)</f>
        <v>0</v>
      </c>
      <c r="W14" s="89">
        <f>IF('P18'!$E10&gt;"",'P18'!$E10&amp;" "&amp;CHAR(10)&amp;'P18'!$F10,'P18'!$E10)</f>
        <v>0</v>
      </c>
      <c r="X14" s="89">
        <f>IF('P19'!$E10&gt;"",'P19'!$E10&amp;" "&amp;CHAR(10)&amp;'P19'!$F10,'P19'!$E10)</f>
        <v>0</v>
      </c>
      <c r="Y14" s="89">
        <f>IF('P20'!$E10&gt;"",'P20'!$E10&amp;" "&amp;CHAR(10)&amp;'P20'!$F10,'P20'!$E10)</f>
        <v>0</v>
      </c>
      <c r="Z14" s="89">
        <f>IF('P21'!$E10&gt;"",'P21'!$E10&amp;" "&amp;CHAR(10)&amp;'P21'!$F10,'P21'!$E10)</f>
        <v>0</v>
      </c>
      <c r="AA14" s="89">
        <f>IF('P22'!$E10&gt;"",'P22'!$E10&amp;" "&amp;CHAR(10)&amp;'P22'!$F10,'P22'!$E10)</f>
        <v>0</v>
      </c>
      <c r="AB14" s="89">
        <f>IF('P23'!$E10&gt;"",'P23'!$E10&amp;" "&amp;CHAR(10)&amp;'P23'!$F10,'P23'!$E10)</f>
        <v>0</v>
      </c>
      <c r="AC14" s="89">
        <f>IF('P24'!$E10&gt;"",'P24'!$E10&amp;" "&amp;CHAR(10)&amp;'P24'!$F10,'P24'!$E10)</f>
        <v>0</v>
      </c>
      <c r="AD14" s="89">
        <f>IF('P25'!$E10&gt;"",'P25'!$E10&amp;" "&amp;CHAR(10)&amp;'P25'!$F10,'P25'!$E10)</f>
        <v>0</v>
      </c>
      <c r="AE14" s="89">
        <f>IF('P26'!$E10&gt;"",'P26'!$E10&amp;" "&amp;CHAR(10)&amp;'P26'!$F10,'P26'!$E10)</f>
        <v>0</v>
      </c>
      <c r="AF14" s="89">
        <f>IF('P27'!$E10&gt;"",'P27'!$E10&amp;" "&amp;CHAR(10)&amp;'P27'!$F10,'P27'!$E10)</f>
        <v>0</v>
      </c>
      <c r="AG14" s="89">
        <f>IF('P28'!$E10&gt;"",'P28'!$E10&amp;" "&amp;CHAR(10)&amp;'P28'!$F10,'P28'!$E10)</f>
        <v>0</v>
      </c>
      <c r="AH14" s="89">
        <f>IF('P29'!$E10&gt;"",'P29'!$E10&amp;" "&amp;CHAR(10)&amp;'P29'!$F10,'P29'!$E10)</f>
        <v>0</v>
      </c>
      <c r="AI14" s="89">
        <f>IF('P30'!$E10&gt;"",'P30'!$E10&amp;" "&amp;CHAR(10)&amp;'P30'!$F10,'P30'!$E10)</f>
        <v>0</v>
      </c>
      <c r="AJ14" s="89">
        <f>IF('P31'!$E10&gt;"",'P31'!$E10&amp;" "&amp;CHAR(10)&amp;'P31'!$F10,'P31'!$E10)</f>
        <v>0</v>
      </c>
      <c r="AK14" s="89">
        <f>IF('P32'!$E10&gt;"",'P32'!$E10&amp;" "&amp;CHAR(10)&amp;'P32'!$F10,'P32'!$E10)</f>
        <v>0</v>
      </c>
      <c r="AL14" s="89">
        <f>IF('P33'!$E10&gt;"",'P33'!$E10&amp;" "&amp;CHAR(10)&amp;'P33'!$F10,'P33'!$E10)</f>
        <v>0</v>
      </c>
      <c r="AM14" s="89">
        <f>IF('P34'!$E10&gt;"",'P34'!$E10&amp;" "&amp;CHAR(10)&amp;'P34'!$F10,'P34'!$E10)</f>
        <v>0</v>
      </c>
      <c r="AN14" s="89">
        <f>IF('P35'!$E10&gt;"",'P35'!$E10&amp;" "&amp;CHAR(10)&amp;'P35'!$F10,'P35'!$E10)</f>
        <v>0</v>
      </c>
      <c r="AO14" s="89">
        <f>IF('P36'!$E10&gt;"",'P36'!$E10&amp;" "&amp;CHAR(10)&amp;'P36'!$F10,'P36'!$E10)</f>
        <v>0</v>
      </c>
      <c r="AP14" s="89">
        <f>IF('P37'!$E10&gt;"",'P37'!$E10&amp;" "&amp;CHAR(10)&amp;'P37'!$F10,'P37'!$E10)</f>
        <v>0</v>
      </c>
      <c r="AQ14" s="89">
        <f>IF('P38'!$E10&gt;"",'P38'!$E10&amp;" "&amp;CHAR(10)&amp;'P38'!$F10,'P38'!$E10)</f>
        <v>0</v>
      </c>
      <c r="AR14" s="89">
        <f>IF('P39'!$E10&gt;"",'P39'!$E10&amp;" "&amp;CHAR(10)&amp;'P39'!$F10,'P39'!$E10)</f>
        <v>0</v>
      </c>
      <c r="AS14" s="89">
        <f>IF('P40'!$E10&gt;"",'P40'!$E10&amp;" "&amp;CHAR(10)&amp;'P40'!$F10,'P40'!$E10)</f>
        <v>0</v>
      </c>
      <c r="AT14" s="55">
        <f t="shared" si="5"/>
        <v>0</v>
      </c>
      <c r="AU14" s="9">
        <f t="shared" si="6"/>
        <v>0</v>
      </c>
      <c r="AV14" s="55">
        <f t="shared" si="7"/>
        <v>0</v>
      </c>
      <c r="AW14" s="38" t="str">
        <f t="shared" si="8"/>
        <v>NT</v>
      </c>
      <c r="AX14" s="39"/>
      <c r="AY14" s="10"/>
      <c r="AZ14" s="10"/>
      <c r="BA14" s="10" t="str">
        <f>IF('P01'!$G10&lt;&gt;"", 'P01'!$G10, "non")</f>
        <v>non</v>
      </c>
      <c r="BB14" s="10" t="str">
        <f>IF('P02'!$G10&lt;&gt;"", 'P02'!$G10, "non")</f>
        <v>non</v>
      </c>
      <c r="BC14" s="10" t="str">
        <f>IF('P03'!$G10&lt;&gt;"", 'P03'!$G10, "non")</f>
        <v>non</v>
      </c>
      <c r="BD14" s="10" t="str">
        <f>IF('P04'!$G10&lt;&gt;"", 'P04'!$G10, "non")</f>
        <v>non</v>
      </c>
      <c r="BE14" s="10" t="str">
        <f>IF('P05'!$G10&lt;&gt;"", 'P05'!$G10, "non")</f>
        <v>non</v>
      </c>
      <c r="BF14" s="10" t="str">
        <f>IF('P06'!$G10&lt;&gt;"", 'P06'!$G10, "non")</f>
        <v>non</v>
      </c>
      <c r="BG14" s="10" t="str">
        <f>IF('P07'!$G10&lt;&gt;"", 'P07'!$G10, "non")</f>
        <v>non</v>
      </c>
      <c r="BH14" s="10" t="str">
        <f>IF('P08'!$G10&lt;&gt;"", 'P08'!$G10, "non")</f>
        <v>non</v>
      </c>
      <c r="BI14" s="10" t="str">
        <f>IF('P09'!$G10&lt;&gt;"", 'P09'!$G10, "non")</f>
        <v>non</v>
      </c>
      <c r="BJ14" s="10" t="str">
        <f>IF('P10'!$G10&lt;&gt;"", 'P10'!$G10, "non")</f>
        <v>non</v>
      </c>
      <c r="BK14" s="10" t="str">
        <f>IF('P11'!$G10&lt;&gt;"", 'P11'!$G10, "non")</f>
        <v>non</v>
      </c>
      <c r="BL14" s="10" t="str">
        <f>IF('P12'!$G10&lt;&gt;"", 'P12'!$G10, "non")</f>
        <v>non</v>
      </c>
      <c r="BM14" s="10" t="str">
        <f>IF('P13'!$G10&lt;&gt;"", 'P13'!$G10, "non")</f>
        <v>non</v>
      </c>
      <c r="BN14" s="10" t="str">
        <f>IF('P14'!$G10&lt;&gt;"", 'P14'!$G10, "non")</f>
        <v>non</v>
      </c>
      <c r="BO14" s="10" t="str">
        <f>IF('P15'!$G10&lt;&gt;"", 'P15'!$G10, "non")</f>
        <v>non</v>
      </c>
      <c r="BP14" s="10" t="str">
        <f>IF('P16'!$G10&lt;&gt;"", 'P16'!$G10, "non")</f>
        <v>non</v>
      </c>
      <c r="BQ14" s="10" t="str">
        <f>IF('P17'!$G10&lt;&gt;"", 'P17'!$G10, "non")</f>
        <v>non</v>
      </c>
      <c r="BR14" s="10" t="str">
        <f>IF('P18'!$G10&lt;&gt;"", 'P18'!$G10, "non")</f>
        <v>non</v>
      </c>
      <c r="BS14" s="10" t="str">
        <f>IF('P19'!$G10&lt;&gt;"", 'P19'!$G10, "non")</f>
        <v>non</v>
      </c>
      <c r="BT14" s="11" t="str">
        <f>IF('P20'!$G10&lt;&gt;"", 'P20'!$G10, "non")</f>
        <v>non</v>
      </c>
      <c r="BU14" s="10" t="str">
        <f>IF('P21'!$G10&lt;&gt;"", 'P21'!$G10, "non")</f>
        <v>non</v>
      </c>
      <c r="BV14" s="11" t="str">
        <f>IF('P22'!$G10&lt;&gt;"", 'P22'!$G10, "non")</f>
        <v>non</v>
      </c>
      <c r="BW14" s="10" t="str">
        <f>IF('P23'!$G10&lt;&gt;"", 'P23'!$G10, "non")</f>
        <v>non</v>
      </c>
      <c r="BX14" s="11" t="str">
        <f>IF('P24'!$G10&lt;&gt;"", 'P24'!$G10, "non")</f>
        <v>non</v>
      </c>
      <c r="BY14" s="10" t="str">
        <f>IF('P25'!$G10&lt;&gt;"", 'P25'!$G10, "non")</f>
        <v>non</v>
      </c>
      <c r="BZ14" s="11" t="str">
        <f>IF('P26'!$G10&lt;&gt;"", 'P26'!$G10, "non")</f>
        <v>non</v>
      </c>
      <c r="CA14" s="10" t="str">
        <f>IF('P27'!$G10&lt;&gt;"", 'P27'!$G10, "non")</f>
        <v>non</v>
      </c>
      <c r="CB14" s="11" t="str">
        <f>IF('P28'!$G10&lt;&gt;"", 'P28'!$G10, "non")</f>
        <v>non</v>
      </c>
      <c r="CC14" s="10" t="str">
        <f>IF('P29'!$G10&lt;&gt;"", 'P29'!$G10, "non")</f>
        <v>non</v>
      </c>
      <c r="CD14" s="11" t="str">
        <f>IF('P30'!$G10&lt;&gt;"", 'P30'!$G10, "non")</f>
        <v>non</v>
      </c>
      <c r="CE14" s="10" t="str">
        <f>IF('P31'!$G10&lt;&gt;"", 'P31'!$G10, "non")</f>
        <v>non</v>
      </c>
      <c r="CF14" s="11" t="str">
        <f>IF('P32'!$G10&lt;&gt;"", 'P32'!$G10, "non")</f>
        <v>non</v>
      </c>
      <c r="CG14" s="10" t="str">
        <f>IF('P33'!$G10&lt;&gt;"", 'P33'!$G10, "non")</f>
        <v>non</v>
      </c>
      <c r="CH14" s="10" t="str">
        <f>IF('P34'!$G10&lt;&gt;"", 'P34'!$G10, "non")</f>
        <v>non</v>
      </c>
      <c r="CI14" s="11" t="str">
        <f>IF('P35'!$G10&lt;&gt;"", 'P35'!$G10, "non")</f>
        <v>non</v>
      </c>
      <c r="CJ14" s="10" t="str">
        <f>IF('P36'!$G10&lt;&gt;"", 'P36'!$G10, "non")</f>
        <v>non</v>
      </c>
      <c r="CK14" s="11" t="str">
        <f>IF('P37'!$G10&lt;&gt;"", 'P37'!$G10, "non")</f>
        <v>non</v>
      </c>
      <c r="CL14" s="10" t="str">
        <f>IF('P38'!$G10&lt;&gt;"", 'P38'!$G10, "non")</f>
        <v>non</v>
      </c>
      <c r="CM14" s="11" t="str">
        <f>IF('P39'!$G10&lt;&gt;"", 'P39'!$G10, "non")</f>
        <v>non</v>
      </c>
      <c r="CN14" s="10" t="str">
        <f>IF('P40'!$G10&lt;&gt;"", 'P40'!$G10, "non")</f>
        <v>non</v>
      </c>
    </row>
    <row r="15" spans="1:93" s="6" customFormat="1" ht="39.75" customHeight="1">
      <c r="A15" s="122" t="str">
        <f>'Critères et tests'!B10</f>
        <v>IMAGES</v>
      </c>
      <c r="B15" s="124" t="str">
        <f>'Critères et tests'!$A10</f>
        <v>1.8</v>
      </c>
      <c r="C15" s="192" t="str">
        <f>VLOOKUP(B15,'Critères et tests'!$1:$1048576,5,FALSE)</f>
        <v>Chaque image texte porteuse d’information, en l’absence d’un mécanisme de remplacement, doit si possible être remplacée par du texte stylé. Cette règle est-elle respectée (hors cas particuliers) ?</v>
      </c>
      <c r="D15" s="124" t="str">
        <f>'Critères et tests'!$C10</f>
        <v>AA</v>
      </c>
      <c r="E15" s="156" t="s">
        <v>460</v>
      </c>
      <c r="F15" s="88">
        <f>IF('P01'!$E11&gt;"",'P01'!$E11&amp;" "&amp;CHAR(10)&amp;'P01'!$F11,'P01'!$E11)</f>
        <v>0</v>
      </c>
      <c r="G15" s="89">
        <f>IF('P02'!$E11&gt;"",'P02'!$E11&amp;" "&amp;CHAR(10)&amp;'P02'!$F11,'P02'!$E11)</f>
        <v>0</v>
      </c>
      <c r="H15" s="89">
        <f>IF('P03'!$E11&gt;"",'P03'!$E11&amp;" "&amp;CHAR(10)&amp;'P03'!$F11,'P03'!$E11)</f>
        <v>0</v>
      </c>
      <c r="I15" s="89">
        <f>IF('P04'!$E11&gt;"",'P04'!$E11&amp;" "&amp;CHAR(10)&amp;'P04'!$F11,'P04'!$E11)</f>
        <v>0</v>
      </c>
      <c r="J15" s="89">
        <f>IF('P05'!$E11&gt;"",'P05'!$E11&amp;" "&amp;CHAR(10)&amp;'P05'!$F11,'P05'!$E11)</f>
        <v>0</v>
      </c>
      <c r="K15" s="89">
        <f>IF('P06'!$E11&gt;"",'P06'!$E11&amp;" "&amp;CHAR(10)&amp;'P06'!$F11,'P06'!$E11)</f>
        <v>0</v>
      </c>
      <c r="L15" s="89">
        <f>IF('P07'!$E11&gt;"",'P07'!$E11&amp;" "&amp;CHAR(10)&amp;'P07'!$F11,'P07'!$E11)</f>
        <v>0</v>
      </c>
      <c r="M15" s="89">
        <f>IF('P08'!$E11&gt;"",'P08'!$E11&amp;" "&amp;CHAR(10)&amp;'P08'!$F11,'P08'!$E11)</f>
        <v>0</v>
      </c>
      <c r="N15" s="89">
        <f>IF('P09'!$E11&gt;"",'P09'!$E11&amp;" "&amp;CHAR(10)&amp;'P09'!$F11,'P09'!$E11)</f>
        <v>0</v>
      </c>
      <c r="O15" s="89">
        <f>IF('P10'!$E11&gt;"",'P10'!$E11&amp;" "&amp;CHAR(10)&amp;'P10'!$F11,'P10'!$E11)</f>
        <v>0</v>
      </c>
      <c r="P15" s="89">
        <f>IF('P11'!$E11&gt;"",'P11'!$E11&amp;" "&amp;CHAR(10)&amp;'P11'!$F11,'P11'!$E11)</f>
        <v>0</v>
      </c>
      <c r="Q15" s="89">
        <f>IF('P12'!$E11&gt;"",'P12'!$E11&amp;" "&amp;CHAR(10)&amp;'P12'!$F11,'P12'!$E11)</f>
        <v>0</v>
      </c>
      <c r="R15" s="89">
        <f>IF('P13'!$E11&gt;"",'P13'!$E11&amp;" "&amp;CHAR(10)&amp;'P13'!$F11,'P13'!$E11)</f>
        <v>0</v>
      </c>
      <c r="S15" s="89">
        <f>IF('P14'!$E11&gt;"",'P14'!$E11&amp;" "&amp;CHAR(10)&amp;'P14'!$F11,'P14'!$E11)</f>
        <v>0</v>
      </c>
      <c r="T15" s="89">
        <f>IF('P15'!$E11&gt;"",'P15'!$E11&amp;" "&amp;CHAR(10)&amp;'P15'!$F11,'P15'!$E11)</f>
        <v>0</v>
      </c>
      <c r="U15" s="89">
        <f>IF('P16'!$E11&gt;"",'P16'!$E11&amp;" "&amp;CHAR(10)&amp;'P16'!$F11,'P16'!$E11)</f>
        <v>0</v>
      </c>
      <c r="V15" s="89">
        <f>IF('P17'!$E11&gt;"",'P17'!$E11&amp;" "&amp;CHAR(10)&amp;'P17'!$F11,'P17'!$E11)</f>
        <v>0</v>
      </c>
      <c r="W15" s="89">
        <f>IF('P18'!$E11&gt;"",'P18'!$E11&amp;" "&amp;CHAR(10)&amp;'P18'!$F11,'P18'!$E11)</f>
        <v>0</v>
      </c>
      <c r="X15" s="89">
        <f>IF('P19'!$E11&gt;"",'P19'!$E11&amp;" "&amp;CHAR(10)&amp;'P19'!$F11,'P19'!$E11)</f>
        <v>0</v>
      </c>
      <c r="Y15" s="89">
        <f>IF('P20'!$E11&gt;"",'P20'!$E11&amp;" "&amp;CHAR(10)&amp;'P20'!$F11,'P20'!$E11)</f>
        <v>0</v>
      </c>
      <c r="Z15" s="89">
        <f>IF('P21'!$E11&gt;"",'P21'!$E11&amp;" "&amp;CHAR(10)&amp;'P21'!$F11,'P21'!$E11)</f>
        <v>0</v>
      </c>
      <c r="AA15" s="89">
        <f>IF('P22'!$E11&gt;"",'P22'!$E11&amp;" "&amp;CHAR(10)&amp;'P22'!$F11,'P22'!$E11)</f>
        <v>0</v>
      </c>
      <c r="AB15" s="89">
        <f>IF('P23'!$E11&gt;"",'P23'!$E11&amp;" "&amp;CHAR(10)&amp;'P23'!$F11,'P23'!$E11)</f>
        <v>0</v>
      </c>
      <c r="AC15" s="89">
        <f>IF('P24'!$E11&gt;"",'P24'!$E11&amp;" "&amp;CHAR(10)&amp;'P24'!$F11,'P24'!$E11)</f>
        <v>0</v>
      </c>
      <c r="AD15" s="89">
        <f>IF('P25'!$E11&gt;"",'P25'!$E11&amp;" "&amp;CHAR(10)&amp;'P25'!$F11,'P25'!$E11)</f>
        <v>0</v>
      </c>
      <c r="AE15" s="89">
        <f>IF('P26'!$E11&gt;"",'P26'!$E11&amp;" "&amp;CHAR(10)&amp;'P26'!$F11,'P26'!$E11)</f>
        <v>0</v>
      </c>
      <c r="AF15" s="89">
        <f>IF('P27'!$E11&gt;"",'P27'!$E11&amp;" "&amp;CHAR(10)&amp;'P27'!$F11,'P27'!$E11)</f>
        <v>0</v>
      </c>
      <c r="AG15" s="89">
        <f>IF('P28'!$E11&gt;"",'P28'!$E11&amp;" "&amp;CHAR(10)&amp;'P28'!$F11,'P28'!$E11)</f>
        <v>0</v>
      </c>
      <c r="AH15" s="89">
        <f>IF('P29'!$E11&gt;"",'P29'!$E11&amp;" "&amp;CHAR(10)&amp;'P29'!$F11,'P29'!$E11)</f>
        <v>0</v>
      </c>
      <c r="AI15" s="89">
        <f>IF('P30'!$E11&gt;"",'P30'!$E11&amp;" "&amp;CHAR(10)&amp;'P30'!$F11,'P30'!$E11)</f>
        <v>0</v>
      </c>
      <c r="AJ15" s="89">
        <f>IF('P31'!$E11&gt;"",'P31'!$E11&amp;" "&amp;CHAR(10)&amp;'P31'!$F11,'P31'!$E11)</f>
        <v>0</v>
      </c>
      <c r="AK15" s="89">
        <f>IF('P32'!$E11&gt;"",'P32'!$E11&amp;" "&amp;CHAR(10)&amp;'P32'!$F11,'P32'!$E11)</f>
        <v>0</v>
      </c>
      <c r="AL15" s="89">
        <f>IF('P33'!$E11&gt;"",'P33'!$E11&amp;" "&amp;CHAR(10)&amp;'P33'!$F11,'P33'!$E11)</f>
        <v>0</v>
      </c>
      <c r="AM15" s="89">
        <f>IF('P34'!$E11&gt;"",'P34'!$E11&amp;" "&amp;CHAR(10)&amp;'P34'!$F11,'P34'!$E11)</f>
        <v>0</v>
      </c>
      <c r="AN15" s="89">
        <f>IF('P35'!$E11&gt;"",'P35'!$E11&amp;" "&amp;CHAR(10)&amp;'P35'!$F11,'P35'!$E11)</f>
        <v>0</v>
      </c>
      <c r="AO15" s="89">
        <f>IF('P36'!$E11&gt;"",'P36'!$E11&amp;" "&amp;CHAR(10)&amp;'P36'!$F11,'P36'!$E11)</f>
        <v>0</v>
      </c>
      <c r="AP15" s="89">
        <f>IF('P37'!$E11&gt;"",'P37'!$E11&amp;" "&amp;CHAR(10)&amp;'P37'!$F11,'P37'!$E11)</f>
        <v>0</v>
      </c>
      <c r="AQ15" s="89">
        <f>IF('P38'!$E11&gt;"",'P38'!$E11&amp;" "&amp;CHAR(10)&amp;'P38'!$F11,'P38'!$E11)</f>
        <v>0</v>
      </c>
      <c r="AR15" s="89">
        <f>IF('P39'!$E11&gt;"",'P39'!$E11&amp;" "&amp;CHAR(10)&amp;'P39'!$F11,'P39'!$E11)</f>
        <v>0</v>
      </c>
      <c r="AS15" s="89">
        <f>IF('P40'!$E11&gt;"",'P40'!$E11&amp;" "&amp;CHAR(10)&amp;'P40'!$F11,'P40'!$E11)</f>
        <v>0</v>
      </c>
      <c r="AT15" s="55">
        <f t="shared" si="5"/>
        <v>0</v>
      </c>
      <c r="AU15" s="9">
        <f t="shared" si="6"/>
        <v>0</v>
      </c>
      <c r="AV15" s="55">
        <f t="shared" si="7"/>
        <v>0</v>
      </c>
      <c r="AW15" s="38" t="str">
        <f t="shared" si="8"/>
        <v>NT</v>
      </c>
      <c r="AX15" s="39"/>
      <c r="AY15" s="10"/>
      <c r="AZ15" s="10"/>
      <c r="BA15" s="10" t="str">
        <f>IF('P01'!$G11&lt;&gt;"", 'P01'!$G11, "non")</f>
        <v>non</v>
      </c>
      <c r="BB15" s="10" t="str">
        <f>IF('P02'!$G11&lt;&gt;"", 'P02'!$G11, "non")</f>
        <v>non</v>
      </c>
      <c r="BC15" s="10" t="str">
        <f>IF('P03'!$G11&lt;&gt;"", 'P03'!$G11, "non")</f>
        <v>non</v>
      </c>
      <c r="BD15" s="10" t="str">
        <f>IF('P04'!$G11&lt;&gt;"", 'P04'!$G11, "non")</f>
        <v>non</v>
      </c>
      <c r="BE15" s="10" t="str">
        <f>IF('P05'!$G11&lt;&gt;"", 'P05'!$G11, "non")</f>
        <v>non</v>
      </c>
      <c r="BF15" s="10" t="str">
        <f>IF('P06'!$G11&lt;&gt;"", 'P06'!$G11, "non")</f>
        <v>non</v>
      </c>
      <c r="BG15" s="10" t="str">
        <f>IF('P07'!$G11&lt;&gt;"", 'P07'!$G11, "non")</f>
        <v>non</v>
      </c>
      <c r="BH15" s="10" t="str">
        <f>IF('P08'!$G11&lt;&gt;"", 'P08'!$G11, "non")</f>
        <v>non</v>
      </c>
      <c r="BI15" s="10" t="str">
        <f>IF('P09'!$G11&lt;&gt;"", 'P09'!$G11, "non")</f>
        <v>non</v>
      </c>
      <c r="BJ15" s="10" t="str">
        <f>IF('P10'!$G11&lt;&gt;"", 'P10'!$G11, "non")</f>
        <v>non</v>
      </c>
      <c r="BK15" s="10" t="str">
        <f>IF('P11'!$G11&lt;&gt;"", 'P11'!$G11, "non")</f>
        <v>non</v>
      </c>
      <c r="BL15" s="10" t="str">
        <f>IF('P12'!$G11&lt;&gt;"", 'P12'!$G11, "non")</f>
        <v>non</v>
      </c>
      <c r="BM15" s="10" t="str">
        <f>IF('P13'!$G11&lt;&gt;"", 'P13'!$G11, "non")</f>
        <v>non</v>
      </c>
      <c r="BN15" s="10" t="str">
        <f>IF('P14'!$G11&lt;&gt;"", 'P14'!$G11, "non")</f>
        <v>non</v>
      </c>
      <c r="BO15" s="10" t="str">
        <f>IF('P15'!$G11&lt;&gt;"", 'P15'!$G11, "non")</f>
        <v>non</v>
      </c>
      <c r="BP15" s="10" t="str">
        <f>IF('P16'!$G11&lt;&gt;"", 'P16'!$G11, "non")</f>
        <v>non</v>
      </c>
      <c r="BQ15" s="10" t="str">
        <f>IF('P17'!$G11&lt;&gt;"", 'P17'!$G11, "non")</f>
        <v>non</v>
      </c>
      <c r="BR15" s="10" t="str">
        <f>IF('P18'!$G11&lt;&gt;"", 'P18'!$G11, "non")</f>
        <v>non</v>
      </c>
      <c r="BS15" s="10" t="str">
        <f>IF('P19'!$G11&lt;&gt;"", 'P19'!$G11, "non")</f>
        <v>non</v>
      </c>
      <c r="BT15" s="11" t="str">
        <f>IF('P20'!$G11&lt;&gt;"", 'P20'!$G11, "non")</f>
        <v>non</v>
      </c>
      <c r="BU15" s="10" t="str">
        <f>IF('P21'!$G11&lt;&gt;"", 'P21'!$G11, "non")</f>
        <v>non</v>
      </c>
      <c r="BV15" s="11" t="str">
        <f>IF('P22'!$G11&lt;&gt;"", 'P22'!$G11, "non")</f>
        <v>non</v>
      </c>
      <c r="BW15" s="10" t="str">
        <f>IF('P23'!$G11&lt;&gt;"", 'P23'!$G11, "non")</f>
        <v>non</v>
      </c>
      <c r="BX15" s="11" t="str">
        <f>IF('P24'!$G11&lt;&gt;"", 'P24'!$G11, "non")</f>
        <v>non</v>
      </c>
      <c r="BY15" s="10" t="str">
        <f>IF('P25'!$G11&lt;&gt;"", 'P25'!$G11, "non")</f>
        <v>non</v>
      </c>
      <c r="BZ15" s="11" t="str">
        <f>IF('P26'!$G11&lt;&gt;"", 'P26'!$G11, "non")</f>
        <v>non</v>
      </c>
      <c r="CA15" s="10" t="str">
        <f>IF('P27'!$G11&lt;&gt;"", 'P27'!$G11, "non")</f>
        <v>non</v>
      </c>
      <c r="CB15" s="11" t="str">
        <f>IF('P28'!$G11&lt;&gt;"", 'P28'!$G11, "non")</f>
        <v>non</v>
      </c>
      <c r="CC15" s="10" t="str">
        <f>IF('P29'!$G11&lt;&gt;"", 'P29'!$G11, "non")</f>
        <v>non</v>
      </c>
      <c r="CD15" s="11" t="str">
        <f>IF('P30'!$G11&lt;&gt;"", 'P30'!$G11, "non")</f>
        <v>non</v>
      </c>
      <c r="CE15" s="10" t="str">
        <f>IF('P31'!$G11&lt;&gt;"", 'P31'!$G11, "non")</f>
        <v>non</v>
      </c>
      <c r="CF15" s="11" t="str">
        <f>IF('P32'!$G11&lt;&gt;"", 'P32'!$G11, "non")</f>
        <v>non</v>
      </c>
      <c r="CG15" s="10" t="str">
        <f>IF('P33'!$G11&lt;&gt;"", 'P33'!$G11, "non")</f>
        <v>non</v>
      </c>
      <c r="CH15" s="10" t="str">
        <f>IF('P34'!$G11&lt;&gt;"", 'P34'!$G11, "non")</f>
        <v>non</v>
      </c>
      <c r="CI15" s="11" t="str">
        <f>IF('P35'!$G11&lt;&gt;"", 'P35'!$G11, "non")</f>
        <v>non</v>
      </c>
      <c r="CJ15" s="10" t="str">
        <f>IF('P36'!$G11&lt;&gt;"", 'P36'!$G11, "non")</f>
        <v>non</v>
      </c>
      <c r="CK15" s="11" t="str">
        <f>IF('P37'!$G11&lt;&gt;"", 'P37'!$G11, "non")</f>
        <v>non</v>
      </c>
      <c r="CL15" s="10" t="str">
        <f>IF('P38'!$G11&lt;&gt;"", 'P38'!$G11, "non")</f>
        <v>non</v>
      </c>
      <c r="CM15" s="11" t="str">
        <f>IF('P39'!$G11&lt;&gt;"", 'P39'!$G11, "non")</f>
        <v>non</v>
      </c>
      <c r="CN15" s="10" t="str">
        <f>IF('P40'!$G11&lt;&gt;"", 'P40'!$G11, "non")</f>
        <v>non</v>
      </c>
    </row>
    <row r="16" spans="1:93" s="6" customFormat="1" ht="39.75" customHeight="1">
      <c r="A16" s="122" t="str">
        <f>'Critères et tests'!B11</f>
        <v>IMAGES</v>
      </c>
      <c r="B16" s="124" t="str">
        <f>'Critères et tests'!$A11</f>
        <v>1.9</v>
      </c>
      <c r="C16" s="192" t="str">
        <f>VLOOKUP(B16,'Critères et tests'!$1:$1048576,5,FALSE)</f>
        <v>Chaque légende d’image est-elle, si nécessaire, correctement reliée à l’image correspondante ?</v>
      </c>
      <c r="D16" s="124" t="str">
        <f>'Critères et tests'!$C11</f>
        <v>A</v>
      </c>
      <c r="E16" s="156" t="s">
        <v>460</v>
      </c>
      <c r="F16" s="88">
        <f>IF('P01'!$E12&gt;"",'P01'!$E12&amp;" "&amp;CHAR(10)&amp;'P01'!$F12,'P01'!$E12)</f>
        <v>0</v>
      </c>
      <c r="G16" s="89">
        <f>IF('P02'!$E12&gt;"",'P02'!$E12&amp;" "&amp;CHAR(10)&amp;'P02'!$F12,'P02'!$E12)</f>
        <v>0</v>
      </c>
      <c r="H16" s="89">
        <f>IF('P03'!$E12&gt;"",'P03'!$E12&amp;" "&amp;CHAR(10)&amp;'P03'!$F12,'P03'!$E12)</f>
        <v>0</v>
      </c>
      <c r="I16" s="89">
        <f>IF('P04'!$E12&gt;"",'P04'!$E12&amp;" "&amp;CHAR(10)&amp;'P04'!$F12,'P04'!$E12)</f>
        <v>0</v>
      </c>
      <c r="J16" s="89">
        <f>IF('P05'!$E12&gt;"",'P05'!$E12&amp;" "&amp;CHAR(10)&amp;'P05'!$F12,'P05'!$E12)</f>
        <v>0</v>
      </c>
      <c r="K16" s="89">
        <f>IF('P06'!$E12&gt;"",'P06'!$E12&amp;" "&amp;CHAR(10)&amp;'P06'!$F12,'P06'!$E12)</f>
        <v>0</v>
      </c>
      <c r="L16" s="89">
        <f>IF('P07'!$E12&gt;"",'P07'!$E12&amp;" "&amp;CHAR(10)&amp;'P07'!$F12,'P07'!$E12)</f>
        <v>0</v>
      </c>
      <c r="M16" s="89">
        <f>IF('P08'!$E12&gt;"",'P08'!$E12&amp;" "&amp;CHAR(10)&amp;'P08'!$F12,'P08'!$E12)</f>
        <v>0</v>
      </c>
      <c r="N16" s="89">
        <f>IF('P09'!$E12&gt;"",'P09'!$E12&amp;" "&amp;CHAR(10)&amp;'P09'!$F12,'P09'!$E12)</f>
        <v>0</v>
      </c>
      <c r="O16" s="89">
        <f>IF('P10'!$E12&gt;"",'P10'!$E12&amp;" "&amp;CHAR(10)&amp;'P10'!$F12,'P10'!$E12)</f>
        <v>0</v>
      </c>
      <c r="P16" s="89">
        <f>IF('P11'!$E12&gt;"",'P11'!$E12&amp;" "&amp;CHAR(10)&amp;'P11'!$F12,'P11'!$E12)</f>
        <v>0</v>
      </c>
      <c r="Q16" s="89">
        <f>IF('P12'!$E12&gt;"",'P12'!$E12&amp;" "&amp;CHAR(10)&amp;'P12'!$F12,'P12'!$E12)</f>
        <v>0</v>
      </c>
      <c r="R16" s="89">
        <f>IF('P13'!$E12&gt;"",'P13'!$E12&amp;" "&amp;CHAR(10)&amp;'P13'!$F12,'P13'!$E12)</f>
        <v>0</v>
      </c>
      <c r="S16" s="89">
        <f>IF('P14'!$E12&gt;"",'P14'!$E12&amp;" "&amp;CHAR(10)&amp;'P14'!$F12,'P14'!$E12)</f>
        <v>0</v>
      </c>
      <c r="T16" s="89">
        <f>IF('P15'!$E12&gt;"",'P15'!$E12&amp;" "&amp;CHAR(10)&amp;'P15'!$F12,'P15'!$E12)</f>
        <v>0</v>
      </c>
      <c r="U16" s="89">
        <f>IF('P16'!$E12&gt;"",'P16'!$E12&amp;" "&amp;CHAR(10)&amp;'P16'!$F12,'P16'!$E12)</f>
        <v>0</v>
      </c>
      <c r="V16" s="89">
        <f>IF('P17'!$E12&gt;"",'P17'!$E12&amp;" "&amp;CHAR(10)&amp;'P17'!$F12,'P17'!$E12)</f>
        <v>0</v>
      </c>
      <c r="W16" s="89">
        <f>IF('P18'!$E12&gt;"",'P18'!$E12&amp;" "&amp;CHAR(10)&amp;'P18'!$F12,'P18'!$E12)</f>
        <v>0</v>
      </c>
      <c r="X16" s="89">
        <f>IF('P19'!$E12&gt;"",'P19'!$E12&amp;" "&amp;CHAR(10)&amp;'P19'!$F12,'P19'!$E12)</f>
        <v>0</v>
      </c>
      <c r="Y16" s="89">
        <f>IF('P20'!$E12&gt;"",'P20'!$E12&amp;" "&amp;CHAR(10)&amp;'P20'!$F12,'P20'!$E12)</f>
        <v>0</v>
      </c>
      <c r="Z16" s="89">
        <f>IF('P21'!$E12&gt;"",'P21'!$E12&amp;" "&amp;CHAR(10)&amp;'P21'!$F12,'P21'!$E12)</f>
        <v>0</v>
      </c>
      <c r="AA16" s="89">
        <f>IF('P22'!$E12&gt;"",'P22'!$E12&amp;" "&amp;CHAR(10)&amp;'P22'!$F12,'P22'!$E12)</f>
        <v>0</v>
      </c>
      <c r="AB16" s="89">
        <f>IF('P23'!$E12&gt;"",'P23'!$E12&amp;" "&amp;CHAR(10)&amp;'P23'!$F12,'P23'!$E12)</f>
        <v>0</v>
      </c>
      <c r="AC16" s="89">
        <f>IF('P24'!$E12&gt;"",'P24'!$E12&amp;" "&amp;CHAR(10)&amp;'P24'!$F12,'P24'!$E12)</f>
        <v>0</v>
      </c>
      <c r="AD16" s="89">
        <f>IF('P25'!$E12&gt;"",'P25'!$E12&amp;" "&amp;CHAR(10)&amp;'P25'!$F12,'P25'!$E12)</f>
        <v>0</v>
      </c>
      <c r="AE16" s="89">
        <f>IF('P26'!$E12&gt;"",'P26'!$E12&amp;" "&amp;CHAR(10)&amp;'P26'!$F12,'P26'!$E12)</f>
        <v>0</v>
      </c>
      <c r="AF16" s="89">
        <f>IF('P27'!$E12&gt;"",'P27'!$E12&amp;" "&amp;CHAR(10)&amp;'P27'!$F12,'P27'!$E12)</f>
        <v>0</v>
      </c>
      <c r="AG16" s="89">
        <f>IF('P28'!$E12&gt;"",'P28'!$E12&amp;" "&amp;CHAR(10)&amp;'P28'!$F12,'P28'!$E12)</f>
        <v>0</v>
      </c>
      <c r="AH16" s="89">
        <f>IF('P29'!$E12&gt;"",'P29'!$E12&amp;" "&amp;CHAR(10)&amp;'P29'!$F12,'P29'!$E12)</f>
        <v>0</v>
      </c>
      <c r="AI16" s="89">
        <f>IF('P30'!$E12&gt;"",'P30'!$E12&amp;" "&amp;CHAR(10)&amp;'P30'!$F12,'P30'!$E12)</f>
        <v>0</v>
      </c>
      <c r="AJ16" s="89">
        <f>IF('P31'!$E12&gt;"",'P31'!$E12&amp;" "&amp;CHAR(10)&amp;'P31'!$F12,'P31'!$E12)</f>
        <v>0</v>
      </c>
      <c r="AK16" s="89">
        <f>IF('P32'!$E12&gt;"",'P32'!$E12&amp;" "&amp;CHAR(10)&amp;'P32'!$F12,'P32'!$E12)</f>
        <v>0</v>
      </c>
      <c r="AL16" s="89">
        <f>IF('P33'!$E12&gt;"",'P33'!$E12&amp;" "&amp;CHAR(10)&amp;'P33'!$F12,'P33'!$E12)</f>
        <v>0</v>
      </c>
      <c r="AM16" s="89">
        <f>IF('P34'!$E12&gt;"",'P34'!$E12&amp;" "&amp;CHAR(10)&amp;'P34'!$F12,'P34'!$E12)</f>
        <v>0</v>
      </c>
      <c r="AN16" s="89">
        <f>IF('P35'!$E12&gt;"",'P35'!$E12&amp;" "&amp;CHAR(10)&amp;'P35'!$F12,'P35'!$E12)</f>
        <v>0</v>
      </c>
      <c r="AO16" s="89">
        <f>IF('P36'!$E12&gt;"",'P36'!$E12&amp;" "&amp;CHAR(10)&amp;'P36'!$F12,'P36'!$E12)</f>
        <v>0</v>
      </c>
      <c r="AP16" s="89">
        <f>IF('P37'!$E12&gt;"",'P37'!$E12&amp;" "&amp;CHAR(10)&amp;'P37'!$F12,'P37'!$E12)</f>
        <v>0</v>
      </c>
      <c r="AQ16" s="89">
        <f>IF('P38'!$E12&gt;"",'P38'!$E12&amp;" "&amp;CHAR(10)&amp;'P38'!$F12,'P38'!$E12)</f>
        <v>0</v>
      </c>
      <c r="AR16" s="89">
        <f>IF('P39'!$E12&gt;"",'P39'!$E12&amp;" "&amp;CHAR(10)&amp;'P39'!$F12,'P39'!$E12)</f>
        <v>0</v>
      </c>
      <c r="AS16" s="89">
        <f>IF('P40'!$E12&gt;"",'P40'!$E12&amp;" "&amp;CHAR(10)&amp;'P40'!$F12,'P40'!$E12)</f>
        <v>0</v>
      </c>
      <c r="AT16" s="55">
        <f t="shared" si="5"/>
        <v>0</v>
      </c>
      <c r="AU16" s="9">
        <f t="shared" si="6"/>
        <v>0</v>
      </c>
      <c r="AV16" s="55">
        <f t="shared" si="7"/>
        <v>0</v>
      </c>
      <c r="AW16" s="38" t="str">
        <f t="shared" si="8"/>
        <v>NT</v>
      </c>
      <c r="AX16" s="39"/>
      <c r="AY16" s="10"/>
      <c r="AZ16" s="10"/>
      <c r="BA16" s="10" t="str">
        <f>IF('P01'!$G12&lt;&gt;"", 'P01'!$G12, "non")</f>
        <v>non</v>
      </c>
      <c r="BB16" s="10" t="str">
        <f>IF('P02'!$G12&lt;&gt;"", 'P02'!$G12, "non")</f>
        <v>non</v>
      </c>
      <c r="BC16" s="10" t="str">
        <f>IF('P03'!$G12&lt;&gt;"", 'P03'!$G12, "non")</f>
        <v>non</v>
      </c>
      <c r="BD16" s="10" t="str">
        <f>IF('P04'!$G12&lt;&gt;"", 'P04'!$G12, "non")</f>
        <v>non</v>
      </c>
      <c r="BE16" s="10" t="str">
        <f>IF('P05'!$G12&lt;&gt;"", 'P05'!$G12, "non")</f>
        <v>non</v>
      </c>
      <c r="BF16" s="10" t="str">
        <f>IF('P06'!$G12&lt;&gt;"", 'P06'!$G12, "non")</f>
        <v>non</v>
      </c>
      <c r="BG16" s="10" t="str">
        <f>IF('P07'!$G12&lt;&gt;"", 'P07'!$G12, "non")</f>
        <v>non</v>
      </c>
      <c r="BH16" s="10" t="str">
        <f>IF('P08'!$G12&lt;&gt;"", 'P08'!$G12, "non")</f>
        <v>non</v>
      </c>
      <c r="BI16" s="10" t="str">
        <f>IF('P09'!$G12&lt;&gt;"", 'P09'!$G12, "non")</f>
        <v>non</v>
      </c>
      <c r="BJ16" s="10" t="str">
        <f>IF('P10'!$G12&lt;&gt;"", 'P10'!$G12, "non")</f>
        <v>non</v>
      </c>
      <c r="BK16" s="10" t="str">
        <f>IF('P11'!$G12&lt;&gt;"", 'P11'!$G12, "non")</f>
        <v>non</v>
      </c>
      <c r="BL16" s="10" t="str">
        <f>IF('P12'!$G12&lt;&gt;"", 'P12'!$G12, "non")</f>
        <v>non</v>
      </c>
      <c r="BM16" s="10" t="str">
        <f>IF('P13'!$G12&lt;&gt;"", 'P13'!$G12, "non")</f>
        <v>non</v>
      </c>
      <c r="BN16" s="10" t="str">
        <f>IF('P14'!$G12&lt;&gt;"", 'P14'!$G12, "non")</f>
        <v>non</v>
      </c>
      <c r="BO16" s="10" t="str">
        <f>IF('P15'!$G12&lt;&gt;"", 'P15'!$G12, "non")</f>
        <v>non</v>
      </c>
      <c r="BP16" s="10" t="str">
        <f>IF('P16'!$G12&lt;&gt;"", 'P16'!$G12, "non")</f>
        <v>non</v>
      </c>
      <c r="BQ16" s="10" t="str">
        <f>IF('P17'!$G12&lt;&gt;"", 'P17'!$G12, "non")</f>
        <v>non</v>
      </c>
      <c r="BR16" s="10" t="str">
        <f>IF('P18'!$G12&lt;&gt;"", 'P18'!$G12, "non")</f>
        <v>non</v>
      </c>
      <c r="BS16" s="10" t="str">
        <f>IF('P19'!$G12&lt;&gt;"", 'P19'!$G12, "non")</f>
        <v>non</v>
      </c>
      <c r="BT16" s="11" t="str">
        <f>IF('P20'!$G12&lt;&gt;"", 'P20'!$G12, "non")</f>
        <v>non</v>
      </c>
      <c r="BU16" s="10" t="str">
        <f>IF('P21'!$G12&lt;&gt;"", 'P21'!$G12, "non")</f>
        <v>non</v>
      </c>
      <c r="BV16" s="11" t="str">
        <f>IF('P22'!$G12&lt;&gt;"", 'P22'!$G12, "non")</f>
        <v>non</v>
      </c>
      <c r="BW16" s="10" t="str">
        <f>IF('P23'!$G12&lt;&gt;"", 'P23'!$G12, "non")</f>
        <v>non</v>
      </c>
      <c r="BX16" s="11" t="str">
        <f>IF('P24'!$G12&lt;&gt;"", 'P24'!$G12, "non")</f>
        <v>non</v>
      </c>
      <c r="BY16" s="10" t="str">
        <f>IF('P25'!$G12&lt;&gt;"", 'P25'!$G12, "non")</f>
        <v>non</v>
      </c>
      <c r="BZ16" s="11" t="str">
        <f>IF('P26'!$G12&lt;&gt;"", 'P26'!$G12, "non")</f>
        <v>non</v>
      </c>
      <c r="CA16" s="10" t="str">
        <f>IF('P27'!$G12&lt;&gt;"", 'P27'!$G12, "non")</f>
        <v>non</v>
      </c>
      <c r="CB16" s="11" t="str">
        <f>IF('P28'!$G12&lt;&gt;"", 'P28'!$G12, "non")</f>
        <v>non</v>
      </c>
      <c r="CC16" s="10" t="str">
        <f>IF('P29'!$G12&lt;&gt;"", 'P29'!$G12, "non")</f>
        <v>non</v>
      </c>
      <c r="CD16" s="11" t="str">
        <f>IF('P30'!$G12&lt;&gt;"", 'P30'!$G12, "non")</f>
        <v>non</v>
      </c>
      <c r="CE16" s="10" t="str">
        <f>IF('P31'!$G12&lt;&gt;"", 'P31'!$G12, "non")</f>
        <v>non</v>
      </c>
      <c r="CF16" s="11" t="str">
        <f>IF('P32'!$G12&lt;&gt;"", 'P32'!$G12, "non")</f>
        <v>non</v>
      </c>
      <c r="CG16" s="10" t="str">
        <f>IF('P33'!$G12&lt;&gt;"", 'P33'!$G12, "non")</f>
        <v>non</v>
      </c>
      <c r="CH16" s="10" t="str">
        <f>IF('P34'!$G12&lt;&gt;"", 'P34'!$G12, "non")</f>
        <v>non</v>
      </c>
      <c r="CI16" s="11" t="str">
        <f>IF('P35'!$G12&lt;&gt;"", 'P35'!$G12, "non")</f>
        <v>non</v>
      </c>
      <c r="CJ16" s="10" t="str">
        <f>IF('P36'!$G12&lt;&gt;"", 'P36'!$G12, "non")</f>
        <v>non</v>
      </c>
      <c r="CK16" s="11" t="str">
        <f>IF('P37'!$G12&lt;&gt;"", 'P37'!$G12, "non")</f>
        <v>non</v>
      </c>
      <c r="CL16" s="10" t="str">
        <f>IF('P38'!$G12&lt;&gt;"", 'P38'!$G12, "non")</f>
        <v>non</v>
      </c>
      <c r="CM16" s="11" t="str">
        <f>IF('P39'!$G12&lt;&gt;"", 'P39'!$G12, "non")</f>
        <v>non</v>
      </c>
      <c r="CN16" s="10" t="str">
        <f>IF('P40'!$G12&lt;&gt;"", 'P40'!$G12, "non")</f>
        <v>non</v>
      </c>
    </row>
    <row r="17" spans="1:92" s="6" customFormat="1" ht="39.75" customHeight="1">
      <c r="A17" s="122" t="str">
        <f>'Critères et tests'!B12</f>
        <v>CADRE</v>
      </c>
      <c r="B17" s="124" t="str">
        <f>'Critères et tests'!$A12</f>
        <v>2.1</v>
      </c>
      <c r="C17" s="192" t="str">
        <f>VLOOKUP(B17,'Critères et tests'!$1:$1048576,5,FALSE)</f>
        <v>Chaque cadre a-t-il un titre de cadre ?</v>
      </c>
      <c r="D17" s="124" t="str">
        <f>'Critères et tests'!$C12</f>
        <v>A</v>
      </c>
      <c r="E17" s="156" t="s">
        <v>460</v>
      </c>
      <c r="F17" s="88">
        <f>IF('P01'!$E13&gt;"",'P01'!$E13&amp;" "&amp;CHAR(10)&amp;'P01'!$F13,'P01'!$E13)</f>
        <v>0</v>
      </c>
      <c r="G17" s="89">
        <f>IF('P02'!$E13&gt;"",'P02'!$E13&amp;" "&amp;CHAR(10)&amp;'P02'!$F13,'P02'!$E13)</f>
        <v>0</v>
      </c>
      <c r="H17" s="89">
        <f>IF('P03'!$E13&gt;"",'P03'!$E13&amp;" "&amp;CHAR(10)&amp;'P03'!$F13,'P03'!$E13)</f>
        <v>0</v>
      </c>
      <c r="I17" s="89">
        <f>IF('P04'!$E13&gt;"",'P04'!$E13&amp;" "&amp;CHAR(10)&amp;'P04'!$F13,'P04'!$E13)</f>
        <v>0</v>
      </c>
      <c r="J17" s="89">
        <f>IF('P05'!$E13&gt;"",'P05'!$E13&amp;" "&amp;CHAR(10)&amp;'P05'!$F13,'P05'!$E13)</f>
        <v>0</v>
      </c>
      <c r="K17" s="89">
        <f>IF('P06'!$E13&gt;"",'P06'!$E13&amp;" "&amp;CHAR(10)&amp;'P06'!$F13,'P06'!$E13)</f>
        <v>0</v>
      </c>
      <c r="L17" s="89">
        <f>IF('P07'!$E13&gt;"",'P07'!$E13&amp;" "&amp;CHAR(10)&amp;'P07'!$F13,'P07'!$E13)</f>
        <v>0</v>
      </c>
      <c r="M17" s="89">
        <f>IF('P08'!$E13&gt;"",'P08'!$E13&amp;" "&amp;CHAR(10)&amp;'P08'!$F13,'P08'!$E13)</f>
        <v>0</v>
      </c>
      <c r="N17" s="89">
        <f>IF('P09'!$E13&gt;"",'P09'!$E13&amp;" "&amp;CHAR(10)&amp;'P09'!$F13,'P09'!$E13)</f>
        <v>0</v>
      </c>
      <c r="O17" s="89">
        <f>IF('P10'!$E13&gt;"",'P10'!$E13&amp;" "&amp;CHAR(10)&amp;'P10'!$F13,'P10'!$E13)</f>
        <v>0</v>
      </c>
      <c r="P17" s="89">
        <f>IF('P11'!$E13&gt;"",'P11'!$E13&amp;" "&amp;CHAR(10)&amp;'P11'!$F13,'P11'!$E13)</f>
        <v>0</v>
      </c>
      <c r="Q17" s="89">
        <f>IF('P12'!$E13&gt;"",'P12'!$E13&amp;" "&amp;CHAR(10)&amp;'P12'!$F13,'P12'!$E13)</f>
        <v>0</v>
      </c>
      <c r="R17" s="89">
        <f>IF('P13'!$E13&gt;"",'P13'!$E13&amp;" "&amp;CHAR(10)&amp;'P13'!$F13,'P13'!$E13)</f>
        <v>0</v>
      </c>
      <c r="S17" s="89">
        <f>IF('P14'!$E13&gt;"",'P14'!$E13&amp;" "&amp;CHAR(10)&amp;'P14'!$F13,'P14'!$E13)</f>
        <v>0</v>
      </c>
      <c r="T17" s="89">
        <f>IF('P15'!$E13&gt;"",'P15'!$E13&amp;" "&amp;CHAR(10)&amp;'P15'!$F13,'P15'!$E13)</f>
        <v>0</v>
      </c>
      <c r="U17" s="89">
        <f>IF('P16'!$E13&gt;"",'P16'!$E13&amp;" "&amp;CHAR(10)&amp;'P16'!$F13,'P16'!$E13)</f>
        <v>0</v>
      </c>
      <c r="V17" s="89">
        <f>IF('P17'!$E13&gt;"",'P17'!$E13&amp;" "&amp;CHAR(10)&amp;'P17'!$F13,'P17'!$E13)</f>
        <v>0</v>
      </c>
      <c r="W17" s="89">
        <f>IF('P18'!$E13&gt;"",'P18'!$E13&amp;" "&amp;CHAR(10)&amp;'P18'!$F13,'P18'!$E13)</f>
        <v>0</v>
      </c>
      <c r="X17" s="89">
        <f>IF('P19'!$E13&gt;"",'P19'!$E13&amp;" "&amp;CHAR(10)&amp;'P19'!$F13,'P19'!$E13)</f>
        <v>0</v>
      </c>
      <c r="Y17" s="89">
        <f>IF('P20'!$E13&gt;"",'P20'!$E13&amp;" "&amp;CHAR(10)&amp;'P20'!$F13,'P20'!$E13)</f>
        <v>0</v>
      </c>
      <c r="Z17" s="89">
        <f>IF('P21'!$E13&gt;"",'P21'!$E13&amp;" "&amp;CHAR(10)&amp;'P21'!$F13,'P21'!$E13)</f>
        <v>0</v>
      </c>
      <c r="AA17" s="89">
        <f>IF('P22'!$E13&gt;"",'P22'!$E13&amp;" "&amp;CHAR(10)&amp;'P22'!$F13,'P22'!$E13)</f>
        <v>0</v>
      </c>
      <c r="AB17" s="89">
        <f>IF('P23'!$E13&gt;"",'P23'!$E13&amp;" "&amp;CHAR(10)&amp;'P23'!$F13,'P23'!$E13)</f>
        <v>0</v>
      </c>
      <c r="AC17" s="89">
        <f>IF('P24'!$E13&gt;"",'P24'!$E13&amp;" "&amp;CHAR(10)&amp;'P24'!$F13,'P24'!$E13)</f>
        <v>0</v>
      </c>
      <c r="AD17" s="89">
        <f>IF('P25'!$E13&gt;"",'P25'!$E13&amp;" "&amp;CHAR(10)&amp;'P25'!$F13,'P25'!$E13)</f>
        <v>0</v>
      </c>
      <c r="AE17" s="89">
        <f>IF('P26'!$E13&gt;"",'P26'!$E13&amp;" "&amp;CHAR(10)&amp;'P26'!$F13,'P26'!$E13)</f>
        <v>0</v>
      </c>
      <c r="AF17" s="89">
        <f>IF('P27'!$E13&gt;"",'P27'!$E13&amp;" "&amp;CHAR(10)&amp;'P27'!$F13,'P27'!$E13)</f>
        <v>0</v>
      </c>
      <c r="AG17" s="89">
        <f>IF('P28'!$E13&gt;"",'P28'!$E13&amp;" "&amp;CHAR(10)&amp;'P28'!$F13,'P28'!$E13)</f>
        <v>0</v>
      </c>
      <c r="AH17" s="89">
        <f>IF('P29'!$E13&gt;"",'P29'!$E13&amp;" "&amp;CHAR(10)&amp;'P29'!$F13,'P29'!$E13)</f>
        <v>0</v>
      </c>
      <c r="AI17" s="89">
        <f>IF('P30'!$E13&gt;"",'P30'!$E13&amp;" "&amp;CHAR(10)&amp;'P30'!$F13,'P30'!$E13)</f>
        <v>0</v>
      </c>
      <c r="AJ17" s="89">
        <f>IF('P31'!$E13&gt;"",'P31'!$E13&amp;" "&amp;CHAR(10)&amp;'P31'!$F13,'P31'!$E13)</f>
        <v>0</v>
      </c>
      <c r="AK17" s="89">
        <f>IF('P32'!$E13&gt;"",'P32'!$E13&amp;" "&amp;CHAR(10)&amp;'P32'!$F13,'P32'!$E13)</f>
        <v>0</v>
      </c>
      <c r="AL17" s="89">
        <f>IF('P33'!$E13&gt;"",'P33'!$E13&amp;" "&amp;CHAR(10)&amp;'P33'!$F13,'P33'!$E13)</f>
        <v>0</v>
      </c>
      <c r="AM17" s="89">
        <f>IF('P34'!$E13&gt;"",'P34'!$E13&amp;" "&amp;CHAR(10)&amp;'P34'!$F13,'P34'!$E13)</f>
        <v>0</v>
      </c>
      <c r="AN17" s="89">
        <f>IF('P35'!$E13&gt;"",'P35'!$E13&amp;" "&amp;CHAR(10)&amp;'P35'!$F13,'P35'!$E13)</f>
        <v>0</v>
      </c>
      <c r="AO17" s="89">
        <f>IF('P36'!$E13&gt;"",'P36'!$E13&amp;" "&amp;CHAR(10)&amp;'P36'!$F13,'P36'!$E13)</f>
        <v>0</v>
      </c>
      <c r="AP17" s="89">
        <f>IF('P37'!$E13&gt;"",'P37'!$E13&amp;" "&amp;CHAR(10)&amp;'P37'!$F13,'P37'!$E13)</f>
        <v>0</v>
      </c>
      <c r="AQ17" s="89">
        <f>IF('P38'!$E13&gt;"",'P38'!$E13&amp;" "&amp;CHAR(10)&amp;'P38'!$F13,'P38'!$E13)</f>
        <v>0</v>
      </c>
      <c r="AR17" s="89">
        <f>IF('P39'!$E13&gt;"",'P39'!$E13&amp;" "&amp;CHAR(10)&amp;'P39'!$F13,'P39'!$E13)</f>
        <v>0</v>
      </c>
      <c r="AS17" s="89">
        <f>IF('P40'!$E13&gt;"",'P40'!$E13&amp;" "&amp;CHAR(10)&amp;'P40'!$F13,'P40'!$E13)</f>
        <v>0</v>
      </c>
      <c r="AT17" s="55">
        <f t="shared" si="5"/>
        <v>0</v>
      </c>
      <c r="AU17" s="9">
        <f t="shared" si="6"/>
        <v>0</v>
      </c>
      <c r="AV17" s="55">
        <f t="shared" si="7"/>
        <v>0</v>
      </c>
      <c r="AW17" s="38" t="str">
        <f t="shared" si="8"/>
        <v>NT</v>
      </c>
      <c r="AX17" s="39"/>
      <c r="AY17" s="10"/>
      <c r="AZ17" s="10"/>
      <c r="BA17" s="10" t="str">
        <f>IF('P01'!$G13&lt;&gt;"", 'P01'!$G13, "non")</f>
        <v>non</v>
      </c>
      <c r="BB17" s="10" t="str">
        <f>IF('P02'!$G13&lt;&gt;"", 'P02'!$G13, "non")</f>
        <v>non</v>
      </c>
      <c r="BC17" s="10" t="str">
        <f>IF('P03'!$G13&lt;&gt;"", 'P03'!$G13, "non")</f>
        <v>non</v>
      </c>
      <c r="BD17" s="10" t="str">
        <f>IF('P04'!$G13&lt;&gt;"", 'P04'!$G13, "non")</f>
        <v>non</v>
      </c>
      <c r="BE17" s="10" t="str">
        <f>IF('P05'!$G13&lt;&gt;"", 'P05'!$G13, "non")</f>
        <v>non</v>
      </c>
      <c r="BF17" s="10" t="str">
        <f>IF('P06'!$G13&lt;&gt;"", 'P06'!$G13, "non")</f>
        <v>non</v>
      </c>
      <c r="BG17" s="10" t="str">
        <f>IF('P07'!$G13&lt;&gt;"", 'P07'!$G13, "non")</f>
        <v>non</v>
      </c>
      <c r="BH17" s="10" t="str">
        <f>IF('P08'!$G13&lt;&gt;"", 'P08'!$G13, "non")</f>
        <v>non</v>
      </c>
      <c r="BI17" s="10" t="str">
        <f>IF('P09'!$G13&lt;&gt;"", 'P09'!$G13, "non")</f>
        <v>non</v>
      </c>
      <c r="BJ17" s="10" t="str">
        <f>IF('P10'!$G13&lt;&gt;"", 'P10'!$G13, "non")</f>
        <v>non</v>
      </c>
      <c r="BK17" s="10" t="str">
        <f>IF('P11'!$G13&lt;&gt;"", 'P11'!$G13, "non")</f>
        <v>non</v>
      </c>
      <c r="BL17" s="10" t="str">
        <f>IF('P12'!$G13&lt;&gt;"", 'P12'!$G13, "non")</f>
        <v>non</v>
      </c>
      <c r="BM17" s="10" t="str">
        <f>IF('P13'!$G13&lt;&gt;"", 'P13'!$G13, "non")</f>
        <v>non</v>
      </c>
      <c r="BN17" s="10" t="str">
        <f>IF('P14'!$G13&lt;&gt;"", 'P14'!$G13, "non")</f>
        <v>non</v>
      </c>
      <c r="BO17" s="10" t="str">
        <f>IF('P15'!$G13&lt;&gt;"", 'P15'!$G13, "non")</f>
        <v>non</v>
      </c>
      <c r="BP17" s="10" t="str">
        <f>IF('P16'!$G13&lt;&gt;"", 'P16'!$G13, "non")</f>
        <v>non</v>
      </c>
      <c r="BQ17" s="10" t="str">
        <f>IF('P17'!$G13&lt;&gt;"", 'P17'!$G13, "non")</f>
        <v>non</v>
      </c>
      <c r="BR17" s="10" t="str">
        <f>IF('P18'!$G13&lt;&gt;"", 'P18'!$G13, "non")</f>
        <v>non</v>
      </c>
      <c r="BS17" s="10" t="str">
        <f>IF('P19'!$G13&lt;&gt;"", 'P19'!$G13, "non")</f>
        <v>non</v>
      </c>
      <c r="BT17" s="11" t="str">
        <f>IF('P20'!$G13&lt;&gt;"", 'P20'!$G13, "non")</f>
        <v>non</v>
      </c>
      <c r="BU17" s="10" t="str">
        <f>IF('P21'!$G13&lt;&gt;"", 'P21'!$G13, "non")</f>
        <v>non</v>
      </c>
      <c r="BV17" s="11" t="str">
        <f>IF('P22'!$G13&lt;&gt;"", 'P22'!$G13, "non")</f>
        <v>non</v>
      </c>
      <c r="BW17" s="10" t="str">
        <f>IF('P23'!$G13&lt;&gt;"", 'P23'!$G13, "non")</f>
        <v>non</v>
      </c>
      <c r="BX17" s="11" t="str">
        <f>IF('P24'!$G13&lt;&gt;"", 'P24'!$G13, "non")</f>
        <v>non</v>
      </c>
      <c r="BY17" s="10" t="str">
        <f>IF('P25'!$G13&lt;&gt;"", 'P25'!$G13, "non")</f>
        <v>non</v>
      </c>
      <c r="BZ17" s="11" t="str">
        <f>IF('P26'!$G13&lt;&gt;"", 'P26'!$G13, "non")</f>
        <v>non</v>
      </c>
      <c r="CA17" s="10" t="str">
        <f>IF('P27'!$G13&lt;&gt;"", 'P27'!$G13, "non")</f>
        <v>non</v>
      </c>
      <c r="CB17" s="11" t="str">
        <f>IF('P28'!$G13&lt;&gt;"", 'P28'!$G13, "non")</f>
        <v>non</v>
      </c>
      <c r="CC17" s="10" t="str">
        <f>IF('P29'!$G13&lt;&gt;"", 'P29'!$G13, "non")</f>
        <v>non</v>
      </c>
      <c r="CD17" s="11" t="str">
        <f>IF('P30'!$G13&lt;&gt;"", 'P30'!$G13, "non")</f>
        <v>non</v>
      </c>
      <c r="CE17" s="10" t="str">
        <f>IF('P31'!$G13&lt;&gt;"", 'P31'!$G13, "non")</f>
        <v>non</v>
      </c>
      <c r="CF17" s="11" t="str">
        <f>IF('P32'!$G13&lt;&gt;"", 'P32'!$G13, "non")</f>
        <v>non</v>
      </c>
      <c r="CG17" s="10" t="str">
        <f>IF('P33'!$G13&lt;&gt;"", 'P33'!$G13, "non")</f>
        <v>non</v>
      </c>
      <c r="CH17" s="10" t="str">
        <f>IF('P34'!$G13&lt;&gt;"", 'P34'!$G13, "non")</f>
        <v>non</v>
      </c>
      <c r="CI17" s="11" t="str">
        <f>IF('P35'!$G13&lt;&gt;"", 'P35'!$G13, "non")</f>
        <v>non</v>
      </c>
      <c r="CJ17" s="10" t="str">
        <f>IF('P36'!$G13&lt;&gt;"", 'P36'!$G13, "non")</f>
        <v>non</v>
      </c>
      <c r="CK17" s="11" t="str">
        <f>IF('P37'!$G13&lt;&gt;"", 'P37'!$G13, "non")</f>
        <v>non</v>
      </c>
      <c r="CL17" s="10" t="str">
        <f>IF('P38'!$G13&lt;&gt;"", 'P38'!$G13, "non")</f>
        <v>non</v>
      </c>
      <c r="CM17" s="11" t="str">
        <f>IF('P39'!$G13&lt;&gt;"", 'P39'!$G13, "non")</f>
        <v>non</v>
      </c>
      <c r="CN17" s="10" t="str">
        <f>IF('P40'!$G13&lt;&gt;"", 'P40'!$G13, "non")</f>
        <v>non</v>
      </c>
    </row>
    <row r="18" spans="1:92" s="6" customFormat="1" ht="39.75" customHeight="1">
      <c r="A18" s="122" t="str">
        <f>'Critères et tests'!B13</f>
        <v>CADRE</v>
      </c>
      <c r="B18" s="124" t="str">
        <f>'Critères et tests'!$A13</f>
        <v>2.2</v>
      </c>
      <c r="C18" s="192" t="str">
        <f>VLOOKUP(B18,'Critères et tests'!$1:$1048576,5,FALSE)</f>
        <v>Pour chaque cadre ayant un titre de cadre, ce titre de cadre est-il pertinent ?</v>
      </c>
      <c r="D18" s="124" t="str">
        <f>'Critères et tests'!$C13</f>
        <v>A</v>
      </c>
      <c r="E18" s="156" t="s">
        <v>460</v>
      </c>
      <c r="F18" s="88">
        <f>IF('P01'!$E14&gt;"",'P01'!$E14&amp;" "&amp;CHAR(10)&amp;'P01'!$F14,'P01'!$E14)</f>
        <v>0</v>
      </c>
      <c r="G18" s="89">
        <f>IF('P02'!$E14&gt;"",'P02'!$E14&amp;" "&amp;CHAR(10)&amp;'P02'!$F14,'P02'!$E14)</f>
        <v>0</v>
      </c>
      <c r="H18" s="89">
        <f>IF('P03'!$E14&gt;"",'P03'!$E14&amp;" "&amp;CHAR(10)&amp;'P03'!$F14,'P03'!$E14)</f>
        <v>0</v>
      </c>
      <c r="I18" s="89">
        <f>IF('P04'!$E14&gt;"",'P04'!$E14&amp;" "&amp;CHAR(10)&amp;'P04'!$F14,'P04'!$E14)</f>
        <v>0</v>
      </c>
      <c r="J18" s="89">
        <f>IF('P05'!$E14&gt;"",'P05'!$E14&amp;" "&amp;CHAR(10)&amp;'P05'!$F14,'P05'!$E14)</f>
        <v>0</v>
      </c>
      <c r="K18" s="89">
        <f>IF('P06'!$E14&gt;"",'P06'!$E14&amp;" "&amp;CHAR(10)&amp;'P06'!$F14,'P06'!$E14)</f>
        <v>0</v>
      </c>
      <c r="L18" s="89">
        <f>IF('P07'!$E14&gt;"",'P07'!$E14&amp;" "&amp;CHAR(10)&amp;'P07'!$F14,'P07'!$E14)</f>
        <v>0</v>
      </c>
      <c r="M18" s="89">
        <f>IF('P08'!$E14&gt;"",'P08'!$E14&amp;" "&amp;CHAR(10)&amp;'P08'!$F14,'P08'!$E14)</f>
        <v>0</v>
      </c>
      <c r="N18" s="89">
        <f>IF('P09'!$E14&gt;"",'P09'!$E14&amp;" "&amp;CHAR(10)&amp;'P09'!$F14,'P09'!$E14)</f>
        <v>0</v>
      </c>
      <c r="O18" s="89">
        <f>IF('P10'!$E14&gt;"",'P10'!$E14&amp;" "&amp;CHAR(10)&amp;'P10'!$F14,'P10'!$E14)</f>
        <v>0</v>
      </c>
      <c r="P18" s="89">
        <f>IF('P11'!$E14&gt;"",'P11'!$E14&amp;" "&amp;CHAR(10)&amp;'P11'!$F14,'P11'!$E14)</f>
        <v>0</v>
      </c>
      <c r="Q18" s="89">
        <f>IF('P12'!$E14&gt;"",'P12'!$E14&amp;" "&amp;CHAR(10)&amp;'P12'!$F14,'P12'!$E14)</f>
        <v>0</v>
      </c>
      <c r="R18" s="89">
        <f>IF('P13'!$E14&gt;"",'P13'!$E14&amp;" "&amp;CHAR(10)&amp;'P13'!$F14,'P13'!$E14)</f>
        <v>0</v>
      </c>
      <c r="S18" s="89">
        <f>IF('P14'!$E14&gt;"",'P14'!$E14&amp;" "&amp;CHAR(10)&amp;'P14'!$F14,'P14'!$E14)</f>
        <v>0</v>
      </c>
      <c r="T18" s="89">
        <f>IF('P15'!$E14&gt;"",'P15'!$E14&amp;" "&amp;CHAR(10)&amp;'P15'!$F14,'P15'!$E14)</f>
        <v>0</v>
      </c>
      <c r="U18" s="89">
        <f>IF('P16'!$E14&gt;"",'P16'!$E14&amp;" "&amp;CHAR(10)&amp;'P16'!$F14,'P16'!$E14)</f>
        <v>0</v>
      </c>
      <c r="V18" s="89">
        <f>IF('P17'!$E14&gt;"",'P17'!$E14&amp;" "&amp;CHAR(10)&amp;'P17'!$F14,'P17'!$E14)</f>
        <v>0</v>
      </c>
      <c r="W18" s="89">
        <f>IF('P18'!$E14&gt;"",'P18'!$E14&amp;" "&amp;CHAR(10)&amp;'P18'!$F14,'P18'!$E14)</f>
        <v>0</v>
      </c>
      <c r="X18" s="89">
        <f>IF('P19'!$E14&gt;"",'P19'!$E14&amp;" "&amp;CHAR(10)&amp;'P19'!$F14,'P19'!$E14)</f>
        <v>0</v>
      </c>
      <c r="Y18" s="89">
        <f>IF('P20'!$E14&gt;"",'P20'!$E14&amp;" "&amp;CHAR(10)&amp;'P20'!$F14,'P20'!$E14)</f>
        <v>0</v>
      </c>
      <c r="Z18" s="89">
        <f>IF('P21'!$E14&gt;"",'P21'!$E14&amp;" "&amp;CHAR(10)&amp;'P21'!$F14,'P21'!$E14)</f>
        <v>0</v>
      </c>
      <c r="AA18" s="89">
        <f>IF('P22'!$E14&gt;"",'P22'!$E14&amp;" "&amp;CHAR(10)&amp;'P22'!$F14,'P22'!$E14)</f>
        <v>0</v>
      </c>
      <c r="AB18" s="89">
        <f>IF('P23'!$E14&gt;"",'P23'!$E14&amp;" "&amp;CHAR(10)&amp;'P23'!$F14,'P23'!$E14)</f>
        <v>0</v>
      </c>
      <c r="AC18" s="89">
        <f>IF('P24'!$E14&gt;"",'P24'!$E14&amp;" "&amp;CHAR(10)&amp;'P24'!$F14,'P24'!$E14)</f>
        <v>0</v>
      </c>
      <c r="AD18" s="89">
        <f>IF('P25'!$E14&gt;"",'P25'!$E14&amp;" "&amp;CHAR(10)&amp;'P25'!$F14,'P25'!$E14)</f>
        <v>0</v>
      </c>
      <c r="AE18" s="89">
        <f>IF('P26'!$E14&gt;"",'P26'!$E14&amp;" "&amp;CHAR(10)&amp;'P26'!$F14,'P26'!$E14)</f>
        <v>0</v>
      </c>
      <c r="AF18" s="89">
        <f>IF('P27'!$E14&gt;"",'P27'!$E14&amp;" "&amp;CHAR(10)&amp;'P27'!$F14,'P27'!$E14)</f>
        <v>0</v>
      </c>
      <c r="AG18" s="89">
        <f>IF('P28'!$E14&gt;"",'P28'!$E14&amp;" "&amp;CHAR(10)&amp;'P28'!$F14,'P28'!$E14)</f>
        <v>0</v>
      </c>
      <c r="AH18" s="89">
        <f>IF('P29'!$E14&gt;"",'P29'!$E14&amp;" "&amp;CHAR(10)&amp;'P29'!$F14,'P29'!$E14)</f>
        <v>0</v>
      </c>
      <c r="AI18" s="89">
        <f>IF('P30'!$E14&gt;"",'P30'!$E14&amp;" "&amp;CHAR(10)&amp;'P30'!$F14,'P30'!$E14)</f>
        <v>0</v>
      </c>
      <c r="AJ18" s="89">
        <f>IF('P31'!$E14&gt;"",'P31'!$E14&amp;" "&amp;CHAR(10)&amp;'P31'!$F14,'P31'!$E14)</f>
        <v>0</v>
      </c>
      <c r="AK18" s="89">
        <f>IF('P32'!$E14&gt;"",'P32'!$E14&amp;" "&amp;CHAR(10)&amp;'P32'!$F14,'P32'!$E14)</f>
        <v>0</v>
      </c>
      <c r="AL18" s="89">
        <f>IF('P33'!$E14&gt;"",'P33'!$E14&amp;" "&amp;CHAR(10)&amp;'P33'!$F14,'P33'!$E14)</f>
        <v>0</v>
      </c>
      <c r="AM18" s="89">
        <f>IF('P34'!$E14&gt;"",'P34'!$E14&amp;" "&amp;CHAR(10)&amp;'P34'!$F14,'P34'!$E14)</f>
        <v>0</v>
      </c>
      <c r="AN18" s="89">
        <f>IF('P35'!$E14&gt;"",'P35'!$E14&amp;" "&amp;CHAR(10)&amp;'P35'!$F14,'P35'!$E14)</f>
        <v>0</v>
      </c>
      <c r="AO18" s="89">
        <f>IF('P36'!$E14&gt;"",'P36'!$E14&amp;" "&amp;CHAR(10)&amp;'P36'!$F14,'P36'!$E14)</f>
        <v>0</v>
      </c>
      <c r="AP18" s="89">
        <f>IF('P37'!$E14&gt;"",'P37'!$E14&amp;" "&amp;CHAR(10)&amp;'P37'!$F14,'P37'!$E14)</f>
        <v>0</v>
      </c>
      <c r="AQ18" s="89">
        <f>IF('P38'!$E14&gt;"",'P38'!$E14&amp;" "&amp;CHAR(10)&amp;'P38'!$F14,'P38'!$E14)</f>
        <v>0</v>
      </c>
      <c r="AR18" s="89">
        <f>IF('P39'!$E14&gt;"",'P39'!$E14&amp;" "&amp;CHAR(10)&amp;'P39'!$F14,'P39'!$E14)</f>
        <v>0</v>
      </c>
      <c r="AS18" s="89">
        <f>IF('P40'!$E14&gt;"",'P40'!$E14&amp;" "&amp;CHAR(10)&amp;'P40'!$F14,'P40'!$E14)</f>
        <v>0</v>
      </c>
      <c r="AT18" s="55">
        <f t="shared" si="5"/>
        <v>0</v>
      </c>
      <c r="AU18" s="9">
        <f t="shared" si="6"/>
        <v>0</v>
      </c>
      <c r="AV18" s="55">
        <f t="shared" si="7"/>
        <v>0</v>
      </c>
      <c r="AW18" s="38" t="str">
        <f t="shared" si="8"/>
        <v>NT</v>
      </c>
      <c r="AX18" s="39"/>
      <c r="AY18" s="10"/>
      <c r="AZ18" s="10"/>
      <c r="BA18" s="10" t="str">
        <f>IF('P01'!$G14&lt;&gt;"", 'P01'!$G14, "non")</f>
        <v>non</v>
      </c>
      <c r="BB18" s="10" t="str">
        <f>IF('P02'!$G14&lt;&gt;"", 'P02'!$G14, "non")</f>
        <v>non</v>
      </c>
      <c r="BC18" s="10" t="str">
        <f>IF('P03'!$G14&lt;&gt;"", 'P03'!$G14, "non")</f>
        <v>non</v>
      </c>
      <c r="BD18" s="10" t="str">
        <f>IF('P04'!$G14&lt;&gt;"", 'P04'!$G14, "non")</f>
        <v>non</v>
      </c>
      <c r="BE18" s="10" t="str">
        <f>IF('P05'!$G14&lt;&gt;"", 'P05'!$G14, "non")</f>
        <v>non</v>
      </c>
      <c r="BF18" s="10" t="str">
        <f>IF('P06'!$G14&lt;&gt;"", 'P06'!$G14, "non")</f>
        <v>non</v>
      </c>
      <c r="BG18" s="10" t="str">
        <f>IF('P07'!$G14&lt;&gt;"", 'P07'!$G14, "non")</f>
        <v>non</v>
      </c>
      <c r="BH18" s="10" t="str">
        <f>IF('P08'!$G14&lt;&gt;"", 'P08'!$G14, "non")</f>
        <v>non</v>
      </c>
      <c r="BI18" s="10" t="str">
        <f>IF('P09'!$G14&lt;&gt;"", 'P09'!$G14, "non")</f>
        <v>non</v>
      </c>
      <c r="BJ18" s="10" t="str">
        <f>IF('P10'!$G14&lt;&gt;"", 'P10'!$G14, "non")</f>
        <v>non</v>
      </c>
      <c r="BK18" s="10" t="str">
        <f>IF('P11'!$G14&lt;&gt;"", 'P11'!$G14, "non")</f>
        <v>non</v>
      </c>
      <c r="BL18" s="10" t="str">
        <f>IF('P12'!$G14&lt;&gt;"", 'P12'!$G14, "non")</f>
        <v>non</v>
      </c>
      <c r="BM18" s="10" t="str">
        <f>IF('P13'!$G14&lt;&gt;"", 'P13'!$G14, "non")</f>
        <v>non</v>
      </c>
      <c r="BN18" s="10" t="str">
        <f>IF('P14'!$G14&lt;&gt;"", 'P14'!$G14, "non")</f>
        <v>non</v>
      </c>
      <c r="BO18" s="10" t="str">
        <f>IF('P15'!$G14&lt;&gt;"", 'P15'!$G14, "non")</f>
        <v>non</v>
      </c>
      <c r="BP18" s="10" t="str">
        <f>IF('P16'!$G14&lt;&gt;"", 'P16'!$G14, "non")</f>
        <v>non</v>
      </c>
      <c r="BQ18" s="10" t="str">
        <f>IF('P17'!$G14&lt;&gt;"", 'P17'!$G14, "non")</f>
        <v>non</v>
      </c>
      <c r="BR18" s="10" t="str">
        <f>IF('P18'!$G14&lt;&gt;"", 'P18'!$G14, "non")</f>
        <v>non</v>
      </c>
      <c r="BS18" s="10" t="str">
        <f>IF('P19'!$G14&lt;&gt;"", 'P19'!$G14, "non")</f>
        <v>non</v>
      </c>
      <c r="BT18" s="11" t="str">
        <f>IF('P20'!$G14&lt;&gt;"", 'P20'!$G14, "non")</f>
        <v>non</v>
      </c>
      <c r="BU18" s="10" t="str">
        <f>IF('P21'!$G14&lt;&gt;"", 'P21'!$G14, "non")</f>
        <v>non</v>
      </c>
      <c r="BV18" s="11" t="str">
        <f>IF('P22'!$G14&lt;&gt;"", 'P22'!$G14, "non")</f>
        <v>non</v>
      </c>
      <c r="BW18" s="10" t="str">
        <f>IF('P23'!$G14&lt;&gt;"", 'P23'!$G14, "non")</f>
        <v>non</v>
      </c>
      <c r="BX18" s="11" t="str">
        <f>IF('P24'!$G14&lt;&gt;"", 'P24'!$G14, "non")</f>
        <v>non</v>
      </c>
      <c r="BY18" s="10" t="str">
        <f>IF('P25'!$G14&lt;&gt;"", 'P25'!$G14, "non")</f>
        <v>non</v>
      </c>
      <c r="BZ18" s="11" t="str">
        <f>IF('P26'!$G14&lt;&gt;"", 'P26'!$G14, "non")</f>
        <v>non</v>
      </c>
      <c r="CA18" s="10" t="str">
        <f>IF('P27'!$G14&lt;&gt;"", 'P27'!$G14, "non")</f>
        <v>non</v>
      </c>
      <c r="CB18" s="11" t="str">
        <f>IF('P28'!$G14&lt;&gt;"", 'P28'!$G14, "non")</f>
        <v>non</v>
      </c>
      <c r="CC18" s="10" t="str">
        <f>IF('P29'!$G14&lt;&gt;"", 'P29'!$G14, "non")</f>
        <v>non</v>
      </c>
      <c r="CD18" s="11" t="str">
        <f>IF('P30'!$G14&lt;&gt;"", 'P30'!$G14, "non")</f>
        <v>non</v>
      </c>
      <c r="CE18" s="10" t="str">
        <f>IF('P31'!$G14&lt;&gt;"", 'P31'!$G14, "non")</f>
        <v>non</v>
      </c>
      <c r="CF18" s="11" t="str">
        <f>IF('P32'!$G14&lt;&gt;"", 'P32'!$G14, "non")</f>
        <v>non</v>
      </c>
      <c r="CG18" s="10" t="str">
        <f>IF('P33'!$G14&lt;&gt;"", 'P33'!$G14, "non")</f>
        <v>non</v>
      </c>
      <c r="CH18" s="10" t="str">
        <f>IF('P34'!$G14&lt;&gt;"", 'P34'!$G14, "non")</f>
        <v>non</v>
      </c>
      <c r="CI18" s="11" t="str">
        <f>IF('P35'!$G14&lt;&gt;"", 'P35'!$G14, "non")</f>
        <v>non</v>
      </c>
      <c r="CJ18" s="10" t="str">
        <f>IF('P36'!$G14&lt;&gt;"", 'P36'!$G14, "non")</f>
        <v>non</v>
      </c>
      <c r="CK18" s="11" t="str">
        <f>IF('P37'!$G14&lt;&gt;"", 'P37'!$G14, "non")</f>
        <v>non</v>
      </c>
      <c r="CL18" s="10" t="str">
        <f>IF('P38'!$G14&lt;&gt;"", 'P38'!$G14, "non")</f>
        <v>non</v>
      </c>
      <c r="CM18" s="11" t="str">
        <f>IF('P39'!$G14&lt;&gt;"", 'P39'!$G14, "non")</f>
        <v>non</v>
      </c>
      <c r="CN18" s="10" t="str">
        <f>IF('P40'!$G14&lt;&gt;"", 'P40'!$G14, "non")</f>
        <v>non</v>
      </c>
    </row>
    <row r="19" spans="1:92" s="6" customFormat="1" ht="39.75" customHeight="1">
      <c r="A19" s="122" t="str">
        <f>'Critères et tests'!B14</f>
        <v>COULEURS</v>
      </c>
      <c r="B19" s="124" t="str">
        <f>'Critères et tests'!$A14</f>
        <v>3.1</v>
      </c>
      <c r="C19" s="192" t="str">
        <f>VLOOKUP(B19,'Critères et tests'!$1:$1048576,5,FALSE)</f>
        <v>Dans chaque page web, l’information ne doit pas être donnée uniquement par la couleur. Cette règle est-elle respectée ?</v>
      </c>
      <c r="D19" s="124" t="str">
        <f>'Critères et tests'!$C14</f>
        <v>A</v>
      </c>
      <c r="E19" s="156" t="s">
        <v>460</v>
      </c>
      <c r="F19" s="88">
        <f>IF('P01'!$E15&gt;"",'P01'!$E15&amp;" "&amp;CHAR(10)&amp;'P01'!$F15,'P01'!$E15)</f>
        <v>0</v>
      </c>
      <c r="G19" s="89">
        <f>IF('P02'!$E15&gt;"",'P02'!$E15&amp;" "&amp;CHAR(10)&amp;'P02'!$F15,'P02'!$E15)</f>
        <v>0</v>
      </c>
      <c r="H19" s="89">
        <f>IF('P03'!$E15&gt;"",'P03'!$E15&amp;" "&amp;CHAR(10)&amp;'P03'!$F15,'P03'!$E15)</f>
        <v>0</v>
      </c>
      <c r="I19" s="89">
        <f>IF('P04'!$E15&gt;"",'P04'!$E15&amp;" "&amp;CHAR(10)&amp;'P04'!$F15,'P04'!$E15)</f>
        <v>0</v>
      </c>
      <c r="J19" s="89">
        <f>IF('P05'!$E15&gt;"",'P05'!$E15&amp;" "&amp;CHAR(10)&amp;'P05'!$F15,'P05'!$E15)</f>
        <v>0</v>
      </c>
      <c r="K19" s="89">
        <f>IF('P06'!$E15&gt;"",'P06'!$E15&amp;" "&amp;CHAR(10)&amp;'P06'!$F15,'P06'!$E15)</f>
        <v>0</v>
      </c>
      <c r="L19" s="89">
        <f>IF('P07'!$E15&gt;"",'P07'!$E15&amp;" "&amp;CHAR(10)&amp;'P07'!$F15,'P07'!$E15)</f>
        <v>0</v>
      </c>
      <c r="M19" s="89">
        <f>IF('P08'!$E15&gt;"",'P08'!$E15&amp;" "&amp;CHAR(10)&amp;'P08'!$F15,'P08'!$E15)</f>
        <v>0</v>
      </c>
      <c r="N19" s="89">
        <f>IF('P09'!$E15&gt;"",'P09'!$E15&amp;" "&amp;CHAR(10)&amp;'P09'!$F15,'P09'!$E15)</f>
        <v>0</v>
      </c>
      <c r="O19" s="89">
        <f>IF('P10'!$E15&gt;"",'P10'!$E15&amp;" "&amp;CHAR(10)&amp;'P10'!$F15,'P10'!$E15)</f>
        <v>0</v>
      </c>
      <c r="P19" s="89">
        <f>IF('P11'!$E15&gt;"",'P11'!$E15&amp;" "&amp;CHAR(10)&amp;'P11'!$F15,'P11'!$E15)</f>
        <v>0</v>
      </c>
      <c r="Q19" s="89">
        <f>IF('P12'!$E15&gt;"",'P12'!$E15&amp;" "&amp;CHAR(10)&amp;'P12'!$F15,'P12'!$E15)</f>
        <v>0</v>
      </c>
      <c r="R19" s="89">
        <f>IF('P13'!$E15&gt;"",'P13'!$E15&amp;" "&amp;CHAR(10)&amp;'P13'!$F15,'P13'!$E15)</f>
        <v>0</v>
      </c>
      <c r="S19" s="89">
        <f>IF('P14'!$E15&gt;"",'P14'!$E15&amp;" "&amp;CHAR(10)&amp;'P14'!$F15,'P14'!$E15)</f>
        <v>0</v>
      </c>
      <c r="T19" s="89">
        <f>IF('P15'!$E15&gt;"",'P15'!$E15&amp;" "&amp;CHAR(10)&amp;'P15'!$F15,'P15'!$E15)</f>
        <v>0</v>
      </c>
      <c r="U19" s="89">
        <f>IF('P16'!$E15&gt;"",'P16'!$E15&amp;" "&amp;CHAR(10)&amp;'P16'!$F15,'P16'!$E15)</f>
        <v>0</v>
      </c>
      <c r="V19" s="89">
        <f>IF('P17'!$E15&gt;"",'P17'!$E15&amp;" "&amp;CHAR(10)&amp;'P17'!$F15,'P17'!$E15)</f>
        <v>0</v>
      </c>
      <c r="W19" s="89">
        <f>IF('P18'!$E15&gt;"",'P18'!$E15&amp;" "&amp;CHAR(10)&amp;'P18'!$F15,'P18'!$E15)</f>
        <v>0</v>
      </c>
      <c r="X19" s="89">
        <f>IF('P19'!$E15&gt;"",'P19'!$E15&amp;" "&amp;CHAR(10)&amp;'P19'!$F15,'P19'!$E15)</f>
        <v>0</v>
      </c>
      <c r="Y19" s="89">
        <f>IF('P20'!$E15&gt;"",'P20'!$E15&amp;" "&amp;CHAR(10)&amp;'P20'!$F15,'P20'!$E15)</f>
        <v>0</v>
      </c>
      <c r="Z19" s="89">
        <f>IF('P21'!$E15&gt;"",'P21'!$E15&amp;" "&amp;CHAR(10)&amp;'P21'!$F15,'P21'!$E15)</f>
        <v>0</v>
      </c>
      <c r="AA19" s="89">
        <f>IF('P22'!$E15&gt;"",'P22'!$E15&amp;" "&amp;CHAR(10)&amp;'P22'!$F15,'P22'!$E15)</f>
        <v>0</v>
      </c>
      <c r="AB19" s="89">
        <f>IF('P23'!$E15&gt;"",'P23'!$E15&amp;" "&amp;CHAR(10)&amp;'P23'!$F15,'P23'!$E15)</f>
        <v>0</v>
      </c>
      <c r="AC19" s="89">
        <f>IF('P24'!$E15&gt;"",'P24'!$E15&amp;" "&amp;CHAR(10)&amp;'P24'!$F15,'P24'!$E15)</f>
        <v>0</v>
      </c>
      <c r="AD19" s="89">
        <f>IF('P25'!$E15&gt;"",'P25'!$E15&amp;" "&amp;CHAR(10)&amp;'P25'!$F15,'P25'!$E15)</f>
        <v>0</v>
      </c>
      <c r="AE19" s="89">
        <f>IF('P26'!$E15&gt;"",'P26'!$E15&amp;" "&amp;CHAR(10)&amp;'P26'!$F15,'P26'!$E15)</f>
        <v>0</v>
      </c>
      <c r="AF19" s="89">
        <f>IF('P27'!$E15&gt;"",'P27'!$E15&amp;" "&amp;CHAR(10)&amp;'P27'!$F15,'P27'!$E15)</f>
        <v>0</v>
      </c>
      <c r="AG19" s="89">
        <f>IF('P28'!$E15&gt;"",'P28'!$E15&amp;" "&amp;CHAR(10)&amp;'P28'!$F15,'P28'!$E15)</f>
        <v>0</v>
      </c>
      <c r="AH19" s="89">
        <f>IF('P29'!$E15&gt;"",'P29'!$E15&amp;" "&amp;CHAR(10)&amp;'P29'!$F15,'P29'!$E15)</f>
        <v>0</v>
      </c>
      <c r="AI19" s="89">
        <f>IF('P30'!$E15&gt;"",'P30'!$E15&amp;" "&amp;CHAR(10)&amp;'P30'!$F15,'P30'!$E15)</f>
        <v>0</v>
      </c>
      <c r="AJ19" s="89">
        <f>IF('P31'!$E15&gt;"",'P31'!$E15&amp;" "&amp;CHAR(10)&amp;'P31'!$F15,'P31'!$E15)</f>
        <v>0</v>
      </c>
      <c r="AK19" s="89">
        <f>IF('P32'!$E15&gt;"",'P32'!$E15&amp;" "&amp;CHAR(10)&amp;'P32'!$F15,'P32'!$E15)</f>
        <v>0</v>
      </c>
      <c r="AL19" s="89">
        <f>IF('P33'!$E15&gt;"",'P33'!$E15&amp;" "&amp;CHAR(10)&amp;'P33'!$F15,'P33'!$E15)</f>
        <v>0</v>
      </c>
      <c r="AM19" s="89">
        <f>IF('P34'!$E15&gt;"",'P34'!$E15&amp;" "&amp;CHAR(10)&amp;'P34'!$F15,'P34'!$E15)</f>
        <v>0</v>
      </c>
      <c r="AN19" s="89">
        <f>IF('P35'!$E15&gt;"",'P35'!$E15&amp;" "&amp;CHAR(10)&amp;'P35'!$F15,'P35'!$E15)</f>
        <v>0</v>
      </c>
      <c r="AO19" s="89">
        <f>IF('P36'!$E15&gt;"",'P36'!$E15&amp;" "&amp;CHAR(10)&amp;'P36'!$F15,'P36'!$E15)</f>
        <v>0</v>
      </c>
      <c r="AP19" s="89">
        <f>IF('P37'!$E15&gt;"",'P37'!$E15&amp;" "&amp;CHAR(10)&amp;'P37'!$F15,'P37'!$E15)</f>
        <v>0</v>
      </c>
      <c r="AQ19" s="89">
        <f>IF('P38'!$E15&gt;"",'P38'!$E15&amp;" "&amp;CHAR(10)&amp;'P38'!$F15,'P38'!$E15)</f>
        <v>0</v>
      </c>
      <c r="AR19" s="89">
        <f>IF('P39'!$E15&gt;"",'P39'!$E15&amp;" "&amp;CHAR(10)&amp;'P39'!$F15,'P39'!$E15)</f>
        <v>0</v>
      </c>
      <c r="AS19" s="89">
        <f>IF('P40'!$E15&gt;"",'P40'!$E15&amp;" "&amp;CHAR(10)&amp;'P40'!$F15,'P40'!$E15)</f>
        <v>0</v>
      </c>
      <c r="AT19" s="55">
        <f t="shared" si="5"/>
        <v>0</v>
      </c>
      <c r="AU19" s="9">
        <f t="shared" si="6"/>
        <v>0</v>
      </c>
      <c r="AV19" s="55">
        <f t="shared" si="7"/>
        <v>0</v>
      </c>
      <c r="AW19" s="38" t="str">
        <f t="shared" si="8"/>
        <v>NT</v>
      </c>
      <c r="AX19" s="39"/>
      <c r="AY19" s="10"/>
      <c r="AZ19" s="10"/>
      <c r="BA19" s="10" t="str">
        <f>IF('P01'!$G15&lt;&gt;"", 'P01'!$G15, "non")</f>
        <v>non</v>
      </c>
      <c r="BB19" s="10" t="str">
        <f>IF('P02'!$G15&lt;&gt;"", 'P02'!$G15, "non")</f>
        <v>non</v>
      </c>
      <c r="BC19" s="10" t="str">
        <f>IF('P03'!$G15&lt;&gt;"", 'P03'!$G15, "non")</f>
        <v>non</v>
      </c>
      <c r="BD19" s="10" t="str">
        <f>IF('P04'!$G15&lt;&gt;"", 'P04'!$G15, "non")</f>
        <v>non</v>
      </c>
      <c r="BE19" s="10" t="str">
        <f>IF('P05'!$G15&lt;&gt;"", 'P05'!$G15, "non")</f>
        <v>non</v>
      </c>
      <c r="BF19" s="10" t="str">
        <f>IF('P06'!$G15&lt;&gt;"", 'P06'!$G15, "non")</f>
        <v>non</v>
      </c>
      <c r="BG19" s="10" t="str">
        <f>IF('P07'!$G15&lt;&gt;"", 'P07'!$G15, "non")</f>
        <v>non</v>
      </c>
      <c r="BH19" s="10" t="str">
        <f>IF('P08'!$G15&lt;&gt;"", 'P08'!$G15, "non")</f>
        <v>non</v>
      </c>
      <c r="BI19" s="10" t="str">
        <f>IF('P09'!$G15&lt;&gt;"", 'P09'!$G15, "non")</f>
        <v>non</v>
      </c>
      <c r="BJ19" s="10" t="str">
        <f>IF('P10'!$G15&lt;&gt;"", 'P10'!$G15, "non")</f>
        <v>non</v>
      </c>
      <c r="BK19" s="10" t="str">
        <f>IF('P11'!$G15&lt;&gt;"", 'P11'!$G15, "non")</f>
        <v>non</v>
      </c>
      <c r="BL19" s="10" t="str">
        <f>IF('P12'!$G15&lt;&gt;"", 'P12'!$G15, "non")</f>
        <v>non</v>
      </c>
      <c r="BM19" s="10" t="str">
        <f>IF('P13'!$G15&lt;&gt;"", 'P13'!$G15, "non")</f>
        <v>non</v>
      </c>
      <c r="BN19" s="10" t="str">
        <f>IF('P14'!$G15&lt;&gt;"", 'P14'!$G15, "non")</f>
        <v>non</v>
      </c>
      <c r="BO19" s="10" t="str">
        <f>IF('P15'!$G15&lt;&gt;"", 'P15'!$G15, "non")</f>
        <v>non</v>
      </c>
      <c r="BP19" s="10" t="str">
        <f>IF('P16'!$G15&lt;&gt;"", 'P16'!$G15, "non")</f>
        <v>non</v>
      </c>
      <c r="BQ19" s="10" t="str">
        <f>IF('P17'!$G15&lt;&gt;"", 'P17'!$G15, "non")</f>
        <v>non</v>
      </c>
      <c r="BR19" s="10" t="str">
        <f>IF('P18'!$G15&lt;&gt;"", 'P18'!$G15, "non")</f>
        <v>non</v>
      </c>
      <c r="BS19" s="10" t="str">
        <f>IF('P19'!$G15&lt;&gt;"", 'P19'!$G15, "non")</f>
        <v>non</v>
      </c>
      <c r="BT19" s="11" t="str">
        <f>IF('P20'!$G15&lt;&gt;"", 'P20'!$G15, "non")</f>
        <v>non</v>
      </c>
      <c r="BU19" s="10" t="str">
        <f>IF('P21'!$G15&lt;&gt;"", 'P21'!$G15, "non")</f>
        <v>non</v>
      </c>
      <c r="BV19" s="11" t="str">
        <f>IF('P22'!$G15&lt;&gt;"", 'P22'!$G15, "non")</f>
        <v>non</v>
      </c>
      <c r="BW19" s="10" t="str">
        <f>IF('P23'!$G15&lt;&gt;"", 'P23'!$G15, "non")</f>
        <v>non</v>
      </c>
      <c r="BX19" s="11" t="str">
        <f>IF('P24'!$G15&lt;&gt;"", 'P24'!$G15, "non")</f>
        <v>non</v>
      </c>
      <c r="BY19" s="10" t="str">
        <f>IF('P25'!$G15&lt;&gt;"", 'P25'!$G15, "non")</f>
        <v>non</v>
      </c>
      <c r="BZ19" s="11" t="str">
        <f>IF('P26'!$G15&lt;&gt;"", 'P26'!$G15, "non")</f>
        <v>non</v>
      </c>
      <c r="CA19" s="10" t="str">
        <f>IF('P27'!$G15&lt;&gt;"", 'P27'!$G15, "non")</f>
        <v>non</v>
      </c>
      <c r="CB19" s="11" t="str">
        <f>IF('P28'!$G15&lt;&gt;"", 'P28'!$G15, "non")</f>
        <v>non</v>
      </c>
      <c r="CC19" s="10" t="str">
        <f>IF('P29'!$G15&lt;&gt;"", 'P29'!$G15, "non")</f>
        <v>non</v>
      </c>
      <c r="CD19" s="11" t="str">
        <f>IF('P30'!$G15&lt;&gt;"", 'P30'!$G15, "non")</f>
        <v>non</v>
      </c>
      <c r="CE19" s="10" t="str">
        <f>IF('P31'!$G15&lt;&gt;"", 'P31'!$G15, "non")</f>
        <v>non</v>
      </c>
      <c r="CF19" s="11" t="str">
        <f>IF('P32'!$G15&lt;&gt;"", 'P32'!$G15, "non")</f>
        <v>non</v>
      </c>
      <c r="CG19" s="10" t="str">
        <f>IF('P33'!$G15&lt;&gt;"", 'P33'!$G15, "non")</f>
        <v>non</v>
      </c>
      <c r="CH19" s="10" t="str">
        <f>IF('P34'!$G15&lt;&gt;"", 'P34'!$G15, "non")</f>
        <v>non</v>
      </c>
      <c r="CI19" s="11" t="str">
        <f>IF('P35'!$G15&lt;&gt;"", 'P35'!$G15, "non")</f>
        <v>non</v>
      </c>
      <c r="CJ19" s="10" t="str">
        <f>IF('P36'!$G15&lt;&gt;"", 'P36'!$G15, "non")</f>
        <v>non</v>
      </c>
      <c r="CK19" s="11" t="str">
        <f>IF('P37'!$G15&lt;&gt;"", 'P37'!$G15, "non")</f>
        <v>non</v>
      </c>
      <c r="CL19" s="10" t="str">
        <f>IF('P38'!$G15&lt;&gt;"", 'P38'!$G15, "non")</f>
        <v>non</v>
      </c>
      <c r="CM19" s="11" t="str">
        <f>IF('P39'!$G15&lt;&gt;"", 'P39'!$G15, "non")</f>
        <v>non</v>
      </c>
      <c r="CN19" s="10" t="str">
        <f>IF('P40'!$G15&lt;&gt;"", 'P40'!$G15, "non")</f>
        <v>non</v>
      </c>
    </row>
    <row r="20" spans="1:92" s="6" customFormat="1" ht="39.75" customHeight="1">
      <c r="A20" s="122" t="str">
        <f>'Critères et tests'!B15</f>
        <v>COULEURS</v>
      </c>
      <c r="B20" s="124" t="str">
        <f>'Critères et tests'!$A15</f>
        <v>3.2</v>
      </c>
      <c r="C20" s="192" t="str">
        <f>VLOOKUP(B20,'Critères et tests'!$1:$1048576,5,FALSE)</f>
        <v>Dans chaque page web, le contraste entre la couleur du texte et la couleur de son arrière-plan est-il suffisamment élevé (hors cas particuliers) ?</v>
      </c>
      <c r="D20" s="124" t="str">
        <f>'Critères et tests'!$C15</f>
        <v>A</v>
      </c>
      <c r="E20" s="156" t="s">
        <v>460</v>
      </c>
      <c r="F20" s="88">
        <f>IF('P01'!$E16&gt;"",'P01'!$E16&amp;" "&amp;CHAR(10)&amp;'P01'!$F16,'P01'!$E16)</f>
        <v>0</v>
      </c>
      <c r="G20" s="89">
        <f>IF('P02'!$E16&gt;"",'P02'!$E16&amp;" "&amp;CHAR(10)&amp;'P02'!$F16,'P02'!$E16)</f>
        <v>0</v>
      </c>
      <c r="H20" s="89">
        <f>IF('P03'!$E16&gt;"",'P03'!$E16&amp;" "&amp;CHAR(10)&amp;'P03'!$F16,'P03'!$E16)</f>
        <v>0</v>
      </c>
      <c r="I20" s="89">
        <f>IF('P04'!$E16&gt;"",'P04'!$E16&amp;" "&amp;CHAR(10)&amp;'P04'!$F16,'P04'!$E16)</f>
        <v>0</v>
      </c>
      <c r="J20" s="89">
        <f>IF('P05'!$E16&gt;"",'P05'!$E16&amp;" "&amp;CHAR(10)&amp;'P05'!$F16,'P05'!$E16)</f>
        <v>0</v>
      </c>
      <c r="K20" s="89">
        <f>IF('P06'!$E16&gt;"",'P06'!$E16&amp;" "&amp;CHAR(10)&amp;'P06'!$F16,'P06'!$E16)</f>
        <v>0</v>
      </c>
      <c r="L20" s="89">
        <f>IF('P07'!$E16&gt;"",'P07'!$E16&amp;" "&amp;CHAR(10)&amp;'P07'!$F16,'P07'!$E16)</f>
        <v>0</v>
      </c>
      <c r="M20" s="89">
        <f>IF('P08'!$E16&gt;"",'P08'!$E16&amp;" "&amp;CHAR(10)&amp;'P08'!$F16,'P08'!$E16)</f>
        <v>0</v>
      </c>
      <c r="N20" s="89">
        <f>IF('P09'!$E16&gt;"",'P09'!$E16&amp;" "&amp;CHAR(10)&amp;'P09'!$F16,'P09'!$E16)</f>
        <v>0</v>
      </c>
      <c r="O20" s="89">
        <f>IF('P10'!$E16&gt;"",'P10'!$E16&amp;" "&amp;CHAR(10)&amp;'P10'!$F16,'P10'!$E16)</f>
        <v>0</v>
      </c>
      <c r="P20" s="89">
        <f>IF('P11'!$E16&gt;"",'P11'!$E16&amp;" "&amp;CHAR(10)&amp;'P11'!$F16,'P11'!$E16)</f>
        <v>0</v>
      </c>
      <c r="Q20" s="89">
        <f>IF('P12'!$E16&gt;"",'P12'!$E16&amp;" "&amp;CHAR(10)&amp;'P12'!$F16,'P12'!$E16)</f>
        <v>0</v>
      </c>
      <c r="R20" s="89">
        <f>IF('P13'!$E16&gt;"",'P13'!$E16&amp;" "&amp;CHAR(10)&amp;'P13'!$F16,'P13'!$E16)</f>
        <v>0</v>
      </c>
      <c r="S20" s="89">
        <f>IF('P14'!$E16&gt;"",'P14'!$E16&amp;" "&amp;CHAR(10)&amp;'P14'!$F16,'P14'!$E16)</f>
        <v>0</v>
      </c>
      <c r="T20" s="89">
        <f>IF('P15'!$E16&gt;"",'P15'!$E16&amp;" "&amp;CHAR(10)&amp;'P15'!$F16,'P15'!$E16)</f>
        <v>0</v>
      </c>
      <c r="U20" s="89">
        <f>IF('P16'!$E16&gt;"",'P16'!$E16&amp;" "&amp;CHAR(10)&amp;'P16'!$F16,'P16'!$E16)</f>
        <v>0</v>
      </c>
      <c r="V20" s="89">
        <f>IF('P17'!$E16&gt;"",'P17'!$E16&amp;" "&amp;CHAR(10)&amp;'P17'!$F16,'P17'!$E16)</f>
        <v>0</v>
      </c>
      <c r="W20" s="89">
        <f>IF('P18'!$E16&gt;"",'P18'!$E16&amp;" "&amp;CHAR(10)&amp;'P18'!$F16,'P18'!$E16)</f>
        <v>0</v>
      </c>
      <c r="X20" s="89">
        <f>IF('P19'!$E16&gt;"",'P19'!$E16&amp;" "&amp;CHAR(10)&amp;'P19'!$F16,'P19'!$E16)</f>
        <v>0</v>
      </c>
      <c r="Y20" s="89">
        <f>IF('P20'!$E16&gt;"",'P20'!$E16&amp;" "&amp;CHAR(10)&amp;'P20'!$F16,'P20'!$E16)</f>
        <v>0</v>
      </c>
      <c r="Z20" s="89">
        <f>IF('P21'!$E16&gt;"",'P21'!$E16&amp;" "&amp;CHAR(10)&amp;'P21'!$F16,'P21'!$E16)</f>
        <v>0</v>
      </c>
      <c r="AA20" s="89">
        <f>IF('P22'!$E16&gt;"",'P22'!$E16&amp;" "&amp;CHAR(10)&amp;'P22'!$F16,'P22'!$E16)</f>
        <v>0</v>
      </c>
      <c r="AB20" s="89">
        <f>IF('P23'!$E16&gt;"",'P23'!$E16&amp;" "&amp;CHAR(10)&amp;'P23'!$F16,'P23'!$E16)</f>
        <v>0</v>
      </c>
      <c r="AC20" s="89">
        <f>IF('P24'!$E16&gt;"",'P24'!$E16&amp;" "&amp;CHAR(10)&amp;'P24'!$F16,'P24'!$E16)</f>
        <v>0</v>
      </c>
      <c r="AD20" s="89">
        <f>IF('P25'!$E16&gt;"",'P25'!$E16&amp;" "&amp;CHAR(10)&amp;'P25'!$F16,'P25'!$E16)</f>
        <v>0</v>
      </c>
      <c r="AE20" s="89">
        <f>IF('P26'!$E16&gt;"",'P26'!$E16&amp;" "&amp;CHAR(10)&amp;'P26'!$F16,'P26'!$E16)</f>
        <v>0</v>
      </c>
      <c r="AF20" s="89">
        <f>IF('P27'!$E16&gt;"",'P27'!$E16&amp;" "&amp;CHAR(10)&amp;'P27'!$F16,'P27'!$E16)</f>
        <v>0</v>
      </c>
      <c r="AG20" s="89">
        <f>IF('P28'!$E16&gt;"",'P28'!$E16&amp;" "&amp;CHAR(10)&amp;'P28'!$F16,'P28'!$E16)</f>
        <v>0</v>
      </c>
      <c r="AH20" s="89">
        <f>IF('P29'!$E16&gt;"",'P29'!$E16&amp;" "&amp;CHAR(10)&amp;'P29'!$F16,'P29'!$E16)</f>
        <v>0</v>
      </c>
      <c r="AI20" s="89">
        <f>IF('P30'!$E16&gt;"",'P30'!$E16&amp;" "&amp;CHAR(10)&amp;'P30'!$F16,'P30'!$E16)</f>
        <v>0</v>
      </c>
      <c r="AJ20" s="89">
        <f>IF('P31'!$E16&gt;"",'P31'!$E16&amp;" "&amp;CHAR(10)&amp;'P31'!$F16,'P31'!$E16)</f>
        <v>0</v>
      </c>
      <c r="AK20" s="89">
        <f>IF('P32'!$E16&gt;"",'P32'!$E16&amp;" "&amp;CHAR(10)&amp;'P32'!$F16,'P32'!$E16)</f>
        <v>0</v>
      </c>
      <c r="AL20" s="89">
        <f>IF('P33'!$E16&gt;"",'P33'!$E16&amp;" "&amp;CHAR(10)&amp;'P33'!$F16,'P33'!$E16)</f>
        <v>0</v>
      </c>
      <c r="AM20" s="89">
        <f>IF('P34'!$E16&gt;"",'P34'!$E16&amp;" "&amp;CHAR(10)&amp;'P34'!$F16,'P34'!$E16)</f>
        <v>0</v>
      </c>
      <c r="AN20" s="89">
        <f>IF('P35'!$E16&gt;"",'P35'!$E16&amp;" "&amp;CHAR(10)&amp;'P35'!$F16,'P35'!$E16)</f>
        <v>0</v>
      </c>
      <c r="AO20" s="89">
        <f>IF('P36'!$E16&gt;"",'P36'!$E16&amp;" "&amp;CHAR(10)&amp;'P36'!$F16,'P36'!$E16)</f>
        <v>0</v>
      </c>
      <c r="AP20" s="89">
        <f>IF('P37'!$E16&gt;"",'P37'!$E16&amp;" "&amp;CHAR(10)&amp;'P37'!$F16,'P37'!$E16)</f>
        <v>0</v>
      </c>
      <c r="AQ20" s="89">
        <f>IF('P38'!$E16&gt;"",'P38'!$E16&amp;" "&amp;CHAR(10)&amp;'P38'!$F16,'P38'!$E16)</f>
        <v>0</v>
      </c>
      <c r="AR20" s="89">
        <f>IF('P39'!$E16&gt;"",'P39'!$E16&amp;" "&amp;CHAR(10)&amp;'P39'!$F16,'P39'!$E16)</f>
        <v>0</v>
      </c>
      <c r="AS20" s="89">
        <f>IF('P40'!$E16&gt;"",'P40'!$E16&amp;" "&amp;CHAR(10)&amp;'P40'!$F16,'P40'!$E16)</f>
        <v>0</v>
      </c>
      <c r="AT20" s="55">
        <f t="shared" si="5"/>
        <v>0</v>
      </c>
      <c r="AU20" s="9">
        <f t="shared" si="6"/>
        <v>0</v>
      </c>
      <c r="AV20" s="55">
        <f t="shared" si="7"/>
        <v>0</v>
      </c>
      <c r="AW20" s="38" t="str">
        <f t="shared" si="8"/>
        <v>NT</v>
      </c>
      <c r="AX20" s="39"/>
      <c r="AY20" s="10"/>
      <c r="AZ20" s="10"/>
      <c r="BA20" s="10" t="str">
        <f>IF('P01'!$G16&lt;&gt;"", 'P01'!$G16, "non")</f>
        <v>non</v>
      </c>
      <c r="BB20" s="10" t="str">
        <f>IF('P02'!$G16&lt;&gt;"", 'P02'!$G16, "non")</f>
        <v>non</v>
      </c>
      <c r="BC20" s="10" t="str">
        <f>IF('P03'!$G16&lt;&gt;"", 'P03'!$G16, "non")</f>
        <v>non</v>
      </c>
      <c r="BD20" s="10" t="str">
        <f>IF('P04'!$G16&lt;&gt;"", 'P04'!$G16, "non")</f>
        <v>non</v>
      </c>
      <c r="BE20" s="10" t="str">
        <f>IF('P05'!$G16&lt;&gt;"", 'P05'!$G16, "non")</f>
        <v>non</v>
      </c>
      <c r="BF20" s="10" t="str">
        <f>IF('P06'!$G16&lt;&gt;"", 'P06'!$G16, "non")</f>
        <v>non</v>
      </c>
      <c r="BG20" s="10" t="str">
        <f>IF('P07'!$G16&lt;&gt;"", 'P07'!$G16, "non")</f>
        <v>non</v>
      </c>
      <c r="BH20" s="10" t="str">
        <f>IF('P08'!$G16&lt;&gt;"", 'P08'!$G16, "non")</f>
        <v>non</v>
      </c>
      <c r="BI20" s="10" t="str">
        <f>IF('P09'!$G16&lt;&gt;"", 'P09'!$G16, "non")</f>
        <v>non</v>
      </c>
      <c r="BJ20" s="10" t="str">
        <f>IF('P10'!$G16&lt;&gt;"", 'P10'!$G16, "non")</f>
        <v>non</v>
      </c>
      <c r="BK20" s="10" t="str">
        <f>IF('P11'!$G16&lt;&gt;"", 'P11'!$G16, "non")</f>
        <v>non</v>
      </c>
      <c r="BL20" s="10" t="str">
        <f>IF('P12'!$G16&lt;&gt;"", 'P12'!$G16, "non")</f>
        <v>non</v>
      </c>
      <c r="BM20" s="10" t="str">
        <f>IF('P13'!$G16&lt;&gt;"", 'P13'!$G16, "non")</f>
        <v>non</v>
      </c>
      <c r="BN20" s="10" t="str">
        <f>IF('P14'!$G16&lt;&gt;"", 'P14'!$G16, "non")</f>
        <v>non</v>
      </c>
      <c r="BO20" s="10" t="str">
        <f>IF('P15'!$G16&lt;&gt;"", 'P15'!$G16, "non")</f>
        <v>non</v>
      </c>
      <c r="BP20" s="10" t="str">
        <f>IF('P16'!$G16&lt;&gt;"", 'P16'!$G16, "non")</f>
        <v>non</v>
      </c>
      <c r="BQ20" s="10" t="str">
        <f>IF('P17'!$G16&lt;&gt;"", 'P17'!$G16, "non")</f>
        <v>non</v>
      </c>
      <c r="BR20" s="10" t="str">
        <f>IF('P18'!$G16&lt;&gt;"", 'P18'!$G16, "non")</f>
        <v>non</v>
      </c>
      <c r="BS20" s="10" t="str">
        <f>IF('P19'!$G16&lt;&gt;"", 'P19'!$G16, "non")</f>
        <v>non</v>
      </c>
      <c r="BT20" s="11" t="str">
        <f>IF('P20'!$G16&lt;&gt;"", 'P20'!$G16, "non")</f>
        <v>non</v>
      </c>
      <c r="BU20" s="10" t="str">
        <f>IF('P21'!$G16&lt;&gt;"", 'P21'!$G16, "non")</f>
        <v>non</v>
      </c>
      <c r="BV20" s="11" t="str">
        <f>IF('P22'!$G16&lt;&gt;"", 'P22'!$G16, "non")</f>
        <v>non</v>
      </c>
      <c r="BW20" s="10" t="str">
        <f>IF('P23'!$G16&lt;&gt;"", 'P23'!$G16, "non")</f>
        <v>non</v>
      </c>
      <c r="BX20" s="11" t="str">
        <f>IF('P24'!$G16&lt;&gt;"", 'P24'!$G16, "non")</f>
        <v>non</v>
      </c>
      <c r="BY20" s="10" t="str">
        <f>IF('P25'!$G16&lt;&gt;"", 'P25'!$G16, "non")</f>
        <v>non</v>
      </c>
      <c r="BZ20" s="11" t="str">
        <f>IF('P26'!$G16&lt;&gt;"", 'P26'!$G16, "non")</f>
        <v>non</v>
      </c>
      <c r="CA20" s="10" t="str">
        <f>IF('P27'!$G16&lt;&gt;"", 'P27'!$G16, "non")</f>
        <v>non</v>
      </c>
      <c r="CB20" s="11" t="str">
        <f>IF('P28'!$G16&lt;&gt;"", 'P28'!$G16, "non")</f>
        <v>non</v>
      </c>
      <c r="CC20" s="10" t="str">
        <f>IF('P29'!$G16&lt;&gt;"", 'P29'!$G16, "non")</f>
        <v>non</v>
      </c>
      <c r="CD20" s="11" t="str">
        <f>IF('P30'!$G16&lt;&gt;"", 'P30'!$G16, "non")</f>
        <v>non</v>
      </c>
      <c r="CE20" s="10" t="str">
        <f>IF('P31'!$G16&lt;&gt;"", 'P31'!$G16, "non")</f>
        <v>non</v>
      </c>
      <c r="CF20" s="11" t="str">
        <f>IF('P32'!$G16&lt;&gt;"", 'P32'!$G16, "non")</f>
        <v>non</v>
      </c>
      <c r="CG20" s="10" t="str">
        <f>IF('P33'!$G16&lt;&gt;"", 'P33'!$G16, "non")</f>
        <v>non</v>
      </c>
      <c r="CH20" s="10" t="str">
        <f>IF('P34'!$G16&lt;&gt;"", 'P34'!$G16, "non")</f>
        <v>non</v>
      </c>
      <c r="CI20" s="11" t="str">
        <f>IF('P35'!$G16&lt;&gt;"", 'P35'!$G16, "non")</f>
        <v>non</v>
      </c>
      <c r="CJ20" s="10" t="str">
        <f>IF('P36'!$G16&lt;&gt;"", 'P36'!$G16, "non")</f>
        <v>non</v>
      </c>
      <c r="CK20" s="11" t="str">
        <f>IF('P37'!$G16&lt;&gt;"", 'P37'!$G16, "non")</f>
        <v>non</v>
      </c>
      <c r="CL20" s="10" t="str">
        <f>IF('P38'!$G16&lt;&gt;"", 'P38'!$G16, "non")</f>
        <v>non</v>
      </c>
      <c r="CM20" s="11" t="str">
        <f>IF('P39'!$G16&lt;&gt;"", 'P39'!$G16, "non")</f>
        <v>non</v>
      </c>
      <c r="CN20" s="10" t="str">
        <f>IF('P40'!$G16&lt;&gt;"", 'P40'!$G16, "non")</f>
        <v>non</v>
      </c>
    </row>
    <row r="21" spans="1:92" s="6" customFormat="1" ht="39.75" customHeight="1">
      <c r="A21" s="122" t="str">
        <f>'Critères et tests'!B16</f>
        <v>COULEURS</v>
      </c>
      <c r="B21" s="124" t="str">
        <f>'Critères et tests'!$A16</f>
        <v>3.3</v>
      </c>
      <c r="C21" s="192" t="str">
        <f>VLOOKUP(B21,'Critères et tests'!$1:$1048576,5,FALSE)</f>
        <v>Dans chaque page web, les couleurs utilisées dans les composants d’interface ou les éléments graphiques porteurs d’informations sont-elles suffisamment contrastées (hors cas particuliers) ?</v>
      </c>
      <c r="D21" s="124" t="str">
        <f>'Critères et tests'!$C16</f>
        <v>A</v>
      </c>
      <c r="E21" s="156" t="s">
        <v>460</v>
      </c>
      <c r="F21" s="88">
        <f>IF('P01'!$E17&gt;"",'P01'!$E17&amp;" "&amp;CHAR(10)&amp;'P01'!$F17,'P01'!$E17)</f>
        <v>0</v>
      </c>
      <c r="G21" s="89">
        <f>IF('P02'!$E17&gt;"",'P02'!$E17&amp;" "&amp;CHAR(10)&amp;'P02'!$F17,'P02'!$E17)</f>
        <v>0</v>
      </c>
      <c r="H21" s="89">
        <f>IF('P03'!$E17&gt;"",'P03'!$E17&amp;" "&amp;CHAR(10)&amp;'P03'!$F17,'P03'!$E17)</f>
        <v>0</v>
      </c>
      <c r="I21" s="89">
        <f>IF('P04'!$E17&gt;"",'P04'!$E17&amp;" "&amp;CHAR(10)&amp;'P04'!$F17,'P04'!$E17)</f>
        <v>0</v>
      </c>
      <c r="J21" s="89">
        <f>IF('P05'!$E17&gt;"",'P05'!$E17&amp;" "&amp;CHAR(10)&amp;'P05'!$F17,'P05'!$E17)</f>
        <v>0</v>
      </c>
      <c r="K21" s="89">
        <f>IF('P06'!$E17&gt;"",'P06'!$E17&amp;" "&amp;CHAR(10)&amp;'P06'!$F17,'P06'!$E17)</f>
        <v>0</v>
      </c>
      <c r="L21" s="89">
        <f>IF('P07'!$E17&gt;"",'P07'!$E17&amp;" "&amp;CHAR(10)&amp;'P07'!$F17,'P07'!$E17)</f>
        <v>0</v>
      </c>
      <c r="M21" s="89">
        <f>IF('P08'!$E17&gt;"",'P08'!$E17&amp;" "&amp;CHAR(10)&amp;'P08'!$F17,'P08'!$E17)</f>
        <v>0</v>
      </c>
      <c r="N21" s="89">
        <f>IF('P09'!$E17&gt;"",'P09'!$E17&amp;" "&amp;CHAR(10)&amp;'P09'!$F17,'P09'!$E17)</f>
        <v>0</v>
      </c>
      <c r="O21" s="89">
        <f>IF('P10'!$E17&gt;"",'P10'!$E17&amp;" "&amp;CHAR(10)&amp;'P10'!$F17,'P10'!$E17)</f>
        <v>0</v>
      </c>
      <c r="P21" s="89">
        <f>IF('P11'!$E17&gt;"",'P11'!$E17&amp;" "&amp;CHAR(10)&amp;'P11'!$F17,'P11'!$E17)</f>
        <v>0</v>
      </c>
      <c r="Q21" s="89">
        <f>IF('P12'!$E17&gt;"",'P12'!$E17&amp;" "&amp;CHAR(10)&amp;'P12'!$F17,'P12'!$E17)</f>
        <v>0</v>
      </c>
      <c r="R21" s="89">
        <f>IF('P13'!$E17&gt;"",'P13'!$E17&amp;" "&amp;CHAR(10)&amp;'P13'!$F17,'P13'!$E17)</f>
        <v>0</v>
      </c>
      <c r="S21" s="89">
        <f>IF('P14'!$E17&gt;"",'P14'!$E17&amp;" "&amp;CHAR(10)&amp;'P14'!$F17,'P14'!$E17)</f>
        <v>0</v>
      </c>
      <c r="T21" s="89">
        <f>IF('P15'!$E17&gt;"",'P15'!$E17&amp;" "&amp;CHAR(10)&amp;'P15'!$F17,'P15'!$E17)</f>
        <v>0</v>
      </c>
      <c r="U21" s="89">
        <f>IF('P16'!$E17&gt;"",'P16'!$E17&amp;" "&amp;CHAR(10)&amp;'P16'!$F17,'P16'!$E17)</f>
        <v>0</v>
      </c>
      <c r="V21" s="89">
        <f>IF('P17'!$E17&gt;"",'P17'!$E17&amp;" "&amp;CHAR(10)&amp;'P17'!$F17,'P17'!$E17)</f>
        <v>0</v>
      </c>
      <c r="W21" s="89">
        <f>IF('P18'!$E17&gt;"",'P18'!$E17&amp;" "&amp;CHAR(10)&amp;'P18'!$F17,'P18'!$E17)</f>
        <v>0</v>
      </c>
      <c r="X21" s="89">
        <f>IF('P19'!$E17&gt;"",'P19'!$E17&amp;" "&amp;CHAR(10)&amp;'P19'!$F17,'P19'!$E17)</f>
        <v>0</v>
      </c>
      <c r="Y21" s="89">
        <f>IF('P20'!$E17&gt;"",'P20'!$E17&amp;" "&amp;CHAR(10)&amp;'P20'!$F17,'P20'!$E17)</f>
        <v>0</v>
      </c>
      <c r="Z21" s="89">
        <f>IF('P21'!$E17&gt;"",'P21'!$E17&amp;" "&amp;CHAR(10)&amp;'P21'!$F17,'P21'!$E17)</f>
        <v>0</v>
      </c>
      <c r="AA21" s="89">
        <f>IF('P22'!$E17&gt;"",'P22'!$E17&amp;" "&amp;CHAR(10)&amp;'P22'!$F17,'P22'!$E17)</f>
        <v>0</v>
      </c>
      <c r="AB21" s="89">
        <f>IF('P23'!$E17&gt;"",'P23'!$E17&amp;" "&amp;CHAR(10)&amp;'P23'!$F17,'P23'!$E17)</f>
        <v>0</v>
      </c>
      <c r="AC21" s="89">
        <f>IF('P24'!$E17&gt;"",'P24'!$E17&amp;" "&amp;CHAR(10)&amp;'P24'!$F17,'P24'!$E17)</f>
        <v>0</v>
      </c>
      <c r="AD21" s="89">
        <f>IF('P25'!$E17&gt;"",'P25'!$E17&amp;" "&amp;CHAR(10)&amp;'P25'!$F17,'P25'!$E17)</f>
        <v>0</v>
      </c>
      <c r="AE21" s="89">
        <f>IF('P26'!$E17&gt;"",'P26'!$E17&amp;" "&amp;CHAR(10)&amp;'P26'!$F17,'P26'!$E17)</f>
        <v>0</v>
      </c>
      <c r="AF21" s="89">
        <f>IF('P27'!$E17&gt;"",'P27'!$E17&amp;" "&amp;CHAR(10)&amp;'P27'!$F17,'P27'!$E17)</f>
        <v>0</v>
      </c>
      <c r="AG21" s="89">
        <f>IF('P28'!$E17&gt;"",'P28'!$E17&amp;" "&amp;CHAR(10)&amp;'P28'!$F17,'P28'!$E17)</f>
        <v>0</v>
      </c>
      <c r="AH21" s="89">
        <f>IF('P29'!$E17&gt;"",'P29'!$E17&amp;" "&amp;CHAR(10)&amp;'P29'!$F17,'P29'!$E17)</f>
        <v>0</v>
      </c>
      <c r="AI21" s="89">
        <f>IF('P30'!$E17&gt;"",'P30'!$E17&amp;" "&amp;CHAR(10)&amp;'P30'!$F17,'P30'!$E17)</f>
        <v>0</v>
      </c>
      <c r="AJ21" s="89">
        <f>IF('P31'!$E17&gt;"",'P31'!$E17&amp;" "&amp;CHAR(10)&amp;'P31'!$F17,'P31'!$E17)</f>
        <v>0</v>
      </c>
      <c r="AK21" s="89">
        <f>IF('P32'!$E17&gt;"",'P32'!$E17&amp;" "&amp;CHAR(10)&amp;'P32'!$F17,'P32'!$E17)</f>
        <v>0</v>
      </c>
      <c r="AL21" s="89">
        <f>IF('P33'!$E17&gt;"",'P33'!$E17&amp;" "&amp;CHAR(10)&amp;'P33'!$F17,'P33'!$E17)</f>
        <v>0</v>
      </c>
      <c r="AM21" s="89">
        <f>IF('P34'!$E17&gt;"",'P34'!$E17&amp;" "&amp;CHAR(10)&amp;'P34'!$F17,'P34'!$E17)</f>
        <v>0</v>
      </c>
      <c r="AN21" s="89">
        <f>IF('P35'!$E17&gt;"",'P35'!$E17&amp;" "&amp;CHAR(10)&amp;'P35'!$F17,'P35'!$E17)</f>
        <v>0</v>
      </c>
      <c r="AO21" s="89">
        <f>IF('P36'!$E17&gt;"",'P36'!$E17&amp;" "&amp;CHAR(10)&amp;'P36'!$F17,'P36'!$E17)</f>
        <v>0</v>
      </c>
      <c r="AP21" s="89">
        <f>IF('P37'!$E17&gt;"",'P37'!$E17&amp;" "&amp;CHAR(10)&amp;'P37'!$F17,'P37'!$E17)</f>
        <v>0</v>
      </c>
      <c r="AQ21" s="89">
        <f>IF('P38'!$E17&gt;"",'P38'!$E17&amp;" "&amp;CHAR(10)&amp;'P38'!$F17,'P38'!$E17)</f>
        <v>0</v>
      </c>
      <c r="AR21" s="89">
        <f>IF('P39'!$E17&gt;"",'P39'!$E17&amp;" "&amp;CHAR(10)&amp;'P39'!$F17,'P39'!$E17)</f>
        <v>0</v>
      </c>
      <c r="AS21" s="89">
        <f>IF('P40'!$E17&gt;"",'P40'!$E17&amp;" "&amp;CHAR(10)&amp;'P40'!$F17,'P40'!$E17)</f>
        <v>0</v>
      </c>
      <c r="AT21" s="55">
        <f t="shared" si="5"/>
        <v>0</v>
      </c>
      <c r="AU21" s="9">
        <f t="shared" si="6"/>
        <v>0</v>
      </c>
      <c r="AV21" s="55">
        <f t="shared" si="7"/>
        <v>0</v>
      </c>
      <c r="AW21" s="38" t="str">
        <f t="shared" si="8"/>
        <v>NT</v>
      </c>
      <c r="AX21" s="39"/>
      <c r="AY21" s="10"/>
      <c r="AZ21" s="10"/>
      <c r="BA21" s="10" t="str">
        <f>IF('P01'!$G17&lt;&gt;"", 'P01'!$G17, "non")</f>
        <v>non</v>
      </c>
      <c r="BB21" s="10" t="str">
        <f>IF('P02'!$G17&lt;&gt;"", 'P02'!$G17, "non")</f>
        <v>non</v>
      </c>
      <c r="BC21" s="10" t="str">
        <f>IF('P03'!$G17&lt;&gt;"", 'P03'!$G17, "non")</f>
        <v>non</v>
      </c>
      <c r="BD21" s="10" t="str">
        <f>IF('P04'!$G17&lt;&gt;"", 'P04'!$G17, "non")</f>
        <v>non</v>
      </c>
      <c r="BE21" s="10" t="str">
        <f>IF('P05'!$G17&lt;&gt;"", 'P05'!$G17, "non")</f>
        <v>non</v>
      </c>
      <c r="BF21" s="10" t="str">
        <f>IF('P06'!$G17&lt;&gt;"", 'P06'!$G17, "non")</f>
        <v>non</v>
      </c>
      <c r="BG21" s="10" t="str">
        <f>IF('P07'!$G17&lt;&gt;"", 'P07'!$G17, "non")</f>
        <v>non</v>
      </c>
      <c r="BH21" s="10" t="str">
        <f>IF('P08'!$G17&lt;&gt;"", 'P08'!$G17, "non")</f>
        <v>non</v>
      </c>
      <c r="BI21" s="10" t="str">
        <f>IF('P09'!$G17&lt;&gt;"", 'P09'!$G17, "non")</f>
        <v>non</v>
      </c>
      <c r="BJ21" s="10" t="str">
        <f>IF('P10'!$G17&lt;&gt;"", 'P10'!$G17, "non")</f>
        <v>non</v>
      </c>
      <c r="BK21" s="10" t="str">
        <f>IF('P11'!$G17&lt;&gt;"", 'P11'!$G17, "non")</f>
        <v>non</v>
      </c>
      <c r="BL21" s="10" t="str">
        <f>IF('P12'!$G17&lt;&gt;"", 'P12'!$G17, "non")</f>
        <v>non</v>
      </c>
      <c r="BM21" s="10" t="str">
        <f>IF('P13'!$G17&lt;&gt;"", 'P13'!$G17, "non")</f>
        <v>non</v>
      </c>
      <c r="BN21" s="10" t="str">
        <f>IF('P14'!$G17&lt;&gt;"", 'P14'!$G17, "non")</f>
        <v>non</v>
      </c>
      <c r="BO21" s="10" t="str">
        <f>IF('P15'!$G17&lt;&gt;"", 'P15'!$G17, "non")</f>
        <v>non</v>
      </c>
      <c r="BP21" s="10" t="str">
        <f>IF('P16'!$G17&lt;&gt;"", 'P16'!$G17, "non")</f>
        <v>non</v>
      </c>
      <c r="BQ21" s="10" t="str">
        <f>IF('P17'!$G17&lt;&gt;"", 'P17'!$G17, "non")</f>
        <v>non</v>
      </c>
      <c r="BR21" s="10" t="str">
        <f>IF('P18'!$G17&lt;&gt;"", 'P18'!$G17, "non")</f>
        <v>non</v>
      </c>
      <c r="BS21" s="10" t="str">
        <f>IF('P19'!$G17&lt;&gt;"", 'P19'!$G17, "non")</f>
        <v>non</v>
      </c>
      <c r="BT21" s="11" t="str">
        <f>IF('P20'!$G17&lt;&gt;"", 'P20'!$G17, "non")</f>
        <v>non</v>
      </c>
      <c r="BU21" s="10" t="str">
        <f>IF('P21'!$G17&lt;&gt;"", 'P21'!$G17, "non")</f>
        <v>non</v>
      </c>
      <c r="BV21" s="11" t="str">
        <f>IF('P22'!$G17&lt;&gt;"", 'P22'!$G17, "non")</f>
        <v>non</v>
      </c>
      <c r="BW21" s="10" t="str">
        <f>IF('P23'!$G17&lt;&gt;"", 'P23'!$G17, "non")</f>
        <v>non</v>
      </c>
      <c r="BX21" s="11" t="str">
        <f>IF('P24'!$G17&lt;&gt;"", 'P24'!$G17, "non")</f>
        <v>non</v>
      </c>
      <c r="BY21" s="10" t="str">
        <f>IF('P25'!$G17&lt;&gt;"", 'P25'!$G17, "non")</f>
        <v>non</v>
      </c>
      <c r="BZ21" s="11" t="str">
        <f>IF('P26'!$G17&lt;&gt;"", 'P26'!$G17, "non")</f>
        <v>non</v>
      </c>
      <c r="CA21" s="10" t="str">
        <f>IF('P27'!$G17&lt;&gt;"", 'P27'!$G17, "non")</f>
        <v>non</v>
      </c>
      <c r="CB21" s="11" t="str">
        <f>IF('P28'!$G17&lt;&gt;"", 'P28'!$G17, "non")</f>
        <v>non</v>
      </c>
      <c r="CC21" s="10" t="str">
        <f>IF('P29'!$G17&lt;&gt;"", 'P29'!$G17, "non")</f>
        <v>non</v>
      </c>
      <c r="CD21" s="11" t="str">
        <f>IF('P30'!$G17&lt;&gt;"", 'P30'!$G17, "non")</f>
        <v>non</v>
      </c>
      <c r="CE21" s="10" t="str">
        <f>IF('P31'!$G17&lt;&gt;"", 'P31'!$G17, "non")</f>
        <v>non</v>
      </c>
      <c r="CF21" s="11" t="str">
        <f>IF('P32'!$G17&lt;&gt;"", 'P32'!$G17, "non")</f>
        <v>non</v>
      </c>
      <c r="CG21" s="10" t="str">
        <f>IF('P33'!$G17&lt;&gt;"", 'P33'!$G17, "non")</f>
        <v>non</v>
      </c>
      <c r="CH21" s="10" t="str">
        <f>IF('P34'!$G17&lt;&gt;"", 'P34'!$G17, "non")</f>
        <v>non</v>
      </c>
      <c r="CI21" s="11" t="str">
        <f>IF('P35'!$G17&lt;&gt;"", 'P35'!$G17, "non")</f>
        <v>non</v>
      </c>
      <c r="CJ21" s="10" t="str">
        <f>IF('P36'!$G17&lt;&gt;"", 'P36'!$G17, "non")</f>
        <v>non</v>
      </c>
      <c r="CK21" s="11" t="str">
        <f>IF('P37'!$G17&lt;&gt;"", 'P37'!$G17, "non")</f>
        <v>non</v>
      </c>
      <c r="CL21" s="10" t="str">
        <f>IF('P38'!$G17&lt;&gt;"", 'P38'!$G17, "non")</f>
        <v>non</v>
      </c>
      <c r="CM21" s="11" t="str">
        <f>IF('P39'!$G17&lt;&gt;"", 'P39'!$G17, "non")</f>
        <v>non</v>
      </c>
      <c r="CN21" s="10" t="str">
        <f>IF('P40'!$G17&lt;&gt;"", 'P40'!$G17, "non")</f>
        <v>non</v>
      </c>
    </row>
    <row r="22" spans="1:92" s="6" customFormat="1" ht="39.75" customHeight="1">
      <c r="A22" s="122" t="str">
        <f>'Critères et tests'!B17</f>
        <v>MULTIMÉDIA</v>
      </c>
      <c r="B22" s="124" t="str">
        <f>'Critères et tests'!$A17</f>
        <v>4.1</v>
      </c>
      <c r="C22" s="192" t="str">
        <f>VLOOKUP(B22,'Critères et tests'!$1:$1048576,5,FALSE)</f>
        <v>Chaque média temporel préenregistré a-t-il, si nécessaire, une transcription textuelle ou une audiodescription (hors cas particuliers) ?</v>
      </c>
      <c r="D22" s="124" t="str">
        <f>'Critères et tests'!$C17</f>
        <v>A</v>
      </c>
      <c r="E22" s="156" t="s">
        <v>460</v>
      </c>
      <c r="F22" s="88">
        <f>IF('P01'!$E18&gt;"",'P01'!$E18&amp;" "&amp;CHAR(10)&amp;'P01'!$F18,'P01'!$E18)</f>
        <v>0</v>
      </c>
      <c r="G22" s="89">
        <f>IF('P02'!$E18&gt;"",'P02'!$E18&amp;" "&amp;CHAR(10)&amp;'P02'!$F18,'P02'!$E18)</f>
        <v>0</v>
      </c>
      <c r="H22" s="89">
        <f>IF('P03'!$E18&gt;"",'P03'!$E18&amp;" "&amp;CHAR(10)&amp;'P03'!$F18,'P03'!$E18)</f>
        <v>0</v>
      </c>
      <c r="I22" s="89">
        <f>IF('P04'!$E18&gt;"",'P04'!$E18&amp;" "&amp;CHAR(10)&amp;'P04'!$F18,'P04'!$E18)</f>
        <v>0</v>
      </c>
      <c r="J22" s="89">
        <f>IF('P05'!$E18&gt;"",'P05'!$E18&amp;" "&amp;CHAR(10)&amp;'P05'!$F18,'P05'!$E18)</f>
        <v>0</v>
      </c>
      <c r="K22" s="89">
        <f>IF('P06'!$E18&gt;"",'P06'!$E18&amp;" "&amp;CHAR(10)&amp;'P06'!$F18,'P06'!$E18)</f>
        <v>0</v>
      </c>
      <c r="L22" s="89">
        <f>IF('P07'!$E18&gt;"",'P07'!$E18&amp;" "&amp;CHAR(10)&amp;'P07'!$F18,'P07'!$E18)</f>
        <v>0</v>
      </c>
      <c r="M22" s="89">
        <f>IF('P08'!$E18&gt;"",'P08'!$E18&amp;" "&amp;CHAR(10)&amp;'P08'!$F18,'P08'!$E18)</f>
        <v>0</v>
      </c>
      <c r="N22" s="89">
        <f>IF('P09'!$E18&gt;"",'P09'!$E18&amp;" "&amp;CHAR(10)&amp;'P09'!$F18,'P09'!$E18)</f>
        <v>0</v>
      </c>
      <c r="O22" s="89">
        <f>IF('P10'!$E18&gt;"",'P10'!$E18&amp;" "&amp;CHAR(10)&amp;'P10'!$F18,'P10'!$E18)</f>
        <v>0</v>
      </c>
      <c r="P22" s="89">
        <f>IF('P11'!$E18&gt;"",'P11'!$E18&amp;" "&amp;CHAR(10)&amp;'P11'!$F18,'P11'!$E18)</f>
        <v>0</v>
      </c>
      <c r="Q22" s="89">
        <f>IF('P12'!$E18&gt;"",'P12'!$E18&amp;" "&amp;CHAR(10)&amp;'P12'!$F18,'P12'!$E18)</f>
        <v>0</v>
      </c>
      <c r="R22" s="89">
        <f>IF('P13'!$E18&gt;"",'P13'!$E18&amp;" "&amp;CHAR(10)&amp;'P13'!$F18,'P13'!$E18)</f>
        <v>0</v>
      </c>
      <c r="S22" s="89">
        <f>IF('P14'!$E18&gt;"",'P14'!$E18&amp;" "&amp;CHAR(10)&amp;'P14'!$F18,'P14'!$E18)</f>
        <v>0</v>
      </c>
      <c r="T22" s="89">
        <f>IF('P15'!$E18&gt;"",'P15'!$E18&amp;" "&amp;CHAR(10)&amp;'P15'!$F18,'P15'!$E18)</f>
        <v>0</v>
      </c>
      <c r="U22" s="89">
        <f>IF('P16'!$E18&gt;"",'P16'!$E18&amp;" "&amp;CHAR(10)&amp;'P16'!$F18,'P16'!$E18)</f>
        <v>0</v>
      </c>
      <c r="V22" s="89">
        <f>IF('P17'!$E18&gt;"",'P17'!$E18&amp;" "&amp;CHAR(10)&amp;'P17'!$F18,'P17'!$E18)</f>
        <v>0</v>
      </c>
      <c r="W22" s="89">
        <f>IF('P18'!$E18&gt;"",'P18'!$E18&amp;" "&amp;CHAR(10)&amp;'P18'!$F18,'P18'!$E18)</f>
        <v>0</v>
      </c>
      <c r="X22" s="89">
        <f>IF('P19'!$E18&gt;"",'P19'!$E18&amp;" "&amp;CHAR(10)&amp;'P19'!$F18,'P19'!$E18)</f>
        <v>0</v>
      </c>
      <c r="Y22" s="89">
        <f>IF('P20'!$E18&gt;"",'P20'!$E18&amp;" "&amp;CHAR(10)&amp;'P20'!$F18,'P20'!$E18)</f>
        <v>0</v>
      </c>
      <c r="Z22" s="89">
        <f>IF('P21'!$E18&gt;"",'P21'!$E18&amp;" "&amp;CHAR(10)&amp;'P21'!$F18,'P21'!$E18)</f>
        <v>0</v>
      </c>
      <c r="AA22" s="89">
        <f>IF('P22'!$E18&gt;"",'P22'!$E18&amp;" "&amp;CHAR(10)&amp;'P22'!$F18,'P22'!$E18)</f>
        <v>0</v>
      </c>
      <c r="AB22" s="89">
        <f>IF('P23'!$E18&gt;"",'P23'!$E18&amp;" "&amp;CHAR(10)&amp;'P23'!$F18,'P23'!$E18)</f>
        <v>0</v>
      </c>
      <c r="AC22" s="89">
        <f>IF('P24'!$E18&gt;"",'P24'!$E18&amp;" "&amp;CHAR(10)&amp;'P24'!$F18,'P24'!$E18)</f>
        <v>0</v>
      </c>
      <c r="AD22" s="89">
        <f>IF('P25'!$E18&gt;"",'P25'!$E18&amp;" "&amp;CHAR(10)&amp;'P25'!$F18,'P25'!$E18)</f>
        <v>0</v>
      </c>
      <c r="AE22" s="89">
        <f>IF('P26'!$E18&gt;"",'P26'!$E18&amp;" "&amp;CHAR(10)&amp;'P26'!$F18,'P26'!$E18)</f>
        <v>0</v>
      </c>
      <c r="AF22" s="89">
        <f>IF('P27'!$E18&gt;"",'P27'!$E18&amp;" "&amp;CHAR(10)&amp;'P27'!$F18,'P27'!$E18)</f>
        <v>0</v>
      </c>
      <c r="AG22" s="89">
        <f>IF('P28'!$E18&gt;"",'P28'!$E18&amp;" "&amp;CHAR(10)&amp;'P28'!$F18,'P28'!$E18)</f>
        <v>0</v>
      </c>
      <c r="AH22" s="89">
        <f>IF('P29'!$E18&gt;"",'P29'!$E18&amp;" "&amp;CHAR(10)&amp;'P29'!$F18,'P29'!$E18)</f>
        <v>0</v>
      </c>
      <c r="AI22" s="89">
        <f>IF('P30'!$E18&gt;"",'P30'!$E18&amp;" "&amp;CHAR(10)&amp;'P30'!$F18,'P30'!$E18)</f>
        <v>0</v>
      </c>
      <c r="AJ22" s="89">
        <f>IF('P31'!$E18&gt;"",'P31'!$E18&amp;" "&amp;CHAR(10)&amp;'P31'!$F18,'P31'!$E18)</f>
        <v>0</v>
      </c>
      <c r="AK22" s="89">
        <f>IF('P32'!$E18&gt;"",'P32'!$E18&amp;" "&amp;CHAR(10)&amp;'P32'!$F18,'P32'!$E18)</f>
        <v>0</v>
      </c>
      <c r="AL22" s="89">
        <f>IF('P33'!$E18&gt;"",'P33'!$E18&amp;" "&amp;CHAR(10)&amp;'P33'!$F18,'P33'!$E18)</f>
        <v>0</v>
      </c>
      <c r="AM22" s="89">
        <f>IF('P34'!$E18&gt;"",'P34'!$E18&amp;" "&amp;CHAR(10)&amp;'P34'!$F18,'P34'!$E18)</f>
        <v>0</v>
      </c>
      <c r="AN22" s="89">
        <f>IF('P35'!$E18&gt;"",'P35'!$E18&amp;" "&amp;CHAR(10)&amp;'P35'!$F18,'P35'!$E18)</f>
        <v>0</v>
      </c>
      <c r="AO22" s="89">
        <f>IF('P36'!$E18&gt;"",'P36'!$E18&amp;" "&amp;CHAR(10)&amp;'P36'!$F18,'P36'!$E18)</f>
        <v>0</v>
      </c>
      <c r="AP22" s="89">
        <f>IF('P37'!$E18&gt;"",'P37'!$E18&amp;" "&amp;CHAR(10)&amp;'P37'!$F18,'P37'!$E18)</f>
        <v>0</v>
      </c>
      <c r="AQ22" s="89">
        <f>IF('P38'!$E18&gt;"",'P38'!$E18&amp;" "&amp;CHAR(10)&amp;'P38'!$F18,'P38'!$E18)</f>
        <v>0</v>
      </c>
      <c r="AR22" s="89">
        <f>IF('P39'!$E18&gt;"",'P39'!$E18&amp;" "&amp;CHAR(10)&amp;'P39'!$F18,'P39'!$E18)</f>
        <v>0</v>
      </c>
      <c r="AS22" s="89">
        <f>IF('P40'!$E18&gt;"",'P40'!$E18&amp;" "&amp;CHAR(10)&amp;'P40'!$F18,'P40'!$E18)</f>
        <v>0</v>
      </c>
      <c r="AT22" s="55">
        <f t="shared" si="5"/>
        <v>0</v>
      </c>
      <c r="AU22" s="9">
        <f t="shared" si="6"/>
        <v>0</v>
      </c>
      <c r="AV22" s="55">
        <f t="shared" si="7"/>
        <v>0</v>
      </c>
      <c r="AW22" s="38" t="str">
        <f t="shared" si="8"/>
        <v>NT</v>
      </c>
      <c r="AX22" s="39"/>
      <c r="AY22" s="10"/>
      <c r="AZ22" s="10"/>
      <c r="BA22" s="10" t="str">
        <f>IF('P01'!$G18&lt;&gt;"", 'P01'!$G18, "non")</f>
        <v>non</v>
      </c>
      <c r="BB22" s="10" t="str">
        <f>IF('P02'!$G18&lt;&gt;"", 'P02'!$G18, "non")</f>
        <v>non</v>
      </c>
      <c r="BC22" s="10" t="str">
        <f>IF('P03'!$G18&lt;&gt;"", 'P03'!$G18, "non")</f>
        <v>non</v>
      </c>
      <c r="BD22" s="10" t="str">
        <f>IF('P04'!$G18&lt;&gt;"", 'P04'!$G18, "non")</f>
        <v>non</v>
      </c>
      <c r="BE22" s="10" t="str">
        <f>IF('P05'!$G18&lt;&gt;"", 'P05'!$G18, "non")</f>
        <v>non</v>
      </c>
      <c r="BF22" s="10" t="str">
        <f>IF('P06'!$G18&lt;&gt;"", 'P06'!$G18, "non")</f>
        <v>non</v>
      </c>
      <c r="BG22" s="10" t="str">
        <f>IF('P07'!$G18&lt;&gt;"", 'P07'!$G18, "non")</f>
        <v>non</v>
      </c>
      <c r="BH22" s="10" t="str">
        <f>IF('P08'!$G18&lt;&gt;"", 'P08'!$G18, "non")</f>
        <v>non</v>
      </c>
      <c r="BI22" s="10" t="str">
        <f>IF('P09'!$G18&lt;&gt;"", 'P09'!$G18, "non")</f>
        <v>non</v>
      </c>
      <c r="BJ22" s="10" t="str">
        <f>IF('P10'!$G18&lt;&gt;"", 'P10'!$G18, "non")</f>
        <v>non</v>
      </c>
      <c r="BK22" s="10" t="str">
        <f>IF('P11'!$G18&lt;&gt;"", 'P11'!$G18, "non")</f>
        <v>non</v>
      </c>
      <c r="BL22" s="10" t="str">
        <f>IF('P12'!$G18&lt;&gt;"", 'P12'!$G18, "non")</f>
        <v>non</v>
      </c>
      <c r="BM22" s="10" t="str">
        <f>IF('P13'!$G18&lt;&gt;"", 'P13'!$G18, "non")</f>
        <v>non</v>
      </c>
      <c r="BN22" s="10" t="str">
        <f>IF('P14'!$G18&lt;&gt;"", 'P14'!$G18, "non")</f>
        <v>non</v>
      </c>
      <c r="BO22" s="10" t="str">
        <f>IF('P15'!$G18&lt;&gt;"", 'P15'!$G18, "non")</f>
        <v>non</v>
      </c>
      <c r="BP22" s="10" t="str">
        <f>IF('P16'!$G18&lt;&gt;"", 'P16'!$G18, "non")</f>
        <v>non</v>
      </c>
      <c r="BQ22" s="10" t="str">
        <f>IF('P17'!$G18&lt;&gt;"", 'P17'!$G18, "non")</f>
        <v>non</v>
      </c>
      <c r="BR22" s="10" t="str">
        <f>IF('P18'!$G18&lt;&gt;"", 'P18'!$G18, "non")</f>
        <v>non</v>
      </c>
      <c r="BS22" s="10" t="str">
        <f>IF('P19'!$G18&lt;&gt;"", 'P19'!$G18, "non")</f>
        <v>non</v>
      </c>
      <c r="BT22" s="11" t="str">
        <f>IF('P20'!$G18&lt;&gt;"", 'P20'!$G18, "non")</f>
        <v>non</v>
      </c>
      <c r="BU22" s="10" t="str">
        <f>IF('P21'!$G18&lt;&gt;"", 'P21'!$G18, "non")</f>
        <v>non</v>
      </c>
      <c r="BV22" s="11" t="str">
        <f>IF('P22'!$G18&lt;&gt;"", 'P22'!$G18, "non")</f>
        <v>non</v>
      </c>
      <c r="BW22" s="10" t="str">
        <f>IF('P23'!$G18&lt;&gt;"", 'P23'!$G18, "non")</f>
        <v>non</v>
      </c>
      <c r="BX22" s="11" t="str">
        <f>IF('P24'!$G18&lt;&gt;"", 'P24'!$G18, "non")</f>
        <v>non</v>
      </c>
      <c r="BY22" s="10" t="str">
        <f>IF('P25'!$G18&lt;&gt;"", 'P25'!$G18, "non")</f>
        <v>non</v>
      </c>
      <c r="BZ22" s="11" t="str">
        <f>IF('P26'!$G18&lt;&gt;"", 'P26'!$G18, "non")</f>
        <v>non</v>
      </c>
      <c r="CA22" s="10" t="str">
        <f>IF('P27'!$G18&lt;&gt;"", 'P27'!$G18, "non")</f>
        <v>non</v>
      </c>
      <c r="CB22" s="11" t="str">
        <f>IF('P28'!$G18&lt;&gt;"", 'P28'!$G18, "non")</f>
        <v>non</v>
      </c>
      <c r="CC22" s="10" t="str">
        <f>IF('P29'!$G18&lt;&gt;"", 'P29'!$G18, "non")</f>
        <v>non</v>
      </c>
      <c r="CD22" s="11" t="str">
        <f>IF('P30'!$G18&lt;&gt;"", 'P30'!$G18, "non")</f>
        <v>non</v>
      </c>
      <c r="CE22" s="10" t="str">
        <f>IF('P31'!$G18&lt;&gt;"", 'P31'!$G18, "non")</f>
        <v>non</v>
      </c>
      <c r="CF22" s="11" t="str">
        <f>IF('P32'!$G18&lt;&gt;"", 'P32'!$G18, "non")</f>
        <v>non</v>
      </c>
      <c r="CG22" s="10" t="str">
        <f>IF('P33'!$G18&lt;&gt;"", 'P33'!$G18, "non")</f>
        <v>non</v>
      </c>
      <c r="CH22" s="10" t="str">
        <f>IF('P34'!$G18&lt;&gt;"", 'P34'!$G18, "non")</f>
        <v>non</v>
      </c>
      <c r="CI22" s="11" t="str">
        <f>IF('P35'!$G18&lt;&gt;"", 'P35'!$G18, "non")</f>
        <v>non</v>
      </c>
      <c r="CJ22" s="10" t="str">
        <f>IF('P36'!$G18&lt;&gt;"", 'P36'!$G18, "non")</f>
        <v>non</v>
      </c>
      <c r="CK22" s="11" t="str">
        <f>IF('P37'!$G18&lt;&gt;"", 'P37'!$G18, "non")</f>
        <v>non</v>
      </c>
      <c r="CL22" s="10" t="str">
        <f>IF('P38'!$G18&lt;&gt;"", 'P38'!$G18, "non")</f>
        <v>non</v>
      </c>
      <c r="CM22" s="11" t="str">
        <f>IF('P39'!$G18&lt;&gt;"", 'P39'!$G18, "non")</f>
        <v>non</v>
      </c>
      <c r="CN22" s="10" t="str">
        <f>IF('P40'!$G18&lt;&gt;"", 'P40'!$G18, "non")</f>
        <v>non</v>
      </c>
    </row>
    <row r="23" spans="1:92" s="6" customFormat="1" ht="39.75" customHeight="1">
      <c r="A23" s="122" t="str">
        <f>'Critères et tests'!B18</f>
        <v>MULTIMÉDIA</v>
      </c>
      <c r="B23" s="124" t="str">
        <f>'Critères et tests'!$A18</f>
        <v>4.2</v>
      </c>
      <c r="C23" s="192" t="str">
        <f>VLOOKUP(B23,'Critères et tests'!$1:$1048576,5,FALSE)</f>
        <v>Pour chaque média temporel préenregistré ayant une transcription textuelle ou une audiodescription synchronisée, celles-ci sont-elles pertinentes (hors cas particuliers) ?</v>
      </c>
      <c r="D23" s="124" t="str">
        <f>'Critères et tests'!$C18</f>
        <v>A</v>
      </c>
      <c r="E23" s="156" t="s">
        <v>460</v>
      </c>
      <c r="F23" s="88">
        <f>IF('P01'!$E19&gt;"",'P01'!$E19&amp;" "&amp;CHAR(10)&amp;'P01'!$F19,'P01'!$E19)</f>
        <v>0</v>
      </c>
      <c r="G23" s="89">
        <f>IF('P02'!$E19&gt;"",'P02'!$E19&amp;" "&amp;CHAR(10)&amp;'P02'!$F19,'P02'!$E19)</f>
        <v>0</v>
      </c>
      <c r="H23" s="89">
        <f>IF('P03'!$E19&gt;"",'P03'!$E19&amp;" "&amp;CHAR(10)&amp;'P03'!$F19,'P03'!$E19)</f>
        <v>0</v>
      </c>
      <c r="I23" s="89">
        <f>IF('P04'!$E19&gt;"",'P04'!$E19&amp;" "&amp;CHAR(10)&amp;'P04'!$F19,'P04'!$E19)</f>
        <v>0</v>
      </c>
      <c r="J23" s="89">
        <f>IF('P05'!$E19&gt;"",'P05'!$E19&amp;" "&amp;CHAR(10)&amp;'P05'!$F19,'P05'!$E19)</f>
        <v>0</v>
      </c>
      <c r="K23" s="89">
        <f>IF('P06'!$E19&gt;"",'P06'!$E19&amp;" "&amp;CHAR(10)&amp;'P06'!$F19,'P06'!$E19)</f>
        <v>0</v>
      </c>
      <c r="L23" s="89">
        <f>IF('P07'!$E19&gt;"",'P07'!$E19&amp;" "&amp;CHAR(10)&amp;'P07'!$F19,'P07'!$E19)</f>
        <v>0</v>
      </c>
      <c r="M23" s="89">
        <f>IF('P08'!$E19&gt;"",'P08'!$E19&amp;" "&amp;CHAR(10)&amp;'P08'!$F19,'P08'!$E19)</f>
        <v>0</v>
      </c>
      <c r="N23" s="89">
        <f>IF('P09'!$E19&gt;"",'P09'!$E19&amp;" "&amp;CHAR(10)&amp;'P09'!$F19,'P09'!$E19)</f>
        <v>0</v>
      </c>
      <c r="O23" s="89">
        <f>IF('P10'!$E19&gt;"",'P10'!$E19&amp;" "&amp;CHAR(10)&amp;'P10'!$F19,'P10'!$E19)</f>
        <v>0</v>
      </c>
      <c r="P23" s="89">
        <f>IF('P11'!$E19&gt;"",'P11'!$E19&amp;" "&amp;CHAR(10)&amp;'P11'!$F19,'P11'!$E19)</f>
        <v>0</v>
      </c>
      <c r="Q23" s="89">
        <f>IF('P12'!$E19&gt;"",'P12'!$E19&amp;" "&amp;CHAR(10)&amp;'P12'!$F19,'P12'!$E19)</f>
        <v>0</v>
      </c>
      <c r="R23" s="89">
        <f>IF('P13'!$E19&gt;"",'P13'!$E19&amp;" "&amp;CHAR(10)&amp;'P13'!$F19,'P13'!$E19)</f>
        <v>0</v>
      </c>
      <c r="S23" s="89">
        <f>IF('P14'!$E19&gt;"",'P14'!$E19&amp;" "&amp;CHAR(10)&amp;'P14'!$F19,'P14'!$E19)</f>
        <v>0</v>
      </c>
      <c r="T23" s="89">
        <f>IF('P15'!$E19&gt;"",'P15'!$E19&amp;" "&amp;CHAR(10)&amp;'P15'!$F19,'P15'!$E19)</f>
        <v>0</v>
      </c>
      <c r="U23" s="89">
        <f>IF('P16'!$E19&gt;"",'P16'!$E19&amp;" "&amp;CHAR(10)&amp;'P16'!$F19,'P16'!$E19)</f>
        <v>0</v>
      </c>
      <c r="V23" s="89">
        <f>IF('P17'!$E19&gt;"",'P17'!$E19&amp;" "&amp;CHAR(10)&amp;'P17'!$F19,'P17'!$E19)</f>
        <v>0</v>
      </c>
      <c r="W23" s="89">
        <f>IF('P18'!$E19&gt;"",'P18'!$E19&amp;" "&amp;CHAR(10)&amp;'P18'!$F19,'P18'!$E19)</f>
        <v>0</v>
      </c>
      <c r="X23" s="89">
        <f>IF('P19'!$E19&gt;"",'P19'!$E19&amp;" "&amp;CHAR(10)&amp;'P19'!$F19,'P19'!$E19)</f>
        <v>0</v>
      </c>
      <c r="Y23" s="89">
        <f>IF('P20'!$E19&gt;"",'P20'!$E19&amp;" "&amp;CHAR(10)&amp;'P20'!$F19,'P20'!$E19)</f>
        <v>0</v>
      </c>
      <c r="Z23" s="89">
        <f>IF('P21'!$E19&gt;"",'P21'!$E19&amp;" "&amp;CHAR(10)&amp;'P21'!$F19,'P21'!$E19)</f>
        <v>0</v>
      </c>
      <c r="AA23" s="89">
        <f>IF('P22'!$E19&gt;"",'P22'!$E19&amp;" "&amp;CHAR(10)&amp;'P22'!$F19,'P22'!$E19)</f>
        <v>0</v>
      </c>
      <c r="AB23" s="89">
        <f>IF('P23'!$E19&gt;"",'P23'!$E19&amp;" "&amp;CHAR(10)&amp;'P23'!$F19,'P23'!$E19)</f>
        <v>0</v>
      </c>
      <c r="AC23" s="89">
        <f>IF('P24'!$E19&gt;"",'P24'!$E19&amp;" "&amp;CHAR(10)&amp;'P24'!$F19,'P24'!$E19)</f>
        <v>0</v>
      </c>
      <c r="AD23" s="89">
        <f>IF('P25'!$E19&gt;"",'P25'!$E19&amp;" "&amp;CHAR(10)&amp;'P25'!$F19,'P25'!$E19)</f>
        <v>0</v>
      </c>
      <c r="AE23" s="89">
        <f>IF('P26'!$E19&gt;"",'P26'!$E19&amp;" "&amp;CHAR(10)&amp;'P26'!$F19,'P26'!$E19)</f>
        <v>0</v>
      </c>
      <c r="AF23" s="89">
        <f>IF('P27'!$E19&gt;"",'P27'!$E19&amp;" "&amp;CHAR(10)&amp;'P27'!$F19,'P27'!$E19)</f>
        <v>0</v>
      </c>
      <c r="AG23" s="89">
        <f>IF('P28'!$E19&gt;"",'P28'!$E19&amp;" "&amp;CHAR(10)&amp;'P28'!$F19,'P28'!$E19)</f>
        <v>0</v>
      </c>
      <c r="AH23" s="89">
        <f>IF('P29'!$E19&gt;"",'P29'!$E19&amp;" "&amp;CHAR(10)&amp;'P29'!$F19,'P29'!$E19)</f>
        <v>0</v>
      </c>
      <c r="AI23" s="89">
        <f>IF('P30'!$E19&gt;"",'P30'!$E19&amp;" "&amp;CHAR(10)&amp;'P30'!$F19,'P30'!$E19)</f>
        <v>0</v>
      </c>
      <c r="AJ23" s="89">
        <f>IF('P31'!$E19&gt;"",'P31'!$E19&amp;" "&amp;CHAR(10)&amp;'P31'!$F19,'P31'!$E19)</f>
        <v>0</v>
      </c>
      <c r="AK23" s="89">
        <f>IF('P32'!$E19&gt;"",'P32'!$E19&amp;" "&amp;CHAR(10)&amp;'P32'!$F19,'P32'!$E19)</f>
        <v>0</v>
      </c>
      <c r="AL23" s="89">
        <f>IF('P33'!$E19&gt;"",'P33'!$E19&amp;" "&amp;CHAR(10)&amp;'P33'!$F19,'P33'!$E19)</f>
        <v>0</v>
      </c>
      <c r="AM23" s="89">
        <f>IF('P34'!$E19&gt;"",'P34'!$E19&amp;" "&amp;CHAR(10)&amp;'P34'!$F19,'P34'!$E19)</f>
        <v>0</v>
      </c>
      <c r="AN23" s="89">
        <f>IF('P35'!$E19&gt;"",'P35'!$E19&amp;" "&amp;CHAR(10)&amp;'P35'!$F19,'P35'!$E19)</f>
        <v>0</v>
      </c>
      <c r="AO23" s="89">
        <f>IF('P36'!$E19&gt;"",'P36'!$E19&amp;" "&amp;CHAR(10)&amp;'P36'!$F19,'P36'!$E19)</f>
        <v>0</v>
      </c>
      <c r="AP23" s="89">
        <f>IF('P37'!$E19&gt;"",'P37'!$E19&amp;" "&amp;CHAR(10)&amp;'P37'!$F19,'P37'!$E19)</f>
        <v>0</v>
      </c>
      <c r="AQ23" s="89">
        <f>IF('P38'!$E19&gt;"",'P38'!$E19&amp;" "&amp;CHAR(10)&amp;'P38'!$F19,'P38'!$E19)</f>
        <v>0</v>
      </c>
      <c r="AR23" s="89">
        <f>IF('P39'!$E19&gt;"",'P39'!$E19&amp;" "&amp;CHAR(10)&amp;'P39'!$F19,'P39'!$E19)</f>
        <v>0</v>
      </c>
      <c r="AS23" s="89">
        <f>IF('P40'!$E19&gt;"",'P40'!$E19&amp;" "&amp;CHAR(10)&amp;'P40'!$F19,'P40'!$E19)</f>
        <v>0</v>
      </c>
      <c r="AT23" s="55">
        <f t="shared" si="5"/>
        <v>0</v>
      </c>
      <c r="AU23" s="9">
        <f t="shared" si="6"/>
        <v>0</v>
      </c>
      <c r="AV23" s="55">
        <f t="shared" si="7"/>
        <v>0</v>
      </c>
      <c r="AW23" s="38" t="str">
        <f t="shared" si="8"/>
        <v>NT</v>
      </c>
      <c r="AX23" s="39"/>
      <c r="AY23" s="10"/>
      <c r="AZ23" s="10"/>
      <c r="BA23" s="10" t="str">
        <f>IF('P01'!$G19&lt;&gt;"", 'P01'!$G19, "non")</f>
        <v>non</v>
      </c>
      <c r="BB23" s="10" t="str">
        <f>IF('P02'!$G19&lt;&gt;"", 'P02'!$G19, "non")</f>
        <v>non</v>
      </c>
      <c r="BC23" s="10" t="str">
        <f>IF('P03'!$G19&lt;&gt;"", 'P03'!$G19, "non")</f>
        <v>non</v>
      </c>
      <c r="BD23" s="10" t="str">
        <f>IF('P04'!$G19&lt;&gt;"", 'P04'!$G19, "non")</f>
        <v>non</v>
      </c>
      <c r="BE23" s="10" t="str">
        <f>IF('P05'!$G19&lt;&gt;"", 'P05'!$G19, "non")</f>
        <v>non</v>
      </c>
      <c r="BF23" s="10" t="str">
        <f>IF('P06'!$G19&lt;&gt;"", 'P06'!$G19, "non")</f>
        <v>non</v>
      </c>
      <c r="BG23" s="10" t="str">
        <f>IF('P07'!$G19&lt;&gt;"", 'P07'!$G19, "non")</f>
        <v>non</v>
      </c>
      <c r="BH23" s="10" t="str">
        <f>IF('P08'!$G19&lt;&gt;"", 'P08'!$G19, "non")</f>
        <v>non</v>
      </c>
      <c r="BI23" s="10" t="str">
        <f>IF('P09'!$G19&lt;&gt;"", 'P09'!$G19, "non")</f>
        <v>non</v>
      </c>
      <c r="BJ23" s="10" t="str">
        <f>IF('P10'!$G19&lt;&gt;"", 'P10'!$G19, "non")</f>
        <v>non</v>
      </c>
      <c r="BK23" s="10" t="str">
        <f>IF('P11'!$G19&lt;&gt;"", 'P11'!$G19, "non")</f>
        <v>non</v>
      </c>
      <c r="BL23" s="10" t="str">
        <f>IF('P12'!$G19&lt;&gt;"", 'P12'!$G19, "non")</f>
        <v>non</v>
      </c>
      <c r="BM23" s="10" t="str">
        <f>IF('P13'!$G19&lt;&gt;"", 'P13'!$G19, "non")</f>
        <v>non</v>
      </c>
      <c r="BN23" s="10" t="str">
        <f>IF('P14'!$G19&lt;&gt;"", 'P14'!$G19, "non")</f>
        <v>non</v>
      </c>
      <c r="BO23" s="10" t="str">
        <f>IF('P15'!$G19&lt;&gt;"", 'P15'!$G19, "non")</f>
        <v>non</v>
      </c>
      <c r="BP23" s="10" t="str">
        <f>IF('P16'!$G19&lt;&gt;"", 'P16'!$G19, "non")</f>
        <v>non</v>
      </c>
      <c r="BQ23" s="10" t="str">
        <f>IF('P17'!$G19&lt;&gt;"", 'P17'!$G19, "non")</f>
        <v>non</v>
      </c>
      <c r="BR23" s="10" t="str">
        <f>IF('P18'!$G19&lt;&gt;"", 'P18'!$G19, "non")</f>
        <v>non</v>
      </c>
      <c r="BS23" s="10" t="str">
        <f>IF('P19'!$G19&lt;&gt;"", 'P19'!$G19, "non")</f>
        <v>non</v>
      </c>
      <c r="BT23" s="11" t="str">
        <f>IF('P20'!$G19&lt;&gt;"", 'P20'!$G19, "non")</f>
        <v>non</v>
      </c>
      <c r="BU23" s="10" t="str">
        <f>IF('P21'!$G19&lt;&gt;"", 'P21'!$G19, "non")</f>
        <v>non</v>
      </c>
      <c r="BV23" s="11" t="str">
        <f>IF('P22'!$G19&lt;&gt;"", 'P22'!$G19, "non")</f>
        <v>non</v>
      </c>
      <c r="BW23" s="10" t="str">
        <f>IF('P23'!$G19&lt;&gt;"", 'P23'!$G19, "non")</f>
        <v>non</v>
      </c>
      <c r="BX23" s="11" t="str">
        <f>IF('P24'!$G19&lt;&gt;"", 'P24'!$G19, "non")</f>
        <v>non</v>
      </c>
      <c r="BY23" s="10" t="str">
        <f>IF('P25'!$G19&lt;&gt;"", 'P25'!$G19, "non")</f>
        <v>non</v>
      </c>
      <c r="BZ23" s="11" t="str">
        <f>IF('P26'!$G19&lt;&gt;"", 'P26'!$G19, "non")</f>
        <v>non</v>
      </c>
      <c r="CA23" s="10" t="str">
        <f>IF('P27'!$G19&lt;&gt;"", 'P27'!$G19, "non")</f>
        <v>non</v>
      </c>
      <c r="CB23" s="11" t="str">
        <f>IF('P28'!$G19&lt;&gt;"", 'P28'!$G19, "non")</f>
        <v>non</v>
      </c>
      <c r="CC23" s="10" t="str">
        <f>IF('P29'!$G19&lt;&gt;"", 'P29'!$G19, "non")</f>
        <v>non</v>
      </c>
      <c r="CD23" s="11" t="str">
        <f>IF('P30'!$G19&lt;&gt;"", 'P30'!$G19, "non")</f>
        <v>non</v>
      </c>
      <c r="CE23" s="10" t="str">
        <f>IF('P31'!$G19&lt;&gt;"", 'P31'!$G19, "non")</f>
        <v>non</v>
      </c>
      <c r="CF23" s="11" t="str">
        <f>IF('P32'!$G19&lt;&gt;"", 'P32'!$G19, "non")</f>
        <v>non</v>
      </c>
      <c r="CG23" s="10" t="str">
        <f>IF('P33'!$G19&lt;&gt;"", 'P33'!$G19, "non")</f>
        <v>non</v>
      </c>
      <c r="CH23" s="10" t="str">
        <f>IF('P34'!$G19&lt;&gt;"", 'P34'!$G19, "non")</f>
        <v>non</v>
      </c>
      <c r="CI23" s="11" t="str">
        <f>IF('P35'!$G19&lt;&gt;"", 'P35'!$G19, "non")</f>
        <v>non</v>
      </c>
      <c r="CJ23" s="10" t="str">
        <f>IF('P36'!$G19&lt;&gt;"", 'P36'!$G19, "non")</f>
        <v>non</v>
      </c>
      <c r="CK23" s="11" t="str">
        <f>IF('P37'!$G19&lt;&gt;"", 'P37'!$G19, "non")</f>
        <v>non</v>
      </c>
      <c r="CL23" s="10" t="str">
        <f>IF('P38'!$G19&lt;&gt;"", 'P38'!$G19, "non")</f>
        <v>non</v>
      </c>
      <c r="CM23" s="11" t="str">
        <f>IF('P39'!$G19&lt;&gt;"", 'P39'!$G19, "non")</f>
        <v>non</v>
      </c>
      <c r="CN23" s="10" t="str">
        <f>IF('P40'!$G19&lt;&gt;"", 'P40'!$G19, "non")</f>
        <v>non</v>
      </c>
    </row>
    <row r="24" spans="1:92" s="6" customFormat="1" ht="39.75" customHeight="1">
      <c r="A24" s="122" t="str">
        <f>'Critères et tests'!B19</f>
        <v>MULTIMÉDIA</v>
      </c>
      <c r="B24" s="124" t="str">
        <f>'Critères et tests'!$A19</f>
        <v>4.3</v>
      </c>
      <c r="C24" s="192" t="str">
        <f>VLOOKUP(B24,'Critères et tests'!$1:$1048576,5,FALSE)</f>
        <v>Chaque média temporel synchronisé préenregistré a-t-il, si nécessaire, des sous-titres synchronisés (hors cas particuliers) ?</v>
      </c>
      <c r="D24" s="124" t="str">
        <f>'Critères et tests'!$C19</f>
        <v>A</v>
      </c>
      <c r="E24" s="156" t="s">
        <v>460</v>
      </c>
      <c r="F24" s="88">
        <f>IF('P01'!$E20&gt;"",'P01'!$E20&amp;" "&amp;CHAR(10)&amp;'P01'!$F20,'P01'!$E20)</f>
        <v>0</v>
      </c>
      <c r="G24" s="89">
        <f>IF('P02'!$E20&gt;"",'P02'!$E20&amp;" "&amp;CHAR(10)&amp;'P02'!$F20,'P02'!$E20)</f>
        <v>0</v>
      </c>
      <c r="H24" s="89">
        <f>IF('P03'!$E20&gt;"",'P03'!$E20&amp;" "&amp;CHAR(10)&amp;'P03'!$F20,'P03'!$E20)</f>
        <v>0</v>
      </c>
      <c r="I24" s="89">
        <f>IF('P04'!$E20&gt;"",'P04'!$E20&amp;" "&amp;CHAR(10)&amp;'P04'!$F20,'P04'!$E20)</f>
        <v>0</v>
      </c>
      <c r="J24" s="89">
        <f>IF('P05'!$E20&gt;"",'P05'!$E20&amp;" "&amp;CHAR(10)&amp;'P05'!$F20,'P05'!$E20)</f>
        <v>0</v>
      </c>
      <c r="K24" s="89">
        <f>IF('P06'!$E20&gt;"",'P06'!$E20&amp;" "&amp;CHAR(10)&amp;'P06'!$F20,'P06'!$E20)</f>
        <v>0</v>
      </c>
      <c r="L24" s="89">
        <f>IF('P07'!$E20&gt;"",'P07'!$E20&amp;" "&amp;CHAR(10)&amp;'P07'!$F20,'P07'!$E20)</f>
        <v>0</v>
      </c>
      <c r="M24" s="89">
        <f>IF('P08'!$E20&gt;"",'P08'!$E20&amp;" "&amp;CHAR(10)&amp;'P08'!$F20,'P08'!$E20)</f>
        <v>0</v>
      </c>
      <c r="N24" s="89">
        <f>IF('P09'!$E20&gt;"",'P09'!$E20&amp;" "&amp;CHAR(10)&amp;'P09'!$F20,'P09'!$E20)</f>
        <v>0</v>
      </c>
      <c r="O24" s="89">
        <f>IF('P10'!$E20&gt;"",'P10'!$E20&amp;" "&amp;CHAR(10)&amp;'P10'!$F20,'P10'!$E20)</f>
        <v>0</v>
      </c>
      <c r="P24" s="89">
        <f>IF('P11'!$E20&gt;"",'P11'!$E20&amp;" "&amp;CHAR(10)&amp;'P11'!$F20,'P11'!$E20)</f>
        <v>0</v>
      </c>
      <c r="Q24" s="89">
        <f>IF('P12'!$E20&gt;"",'P12'!$E20&amp;" "&amp;CHAR(10)&amp;'P12'!$F20,'P12'!$E20)</f>
        <v>0</v>
      </c>
      <c r="R24" s="89">
        <f>IF('P13'!$E20&gt;"",'P13'!$E20&amp;" "&amp;CHAR(10)&amp;'P13'!$F20,'P13'!$E20)</f>
        <v>0</v>
      </c>
      <c r="S24" s="89">
        <f>IF('P14'!$E20&gt;"",'P14'!$E20&amp;" "&amp;CHAR(10)&amp;'P14'!$F20,'P14'!$E20)</f>
        <v>0</v>
      </c>
      <c r="T24" s="89">
        <f>IF('P15'!$E20&gt;"",'P15'!$E20&amp;" "&amp;CHAR(10)&amp;'P15'!$F20,'P15'!$E20)</f>
        <v>0</v>
      </c>
      <c r="U24" s="89">
        <f>IF('P16'!$E20&gt;"",'P16'!$E20&amp;" "&amp;CHAR(10)&amp;'P16'!$F20,'P16'!$E20)</f>
        <v>0</v>
      </c>
      <c r="V24" s="89">
        <f>IF('P17'!$E20&gt;"",'P17'!$E20&amp;" "&amp;CHAR(10)&amp;'P17'!$F20,'P17'!$E20)</f>
        <v>0</v>
      </c>
      <c r="W24" s="89">
        <f>IF('P18'!$E20&gt;"",'P18'!$E20&amp;" "&amp;CHAR(10)&amp;'P18'!$F20,'P18'!$E20)</f>
        <v>0</v>
      </c>
      <c r="X24" s="89">
        <f>IF('P19'!$E20&gt;"",'P19'!$E20&amp;" "&amp;CHAR(10)&amp;'P19'!$F20,'P19'!$E20)</f>
        <v>0</v>
      </c>
      <c r="Y24" s="89">
        <f>IF('P20'!$E20&gt;"",'P20'!$E20&amp;" "&amp;CHAR(10)&amp;'P20'!$F20,'P20'!$E20)</f>
        <v>0</v>
      </c>
      <c r="Z24" s="89">
        <f>IF('P21'!$E20&gt;"",'P21'!$E20&amp;" "&amp;CHAR(10)&amp;'P21'!$F20,'P21'!$E20)</f>
        <v>0</v>
      </c>
      <c r="AA24" s="89">
        <f>IF('P22'!$E20&gt;"",'P22'!$E20&amp;" "&amp;CHAR(10)&amp;'P22'!$F20,'P22'!$E20)</f>
        <v>0</v>
      </c>
      <c r="AB24" s="89">
        <f>IF('P23'!$E20&gt;"",'P23'!$E20&amp;" "&amp;CHAR(10)&amp;'P23'!$F20,'P23'!$E20)</f>
        <v>0</v>
      </c>
      <c r="AC24" s="89">
        <f>IF('P24'!$E20&gt;"",'P24'!$E20&amp;" "&amp;CHAR(10)&amp;'P24'!$F20,'P24'!$E20)</f>
        <v>0</v>
      </c>
      <c r="AD24" s="89">
        <f>IF('P25'!$E20&gt;"",'P25'!$E20&amp;" "&amp;CHAR(10)&amp;'P25'!$F20,'P25'!$E20)</f>
        <v>0</v>
      </c>
      <c r="AE24" s="89">
        <f>IF('P26'!$E20&gt;"",'P26'!$E20&amp;" "&amp;CHAR(10)&amp;'P26'!$F20,'P26'!$E20)</f>
        <v>0</v>
      </c>
      <c r="AF24" s="89">
        <f>IF('P27'!$E20&gt;"",'P27'!$E20&amp;" "&amp;CHAR(10)&amp;'P27'!$F20,'P27'!$E20)</f>
        <v>0</v>
      </c>
      <c r="AG24" s="89">
        <f>IF('P28'!$E20&gt;"",'P28'!$E20&amp;" "&amp;CHAR(10)&amp;'P28'!$F20,'P28'!$E20)</f>
        <v>0</v>
      </c>
      <c r="AH24" s="89">
        <f>IF('P29'!$E20&gt;"",'P29'!$E20&amp;" "&amp;CHAR(10)&amp;'P29'!$F20,'P29'!$E20)</f>
        <v>0</v>
      </c>
      <c r="AI24" s="89">
        <f>IF('P30'!$E20&gt;"",'P30'!$E20&amp;" "&amp;CHAR(10)&amp;'P30'!$F20,'P30'!$E20)</f>
        <v>0</v>
      </c>
      <c r="AJ24" s="89">
        <f>IF('P31'!$E20&gt;"",'P31'!$E20&amp;" "&amp;CHAR(10)&amp;'P31'!$F20,'P31'!$E20)</f>
        <v>0</v>
      </c>
      <c r="AK24" s="89">
        <f>IF('P32'!$E20&gt;"",'P32'!$E20&amp;" "&amp;CHAR(10)&amp;'P32'!$F20,'P32'!$E20)</f>
        <v>0</v>
      </c>
      <c r="AL24" s="89">
        <f>IF('P33'!$E20&gt;"",'P33'!$E20&amp;" "&amp;CHAR(10)&amp;'P33'!$F20,'P33'!$E20)</f>
        <v>0</v>
      </c>
      <c r="AM24" s="89">
        <f>IF('P34'!$E20&gt;"",'P34'!$E20&amp;" "&amp;CHAR(10)&amp;'P34'!$F20,'P34'!$E20)</f>
        <v>0</v>
      </c>
      <c r="AN24" s="89">
        <f>IF('P35'!$E20&gt;"",'P35'!$E20&amp;" "&amp;CHAR(10)&amp;'P35'!$F20,'P35'!$E20)</f>
        <v>0</v>
      </c>
      <c r="AO24" s="89">
        <f>IF('P36'!$E20&gt;"",'P36'!$E20&amp;" "&amp;CHAR(10)&amp;'P36'!$F20,'P36'!$E20)</f>
        <v>0</v>
      </c>
      <c r="AP24" s="89">
        <f>IF('P37'!$E20&gt;"",'P37'!$E20&amp;" "&amp;CHAR(10)&amp;'P37'!$F20,'P37'!$E20)</f>
        <v>0</v>
      </c>
      <c r="AQ24" s="89">
        <f>IF('P38'!$E20&gt;"",'P38'!$E20&amp;" "&amp;CHAR(10)&amp;'P38'!$F20,'P38'!$E20)</f>
        <v>0</v>
      </c>
      <c r="AR24" s="89">
        <f>IF('P39'!$E20&gt;"",'P39'!$E20&amp;" "&amp;CHAR(10)&amp;'P39'!$F20,'P39'!$E20)</f>
        <v>0</v>
      </c>
      <c r="AS24" s="89">
        <f>IF('P40'!$E20&gt;"",'P40'!$E20&amp;" "&amp;CHAR(10)&amp;'P40'!$F20,'P40'!$E20)</f>
        <v>0</v>
      </c>
      <c r="AT24" s="55">
        <f t="shared" si="5"/>
        <v>0</v>
      </c>
      <c r="AU24" s="9">
        <f t="shared" si="6"/>
        <v>0</v>
      </c>
      <c r="AV24" s="55">
        <f t="shared" si="7"/>
        <v>0</v>
      </c>
      <c r="AW24" s="38" t="str">
        <f t="shared" si="8"/>
        <v>NT</v>
      </c>
      <c r="AX24" s="39"/>
      <c r="AY24" s="10"/>
      <c r="AZ24" s="10"/>
      <c r="BA24" s="10" t="str">
        <f>IF('P01'!$G20&lt;&gt;"", 'P01'!$G20, "non")</f>
        <v>non</v>
      </c>
      <c r="BB24" s="10" t="str">
        <f>IF('P02'!$G20&lt;&gt;"", 'P02'!$G20, "non")</f>
        <v>non</v>
      </c>
      <c r="BC24" s="10" t="str">
        <f>IF('P03'!$G20&lt;&gt;"", 'P03'!$G20, "non")</f>
        <v>non</v>
      </c>
      <c r="BD24" s="10" t="str">
        <f>IF('P04'!$G20&lt;&gt;"", 'P04'!$G20, "non")</f>
        <v>non</v>
      </c>
      <c r="BE24" s="10" t="str">
        <f>IF('P05'!$G20&lt;&gt;"", 'P05'!$G20, "non")</f>
        <v>non</v>
      </c>
      <c r="BF24" s="10" t="str">
        <f>IF('P06'!$G20&lt;&gt;"", 'P06'!$G20, "non")</f>
        <v>non</v>
      </c>
      <c r="BG24" s="10" t="str">
        <f>IF('P07'!$G20&lt;&gt;"", 'P07'!$G20, "non")</f>
        <v>non</v>
      </c>
      <c r="BH24" s="10" t="str">
        <f>IF('P08'!$G20&lt;&gt;"", 'P08'!$G20, "non")</f>
        <v>non</v>
      </c>
      <c r="BI24" s="10" t="str">
        <f>IF('P09'!$G20&lt;&gt;"", 'P09'!$G20, "non")</f>
        <v>non</v>
      </c>
      <c r="BJ24" s="10" t="str">
        <f>IF('P10'!$G20&lt;&gt;"", 'P10'!$G20, "non")</f>
        <v>non</v>
      </c>
      <c r="BK24" s="10" t="str">
        <f>IF('P11'!$G20&lt;&gt;"", 'P11'!$G20, "non")</f>
        <v>non</v>
      </c>
      <c r="BL24" s="10" t="str">
        <f>IF('P12'!$G20&lt;&gt;"", 'P12'!$G20, "non")</f>
        <v>non</v>
      </c>
      <c r="BM24" s="10" t="str">
        <f>IF('P13'!$G20&lt;&gt;"", 'P13'!$G20, "non")</f>
        <v>non</v>
      </c>
      <c r="BN24" s="10" t="str">
        <f>IF('P14'!$G20&lt;&gt;"", 'P14'!$G20, "non")</f>
        <v>non</v>
      </c>
      <c r="BO24" s="10" t="str">
        <f>IF('P15'!$G20&lt;&gt;"", 'P15'!$G20, "non")</f>
        <v>non</v>
      </c>
      <c r="BP24" s="10" t="str">
        <f>IF('P16'!$G20&lt;&gt;"", 'P16'!$G20, "non")</f>
        <v>non</v>
      </c>
      <c r="BQ24" s="10" t="str">
        <f>IF('P17'!$G20&lt;&gt;"", 'P17'!$G20, "non")</f>
        <v>non</v>
      </c>
      <c r="BR24" s="10" t="str">
        <f>IF('P18'!$G20&lt;&gt;"", 'P18'!$G20, "non")</f>
        <v>non</v>
      </c>
      <c r="BS24" s="10" t="str">
        <f>IF('P19'!$G20&lt;&gt;"", 'P19'!$G20, "non")</f>
        <v>non</v>
      </c>
      <c r="BT24" s="11" t="str">
        <f>IF('P20'!$G20&lt;&gt;"", 'P20'!$G20, "non")</f>
        <v>non</v>
      </c>
      <c r="BU24" s="10" t="str">
        <f>IF('P21'!$G20&lt;&gt;"", 'P21'!$G20, "non")</f>
        <v>non</v>
      </c>
      <c r="BV24" s="11" t="str">
        <f>IF('P22'!$G20&lt;&gt;"", 'P22'!$G20, "non")</f>
        <v>non</v>
      </c>
      <c r="BW24" s="10" t="str">
        <f>IF('P23'!$G20&lt;&gt;"", 'P23'!$G20, "non")</f>
        <v>non</v>
      </c>
      <c r="BX24" s="11" t="str">
        <f>IF('P24'!$G20&lt;&gt;"", 'P24'!$G20, "non")</f>
        <v>non</v>
      </c>
      <c r="BY24" s="10" t="str">
        <f>IF('P25'!$G20&lt;&gt;"", 'P25'!$G20, "non")</f>
        <v>non</v>
      </c>
      <c r="BZ24" s="11" t="str">
        <f>IF('P26'!$G20&lt;&gt;"", 'P26'!$G20, "non")</f>
        <v>non</v>
      </c>
      <c r="CA24" s="10" t="str">
        <f>IF('P27'!$G20&lt;&gt;"", 'P27'!$G20, "non")</f>
        <v>non</v>
      </c>
      <c r="CB24" s="11" t="str">
        <f>IF('P28'!$G20&lt;&gt;"", 'P28'!$G20, "non")</f>
        <v>non</v>
      </c>
      <c r="CC24" s="10" t="str">
        <f>IF('P29'!$G20&lt;&gt;"", 'P29'!$G20, "non")</f>
        <v>non</v>
      </c>
      <c r="CD24" s="11" t="str">
        <f>IF('P30'!$G20&lt;&gt;"", 'P30'!$G20, "non")</f>
        <v>non</v>
      </c>
      <c r="CE24" s="10" t="str">
        <f>IF('P31'!$G20&lt;&gt;"", 'P31'!$G20, "non")</f>
        <v>non</v>
      </c>
      <c r="CF24" s="11" t="str">
        <f>IF('P32'!$G20&lt;&gt;"", 'P32'!$G20, "non")</f>
        <v>non</v>
      </c>
      <c r="CG24" s="10" t="str">
        <f>IF('P33'!$G20&lt;&gt;"", 'P33'!$G20, "non")</f>
        <v>non</v>
      </c>
      <c r="CH24" s="10" t="str">
        <f>IF('P34'!$G20&lt;&gt;"", 'P34'!$G20, "non")</f>
        <v>non</v>
      </c>
      <c r="CI24" s="11" t="str">
        <f>IF('P35'!$G20&lt;&gt;"", 'P35'!$G20, "non")</f>
        <v>non</v>
      </c>
      <c r="CJ24" s="10" t="str">
        <f>IF('P36'!$G20&lt;&gt;"", 'P36'!$G20, "non")</f>
        <v>non</v>
      </c>
      <c r="CK24" s="11" t="str">
        <f>IF('P37'!$G20&lt;&gt;"", 'P37'!$G20, "non")</f>
        <v>non</v>
      </c>
      <c r="CL24" s="10" t="str">
        <f>IF('P38'!$G20&lt;&gt;"", 'P38'!$G20, "non")</f>
        <v>non</v>
      </c>
      <c r="CM24" s="11" t="str">
        <f>IF('P39'!$G20&lt;&gt;"", 'P39'!$G20, "non")</f>
        <v>non</v>
      </c>
      <c r="CN24" s="10" t="str">
        <f>IF('P40'!$G20&lt;&gt;"", 'P40'!$G20, "non")</f>
        <v>non</v>
      </c>
    </row>
    <row r="25" spans="1:92" s="6" customFormat="1" ht="39.75" customHeight="1">
      <c r="A25" s="122" t="str">
        <f>'Critères et tests'!B20</f>
        <v>MULTIMÉDIA</v>
      </c>
      <c r="B25" s="124" t="str">
        <f>'Critères et tests'!$A20</f>
        <v>4.4</v>
      </c>
      <c r="C25" s="192" t="str">
        <f>VLOOKUP(B25,'Critères et tests'!$1:$1048576,5,FALSE)</f>
        <v>Pour chaque média temporel synchronisé préenregistré ayant des sous-titres synchronisés, ces sous-titres sont-ils pertinents ?</v>
      </c>
      <c r="D25" s="124" t="str">
        <f>'Critères et tests'!$C20</f>
        <v>A</v>
      </c>
      <c r="E25" s="156" t="s">
        <v>460</v>
      </c>
      <c r="F25" s="88">
        <f>IF('P01'!$E21&gt;"",'P01'!$E21&amp;" "&amp;CHAR(10)&amp;'P01'!$F21,'P01'!$E21)</f>
        <v>0</v>
      </c>
      <c r="G25" s="89">
        <f>IF('P02'!$E21&gt;"",'P02'!$E21&amp;" "&amp;CHAR(10)&amp;'P02'!$F21,'P02'!$E21)</f>
        <v>0</v>
      </c>
      <c r="H25" s="89">
        <f>IF('P03'!$E21&gt;"",'P03'!$E21&amp;" "&amp;CHAR(10)&amp;'P03'!$F21,'P03'!$E21)</f>
        <v>0</v>
      </c>
      <c r="I25" s="89">
        <f>IF('P04'!$E21&gt;"",'P04'!$E21&amp;" "&amp;CHAR(10)&amp;'P04'!$F21,'P04'!$E21)</f>
        <v>0</v>
      </c>
      <c r="J25" s="89">
        <f>IF('P05'!$E21&gt;"",'P05'!$E21&amp;" "&amp;CHAR(10)&amp;'P05'!$F21,'P05'!$E21)</f>
        <v>0</v>
      </c>
      <c r="K25" s="89">
        <f>IF('P06'!$E21&gt;"",'P06'!$E21&amp;" "&amp;CHAR(10)&amp;'P06'!$F21,'P06'!$E21)</f>
        <v>0</v>
      </c>
      <c r="L25" s="89">
        <f>IF('P07'!$E21&gt;"",'P07'!$E21&amp;" "&amp;CHAR(10)&amp;'P07'!$F21,'P07'!$E21)</f>
        <v>0</v>
      </c>
      <c r="M25" s="89">
        <f>IF('P08'!$E21&gt;"",'P08'!$E21&amp;" "&amp;CHAR(10)&amp;'P08'!$F21,'P08'!$E21)</f>
        <v>0</v>
      </c>
      <c r="N25" s="89">
        <f>IF('P09'!$E21&gt;"",'P09'!$E21&amp;" "&amp;CHAR(10)&amp;'P09'!$F21,'P09'!$E21)</f>
        <v>0</v>
      </c>
      <c r="O25" s="89">
        <f>IF('P10'!$E21&gt;"",'P10'!$E21&amp;" "&amp;CHAR(10)&amp;'P10'!$F21,'P10'!$E21)</f>
        <v>0</v>
      </c>
      <c r="P25" s="89">
        <f>IF('P11'!$E21&gt;"",'P11'!$E21&amp;" "&amp;CHAR(10)&amp;'P11'!$F21,'P11'!$E21)</f>
        <v>0</v>
      </c>
      <c r="Q25" s="89">
        <f>IF('P12'!$E21&gt;"",'P12'!$E21&amp;" "&amp;CHAR(10)&amp;'P12'!$F21,'P12'!$E21)</f>
        <v>0</v>
      </c>
      <c r="R25" s="89">
        <f>IF('P13'!$E21&gt;"",'P13'!$E21&amp;" "&amp;CHAR(10)&amp;'P13'!$F21,'P13'!$E21)</f>
        <v>0</v>
      </c>
      <c r="S25" s="89">
        <f>IF('P14'!$E21&gt;"",'P14'!$E21&amp;" "&amp;CHAR(10)&amp;'P14'!$F21,'P14'!$E21)</f>
        <v>0</v>
      </c>
      <c r="T25" s="89">
        <f>IF('P15'!$E21&gt;"",'P15'!$E21&amp;" "&amp;CHAR(10)&amp;'P15'!$F21,'P15'!$E21)</f>
        <v>0</v>
      </c>
      <c r="U25" s="89">
        <f>IF('P16'!$E21&gt;"",'P16'!$E21&amp;" "&amp;CHAR(10)&amp;'P16'!$F21,'P16'!$E21)</f>
        <v>0</v>
      </c>
      <c r="V25" s="89">
        <f>IF('P17'!$E21&gt;"",'P17'!$E21&amp;" "&amp;CHAR(10)&amp;'P17'!$F21,'P17'!$E21)</f>
        <v>0</v>
      </c>
      <c r="W25" s="89">
        <f>IF('P18'!$E21&gt;"",'P18'!$E21&amp;" "&amp;CHAR(10)&amp;'P18'!$F21,'P18'!$E21)</f>
        <v>0</v>
      </c>
      <c r="X25" s="89">
        <f>IF('P19'!$E21&gt;"",'P19'!$E21&amp;" "&amp;CHAR(10)&amp;'P19'!$F21,'P19'!$E21)</f>
        <v>0</v>
      </c>
      <c r="Y25" s="89">
        <f>IF('P20'!$E21&gt;"",'P20'!$E21&amp;" "&amp;CHAR(10)&amp;'P20'!$F21,'P20'!$E21)</f>
        <v>0</v>
      </c>
      <c r="Z25" s="89">
        <f>IF('P21'!$E21&gt;"",'P21'!$E21&amp;" "&amp;CHAR(10)&amp;'P21'!$F21,'P21'!$E21)</f>
        <v>0</v>
      </c>
      <c r="AA25" s="89">
        <f>IF('P22'!$E21&gt;"",'P22'!$E21&amp;" "&amp;CHAR(10)&amp;'P22'!$F21,'P22'!$E21)</f>
        <v>0</v>
      </c>
      <c r="AB25" s="89">
        <f>IF('P23'!$E21&gt;"",'P23'!$E21&amp;" "&amp;CHAR(10)&amp;'P23'!$F21,'P23'!$E21)</f>
        <v>0</v>
      </c>
      <c r="AC25" s="89">
        <f>IF('P24'!$E21&gt;"",'P24'!$E21&amp;" "&amp;CHAR(10)&amp;'P24'!$F21,'P24'!$E21)</f>
        <v>0</v>
      </c>
      <c r="AD25" s="89">
        <f>IF('P25'!$E21&gt;"",'P25'!$E21&amp;" "&amp;CHAR(10)&amp;'P25'!$F21,'P25'!$E21)</f>
        <v>0</v>
      </c>
      <c r="AE25" s="89">
        <f>IF('P26'!$E21&gt;"",'P26'!$E21&amp;" "&amp;CHAR(10)&amp;'P26'!$F21,'P26'!$E21)</f>
        <v>0</v>
      </c>
      <c r="AF25" s="89">
        <f>IF('P27'!$E21&gt;"",'P27'!$E21&amp;" "&amp;CHAR(10)&amp;'P27'!$F21,'P27'!$E21)</f>
        <v>0</v>
      </c>
      <c r="AG25" s="89">
        <f>IF('P28'!$E21&gt;"",'P28'!$E21&amp;" "&amp;CHAR(10)&amp;'P28'!$F21,'P28'!$E21)</f>
        <v>0</v>
      </c>
      <c r="AH25" s="89">
        <f>IF('P29'!$E21&gt;"",'P29'!$E21&amp;" "&amp;CHAR(10)&amp;'P29'!$F21,'P29'!$E21)</f>
        <v>0</v>
      </c>
      <c r="AI25" s="89">
        <f>IF('P30'!$E21&gt;"",'P30'!$E21&amp;" "&amp;CHAR(10)&amp;'P30'!$F21,'P30'!$E21)</f>
        <v>0</v>
      </c>
      <c r="AJ25" s="89">
        <f>IF('P31'!$E21&gt;"",'P31'!$E21&amp;" "&amp;CHAR(10)&amp;'P31'!$F21,'P31'!$E21)</f>
        <v>0</v>
      </c>
      <c r="AK25" s="89">
        <f>IF('P32'!$E21&gt;"",'P32'!$E21&amp;" "&amp;CHAR(10)&amp;'P32'!$F21,'P32'!$E21)</f>
        <v>0</v>
      </c>
      <c r="AL25" s="89">
        <f>IF('P33'!$E21&gt;"",'P33'!$E21&amp;" "&amp;CHAR(10)&amp;'P33'!$F21,'P33'!$E21)</f>
        <v>0</v>
      </c>
      <c r="AM25" s="89">
        <f>IF('P34'!$E21&gt;"",'P34'!$E21&amp;" "&amp;CHAR(10)&amp;'P34'!$F21,'P34'!$E21)</f>
        <v>0</v>
      </c>
      <c r="AN25" s="89">
        <f>IF('P35'!$E21&gt;"",'P35'!$E21&amp;" "&amp;CHAR(10)&amp;'P35'!$F21,'P35'!$E21)</f>
        <v>0</v>
      </c>
      <c r="AO25" s="89">
        <f>IF('P36'!$E21&gt;"",'P36'!$E21&amp;" "&amp;CHAR(10)&amp;'P36'!$F21,'P36'!$E21)</f>
        <v>0</v>
      </c>
      <c r="AP25" s="89">
        <f>IF('P37'!$E21&gt;"",'P37'!$E21&amp;" "&amp;CHAR(10)&amp;'P37'!$F21,'P37'!$E21)</f>
        <v>0</v>
      </c>
      <c r="AQ25" s="89">
        <f>IF('P38'!$E21&gt;"",'P38'!$E21&amp;" "&amp;CHAR(10)&amp;'P38'!$F21,'P38'!$E21)</f>
        <v>0</v>
      </c>
      <c r="AR25" s="89">
        <f>IF('P39'!$E21&gt;"",'P39'!$E21&amp;" "&amp;CHAR(10)&amp;'P39'!$F21,'P39'!$E21)</f>
        <v>0</v>
      </c>
      <c r="AS25" s="89">
        <f>IF('P40'!$E21&gt;"",'P40'!$E21&amp;" "&amp;CHAR(10)&amp;'P40'!$F21,'P40'!$E21)</f>
        <v>0</v>
      </c>
      <c r="AT25" s="55">
        <f t="shared" si="5"/>
        <v>0</v>
      </c>
      <c r="AU25" s="9">
        <f t="shared" si="6"/>
        <v>0</v>
      </c>
      <c r="AV25" s="55">
        <f t="shared" si="7"/>
        <v>0</v>
      </c>
      <c r="AW25" s="38" t="str">
        <f t="shared" si="8"/>
        <v>NT</v>
      </c>
      <c r="AX25" s="39"/>
      <c r="AY25" s="10"/>
      <c r="AZ25" s="10"/>
      <c r="BA25" s="10" t="str">
        <f>IF('P01'!$G21&lt;&gt;"", 'P01'!$G21, "non")</f>
        <v>non</v>
      </c>
      <c r="BB25" s="10" t="str">
        <f>IF('P02'!$G21&lt;&gt;"", 'P02'!$G21, "non")</f>
        <v>non</v>
      </c>
      <c r="BC25" s="10" t="str">
        <f>IF('P03'!$G21&lt;&gt;"", 'P03'!$G21, "non")</f>
        <v>non</v>
      </c>
      <c r="BD25" s="10" t="str">
        <f>IF('P04'!$G21&lt;&gt;"", 'P04'!$G21, "non")</f>
        <v>non</v>
      </c>
      <c r="BE25" s="10" t="str">
        <f>IF('P05'!$G21&lt;&gt;"", 'P05'!$G21, "non")</f>
        <v>non</v>
      </c>
      <c r="BF25" s="10" t="str">
        <f>IF('P06'!$G21&lt;&gt;"", 'P06'!$G21, "non")</f>
        <v>non</v>
      </c>
      <c r="BG25" s="10" t="str">
        <f>IF('P07'!$G21&lt;&gt;"", 'P07'!$G21, "non")</f>
        <v>non</v>
      </c>
      <c r="BH25" s="10" t="str">
        <f>IF('P08'!$G21&lt;&gt;"", 'P08'!$G21, "non")</f>
        <v>non</v>
      </c>
      <c r="BI25" s="10" t="str">
        <f>IF('P09'!$G21&lt;&gt;"", 'P09'!$G21, "non")</f>
        <v>non</v>
      </c>
      <c r="BJ25" s="10" t="str">
        <f>IF('P10'!$G21&lt;&gt;"", 'P10'!$G21, "non")</f>
        <v>non</v>
      </c>
      <c r="BK25" s="10" t="str">
        <f>IF('P11'!$G21&lt;&gt;"", 'P11'!$G21, "non")</f>
        <v>non</v>
      </c>
      <c r="BL25" s="10" t="str">
        <f>IF('P12'!$G21&lt;&gt;"", 'P12'!$G21, "non")</f>
        <v>non</v>
      </c>
      <c r="BM25" s="10" t="str">
        <f>IF('P13'!$G21&lt;&gt;"", 'P13'!$G21, "non")</f>
        <v>non</v>
      </c>
      <c r="BN25" s="10" t="str">
        <f>IF('P14'!$G21&lt;&gt;"", 'P14'!$G21, "non")</f>
        <v>non</v>
      </c>
      <c r="BO25" s="10" t="str">
        <f>IF('P15'!$G21&lt;&gt;"", 'P15'!$G21, "non")</f>
        <v>non</v>
      </c>
      <c r="BP25" s="10" t="str">
        <f>IF('P16'!$G21&lt;&gt;"", 'P16'!$G21, "non")</f>
        <v>non</v>
      </c>
      <c r="BQ25" s="10" t="str">
        <f>IF('P17'!$G21&lt;&gt;"", 'P17'!$G21, "non")</f>
        <v>non</v>
      </c>
      <c r="BR25" s="10" t="str">
        <f>IF('P18'!$G21&lt;&gt;"", 'P18'!$G21, "non")</f>
        <v>non</v>
      </c>
      <c r="BS25" s="10" t="str">
        <f>IF('P19'!$G21&lt;&gt;"", 'P19'!$G21, "non")</f>
        <v>non</v>
      </c>
      <c r="BT25" s="11" t="str">
        <f>IF('P20'!$G21&lt;&gt;"", 'P20'!$G21, "non")</f>
        <v>non</v>
      </c>
      <c r="BU25" s="10" t="str">
        <f>IF('P21'!$G21&lt;&gt;"", 'P21'!$G21, "non")</f>
        <v>non</v>
      </c>
      <c r="BV25" s="11" t="str">
        <f>IF('P22'!$G21&lt;&gt;"", 'P22'!$G21, "non")</f>
        <v>non</v>
      </c>
      <c r="BW25" s="10" t="str">
        <f>IF('P23'!$G21&lt;&gt;"", 'P23'!$G21, "non")</f>
        <v>non</v>
      </c>
      <c r="BX25" s="11" t="str">
        <f>IF('P24'!$G21&lt;&gt;"", 'P24'!$G21, "non")</f>
        <v>non</v>
      </c>
      <c r="BY25" s="10" t="str">
        <f>IF('P25'!$G21&lt;&gt;"", 'P25'!$G21, "non")</f>
        <v>non</v>
      </c>
      <c r="BZ25" s="11" t="str">
        <f>IF('P26'!$G21&lt;&gt;"", 'P26'!$G21, "non")</f>
        <v>non</v>
      </c>
      <c r="CA25" s="10" t="str">
        <f>IF('P27'!$G21&lt;&gt;"", 'P27'!$G21, "non")</f>
        <v>non</v>
      </c>
      <c r="CB25" s="11" t="str">
        <f>IF('P28'!$G21&lt;&gt;"", 'P28'!$G21, "non")</f>
        <v>non</v>
      </c>
      <c r="CC25" s="10" t="str">
        <f>IF('P29'!$G21&lt;&gt;"", 'P29'!$G21, "non")</f>
        <v>non</v>
      </c>
      <c r="CD25" s="11" t="str">
        <f>IF('P30'!$G21&lt;&gt;"", 'P30'!$G21, "non")</f>
        <v>non</v>
      </c>
      <c r="CE25" s="10" t="str">
        <f>IF('P31'!$G21&lt;&gt;"", 'P31'!$G21, "non")</f>
        <v>non</v>
      </c>
      <c r="CF25" s="11" t="str">
        <f>IF('P32'!$G21&lt;&gt;"", 'P32'!$G21, "non")</f>
        <v>non</v>
      </c>
      <c r="CG25" s="10" t="str">
        <f>IF('P33'!$G21&lt;&gt;"", 'P33'!$G21, "non")</f>
        <v>non</v>
      </c>
      <c r="CH25" s="10" t="str">
        <f>IF('P34'!$G21&lt;&gt;"", 'P34'!$G21, "non")</f>
        <v>non</v>
      </c>
      <c r="CI25" s="11" t="str">
        <f>IF('P35'!$G21&lt;&gt;"", 'P35'!$G21, "non")</f>
        <v>non</v>
      </c>
      <c r="CJ25" s="10" t="str">
        <f>IF('P36'!$G21&lt;&gt;"", 'P36'!$G21, "non")</f>
        <v>non</v>
      </c>
      <c r="CK25" s="11" t="str">
        <f>IF('P37'!$G21&lt;&gt;"", 'P37'!$G21, "non")</f>
        <v>non</v>
      </c>
      <c r="CL25" s="10" t="str">
        <f>IF('P38'!$G21&lt;&gt;"", 'P38'!$G21, "non")</f>
        <v>non</v>
      </c>
      <c r="CM25" s="11" t="str">
        <f>IF('P39'!$G21&lt;&gt;"", 'P39'!$G21, "non")</f>
        <v>non</v>
      </c>
      <c r="CN25" s="10" t="str">
        <f>IF('P40'!$G21&lt;&gt;"", 'P40'!$G21, "non")</f>
        <v>non</v>
      </c>
    </row>
    <row r="26" spans="1:92" s="6" customFormat="1" ht="39.75" customHeight="1">
      <c r="A26" s="122" t="str">
        <f>'Critères et tests'!B21</f>
        <v>MULTIMÉDIA</v>
      </c>
      <c r="B26" s="124" t="str">
        <f>'Critères et tests'!$A21</f>
        <v>4.5</v>
      </c>
      <c r="C26" s="192" t="str">
        <f>VLOOKUP(B26,'Critères et tests'!$1:$1048576,5,FALSE)</f>
        <v>Chaque média temporel préenregistré a-t-il, si nécessaire, une audiodescription synchronisée (hors cas particuliers) ?</v>
      </c>
      <c r="D26" s="124" t="str">
        <f>'Critères et tests'!$C21</f>
        <v>AA</v>
      </c>
      <c r="E26" s="156" t="s">
        <v>460</v>
      </c>
      <c r="F26" s="88">
        <f>IF('P01'!$E22&gt;"",'P01'!$E22&amp;" "&amp;CHAR(10)&amp;'P01'!$F22,'P01'!$E22)</f>
        <v>0</v>
      </c>
      <c r="G26" s="89">
        <f>IF('P02'!$E22&gt;"",'P02'!$E22&amp;" "&amp;CHAR(10)&amp;'P02'!$F22,'P02'!$E22)</f>
        <v>0</v>
      </c>
      <c r="H26" s="89">
        <f>IF('P03'!$E22&gt;"",'P03'!$E22&amp;" "&amp;CHAR(10)&amp;'P03'!$F22,'P03'!$E22)</f>
        <v>0</v>
      </c>
      <c r="I26" s="89">
        <f>IF('P04'!$E22&gt;"",'P04'!$E22&amp;" "&amp;CHAR(10)&amp;'P04'!$F22,'P04'!$E22)</f>
        <v>0</v>
      </c>
      <c r="J26" s="89">
        <f>IF('P05'!$E22&gt;"",'P05'!$E22&amp;" "&amp;CHAR(10)&amp;'P05'!$F22,'P05'!$E22)</f>
        <v>0</v>
      </c>
      <c r="K26" s="89">
        <f>IF('P06'!$E22&gt;"",'P06'!$E22&amp;" "&amp;CHAR(10)&amp;'P06'!$F22,'P06'!$E22)</f>
        <v>0</v>
      </c>
      <c r="L26" s="89">
        <f>IF('P07'!$E22&gt;"",'P07'!$E22&amp;" "&amp;CHAR(10)&amp;'P07'!$F22,'P07'!$E22)</f>
        <v>0</v>
      </c>
      <c r="M26" s="89">
        <f>IF('P08'!$E22&gt;"",'P08'!$E22&amp;" "&amp;CHAR(10)&amp;'P08'!$F22,'P08'!$E22)</f>
        <v>0</v>
      </c>
      <c r="N26" s="89">
        <f>IF('P09'!$E22&gt;"",'P09'!$E22&amp;" "&amp;CHAR(10)&amp;'P09'!$F22,'P09'!$E22)</f>
        <v>0</v>
      </c>
      <c r="O26" s="89">
        <f>IF('P10'!$E22&gt;"",'P10'!$E22&amp;" "&amp;CHAR(10)&amp;'P10'!$F22,'P10'!$E22)</f>
        <v>0</v>
      </c>
      <c r="P26" s="89">
        <f>IF('P11'!$E22&gt;"",'P11'!$E22&amp;" "&amp;CHAR(10)&amp;'P11'!$F22,'P11'!$E22)</f>
        <v>0</v>
      </c>
      <c r="Q26" s="89">
        <f>IF('P12'!$E22&gt;"",'P12'!$E22&amp;" "&amp;CHAR(10)&amp;'P12'!$F22,'P12'!$E22)</f>
        <v>0</v>
      </c>
      <c r="R26" s="89">
        <f>IF('P13'!$E22&gt;"",'P13'!$E22&amp;" "&amp;CHAR(10)&amp;'P13'!$F22,'P13'!$E22)</f>
        <v>0</v>
      </c>
      <c r="S26" s="89">
        <f>IF('P14'!$E22&gt;"",'P14'!$E22&amp;" "&amp;CHAR(10)&amp;'P14'!$F22,'P14'!$E22)</f>
        <v>0</v>
      </c>
      <c r="T26" s="89">
        <f>IF('P15'!$E22&gt;"",'P15'!$E22&amp;" "&amp;CHAR(10)&amp;'P15'!$F22,'P15'!$E22)</f>
        <v>0</v>
      </c>
      <c r="U26" s="89">
        <f>IF('P16'!$E22&gt;"",'P16'!$E22&amp;" "&amp;CHAR(10)&amp;'P16'!$F22,'P16'!$E22)</f>
        <v>0</v>
      </c>
      <c r="V26" s="89">
        <f>IF('P17'!$E22&gt;"",'P17'!$E22&amp;" "&amp;CHAR(10)&amp;'P17'!$F22,'P17'!$E22)</f>
        <v>0</v>
      </c>
      <c r="W26" s="89">
        <f>IF('P18'!$E22&gt;"",'P18'!$E22&amp;" "&amp;CHAR(10)&amp;'P18'!$F22,'P18'!$E22)</f>
        <v>0</v>
      </c>
      <c r="X26" s="89">
        <f>IF('P19'!$E22&gt;"",'P19'!$E22&amp;" "&amp;CHAR(10)&amp;'P19'!$F22,'P19'!$E22)</f>
        <v>0</v>
      </c>
      <c r="Y26" s="89">
        <f>IF('P20'!$E22&gt;"",'P20'!$E22&amp;" "&amp;CHAR(10)&amp;'P20'!$F22,'P20'!$E22)</f>
        <v>0</v>
      </c>
      <c r="Z26" s="89">
        <f>IF('P21'!$E22&gt;"",'P21'!$E22&amp;" "&amp;CHAR(10)&amp;'P21'!$F22,'P21'!$E22)</f>
        <v>0</v>
      </c>
      <c r="AA26" s="89">
        <f>IF('P22'!$E22&gt;"",'P22'!$E22&amp;" "&amp;CHAR(10)&amp;'P22'!$F22,'P22'!$E22)</f>
        <v>0</v>
      </c>
      <c r="AB26" s="89">
        <f>IF('P23'!$E22&gt;"",'P23'!$E22&amp;" "&amp;CHAR(10)&amp;'P23'!$F22,'P23'!$E22)</f>
        <v>0</v>
      </c>
      <c r="AC26" s="89">
        <f>IF('P24'!$E22&gt;"",'P24'!$E22&amp;" "&amp;CHAR(10)&amp;'P24'!$F22,'P24'!$E22)</f>
        <v>0</v>
      </c>
      <c r="AD26" s="89">
        <f>IF('P25'!$E22&gt;"",'P25'!$E22&amp;" "&amp;CHAR(10)&amp;'P25'!$F22,'P25'!$E22)</f>
        <v>0</v>
      </c>
      <c r="AE26" s="89">
        <f>IF('P26'!$E22&gt;"",'P26'!$E22&amp;" "&amp;CHAR(10)&amp;'P26'!$F22,'P26'!$E22)</f>
        <v>0</v>
      </c>
      <c r="AF26" s="89">
        <f>IF('P27'!$E22&gt;"",'P27'!$E22&amp;" "&amp;CHAR(10)&amp;'P27'!$F22,'P27'!$E22)</f>
        <v>0</v>
      </c>
      <c r="AG26" s="89">
        <f>IF('P28'!$E22&gt;"",'P28'!$E22&amp;" "&amp;CHAR(10)&amp;'P28'!$F22,'P28'!$E22)</f>
        <v>0</v>
      </c>
      <c r="AH26" s="89">
        <f>IF('P29'!$E22&gt;"",'P29'!$E22&amp;" "&amp;CHAR(10)&amp;'P29'!$F22,'P29'!$E22)</f>
        <v>0</v>
      </c>
      <c r="AI26" s="89">
        <f>IF('P30'!$E22&gt;"",'P30'!$E22&amp;" "&amp;CHAR(10)&amp;'P30'!$F22,'P30'!$E22)</f>
        <v>0</v>
      </c>
      <c r="AJ26" s="89">
        <f>IF('P31'!$E22&gt;"",'P31'!$E22&amp;" "&amp;CHAR(10)&amp;'P31'!$F22,'P31'!$E22)</f>
        <v>0</v>
      </c>
      <c r="AK26" s="89">
        <f>IF('P32'!$E22&gt;"",'P32'!$E22&amp;" "&amp;CHAR(10)&amp;'P32'!$F22,'P32'!$E22)</f>
        <v>0</v>
      </c>
      <c r="AL26" s="89">
        <f>IF('P33'!$E22&gt;"",'P33'!$E22&amp;" "&amp;CHAR(10)&amp;'P33'!$F22,'P33'!$E22)</f>
        <v>0</v>
      </c>
      <c r="AM26" s="89">
        <f>IF('P34'!$E22&gt;"",'P34'!$E22&amp;" "&amp;CHAR(10)&amp;'P34'!$F22,'P34'!$E22)</f>
        <v>0</v>
      </c>
      <c r="AN26" s="89">
        <f>IF('P35'!$E22&gt;"",'P35'!$E22&amp;" "&amp;CHAR(10)&amp;'P35'!$F22,'P35'!$E22)</f>
        <v>0</v>
      </c>
      <c r="AO26" s="89">
        <f>IF('P36'!$E22&gt;"",'P36'!$E22&amp;" "&amp;CHAR(10)&amp;'P36'!$F22,'P36'!$E22)</f>
        <v>0</v>
      </c>
      <c r="AP26" s="89">
        <f>IF('P37'!$E22&gt;"",'P37'!$E22&amp;" "&amp;CHAR(10)&amp;'P37'!$F22,'P37'!$E22)</f>
        <v>0</v>
      </c>
      <c r="AQ26" s="89">
        <f>IF('P38'!$E22&gt;"",'P38'!$E22&amp;" "&amp;CHAR(10)&amp;'P38'!$F22,'P38'!$E22)</f>
        <v>0</v>
      </c>
      <c r="AR26" s="89">
        <f>IF('P39'!$E22&gt;"",'P39'!$E22&amp;" "&amp;CHAR(10)&amp;'P39'!$F22,'P39'!$E22)</f>
        <v>0</v>
      </c>
      <c r="AS26" s="89">
        <f>IF('P40'!$E22&gt;"",'P40'!$E22&amp;" "&amp;CHAR(10)&amp;'P40'!$F22,'P40'!$E22)</f>
        <v>0</v>
      </c>
      <c r="AT26" s="55">
        <f t="shared" si="5"/>
        <v>0</v>
      </c>
      <c r="AU26" s="9">
        <f t="shared" si="6"/>
        <v>0</v>
      </c>
      <c r="AV26" s="55">
        <f t="shared" si="7"/>
        <v>0</v>
      </c>
      <c r="AW26" s="38" t="str">
        <f t="shared" si="8"/>
        <v>NT</v>
      </c>
      <c r="AX26" s="39"/>
      <c r="AY26" s="10"/>
      <c r="AZ26" s="10"/>
      <c r="BA26" s="10" t="str">
        <f>IF('P01'!$G22&lt;&gt;"", 'P01'!$G22, "non")</f>
        <v>non</v>
      </c>
      <c r="BB26" s="10" t="str">
        <f>IF('P02'!$G22&lt;&gt;"", 'P02'!$G22, "non")</f>
        <v>non</v>
      </c>
      <c r="BC26" s="10" t="str">
        <f>IF('P03'!$G22&lt;&gt;"", 'P03'!$G22, "non")</f>
        <v>non</v>
      </c>
      <c r="BD26" s="10" t="str">
        <f>IF('P04'!$G22&lt;&gt;"", 'P04'!$G22, "non")</f>
        <v>non</v>
      </c>
      <c r="BE26" s="10" t="str">
        <f>IF('P05'!$G22&lt;&gt;"", 'P05'!$G22, "non")</f>
        <v>non</v>
      </c>
      <c r="BF26" s="10" t="str">
        <f>IF('P06'!$G22&lt;&gt;"", 'P06'!$G22, "non")</f>
        <v>non</v>
      </c>
      <c r="BG26" s="10" t="str">
        <f>IF('P07'!$G22&lt;&gt;"", 'P07'!$G22, "non")</f>
        <v>non</v>
      </c>
      <c r="BH26" s="10" t="str">
        <f>IF('P08'!$G22&lt;&gt;"", 'P08'!$G22, "non")</f>
        <v>non</v>
      </c>
      <c r="BI26" s="10" t="str">
        <f>IF('P09'!$G22&lt;&gt;"", 'P09'!$G22, "non")</f>
        <v>non</v>
      </c>
      <c r="BJ26" s="10" t="str">
        <f>IF('P10'!$G22&lt;&gt;"", 'P10'!$G22, "non")</f>
        <v>non</v>
      </c>
      <c r="BK26" s="10" t="str">
        <f>IF('P11'!$G22&lt;&gt;"", 'P11'!$G22, "non")</f>
        <v>non</v>
      </c>
      <c r="BL26" s="10" t="str">
        <f>IF('P12'!$G22&lt;&gt;"", 'P12'!$G22, "non")</f>
        <v>non</v>
      </c>
      <c r="BM26" s="10" t="str">
        <f>IF('P13'!$G22&lt;&gt;"", 'P13'!$G22, "non")</f>
        <v>non</v>
      </c>
      <c r="BN26" s="10" t="str">
        <f>IF('P14'!$G22&lt;&gt;"", 'P14'!$G22, "non")</f>
        <v>non</v>
      </c>
      <c r="BO26" s="10" t="str">
        <f>IF('P15'!$G22&lt;&gt;"", 'P15'!$G22, "non")</f>
        <v>non</v>
      </c>
      <c r="BP26" s="10" t="str">
        <f>IF('P16'!$G22&lt;&gt;"", 'P16'!$G22, "non")</f>
        <v>non</v>
      </c>
      <c r="BQ26" s="10" t="str">
        <f>IF('P17'!$G22&lt;&gt;"", 'P17'!$G22, "non")</f>
        <v>non</v>
      </c>
      <c r="BR26" s="10" t="str">
        <f>IF('P18'!$G22&lt;&gt;"", 'P18'!$G22, "non")</f>
        <v>non</v>
      </c>
      <c r="BS26" s="10" t="str">
        <f>IF('P19'!$G22&lt;&gt;"", 'P19'!$G22, "non")</f>
        <v>non</v>
      </c>
      <c r="BT26" s="11" t="str">
        <f>IF('P20'!$G22&lt;&gt;"", 'P20'!$G22, "non")</f>
        <v>non</v>
      </c>
      <c r="BU26" s="10" t="str">
        <f>IF('P21'!$G22&lt;&gt;"", 'P21'!$G22, "non")</f>
        <v>non</v>
      </c>
      <c r="BV26" s="11" t="str">
        <f>IF('P22'!$G22&lt;&gt;"", 'P22'!$G22, "non")</f>
        <v>non</v>
      </c>
      <c r="BW26" s="10" t="str">
        <f>IF('P23'!$G22&lt;&gt;"", 'P23'!$G22, "non")</f>
        <v>non</v>
      </c>
      <c r="BX26" s="11" t="str">
        <f>IF('P24'!$G22&lt;&gt;"", 'P24'!$G22, "non")</f>
        <v>non</v>
      </c>
      <c r="BY26" s="10" t="str">
        <f>IF('P25'!$G22&lt;&gt;"", 'P25'!$G22, "non")</f>
        <v>non</v>
      </c>
      <c r="BZ26" s="11" t="str">
        <f>IF('P26'!$G22&lt;&gt;"", 'P26'!$G22, "non")</f>
        <v>non</v>
      </c>
      <c r="CA26" s="10" t="str">
        <f>IF('P27'!$G22&lt;&gt;"", 'P27'!$G22, "non")</f>
        <v>non</v>
      </c>
      <c r="CB26" s="11" t="str">
        <f>IF('P28'!$G22&lt;&gt;"", 'P28'!$G22, "non")</f>
        <v>non</v>
      </c>
      <c r="CC26" s="10" t="str">
        <f>IF('P29'!$G22&lt;&gt;"", 'P29'!$G22, "non")</f>
        <v>non</v>
      </c>
      <c r="CD26" s="11" t="str">
        <f>IF('P30'!$G22&lt;&gt;"", 'P30'!$G22, "non")</f>
        <v>non</v>
      </c>
      <c r="CE26" s="10" t="str">
        <f>IF('P31'!$G22&lt;&gt;"", 'P31'!$G22, "non")</f>
        <v>non</v>
      </c>
      <c r="CF26" s="11" t="str">
        <f>IF('P32'!$G22&lt;&gt;"", 'P32'!$G22, "non")</f>
        <v>non</v>
      </c>
      <c r="CG26" s="10" t="str">
        <f>IF('P33'!$G22&lt;&gt;"", 'P33'!$G22, "non")</f>
        <v>non</v>
      </c>
      <c r="CH26" s="10" t="str">
        <f>IF('P34'!$G22&lt;&gt;"", 'P34'!$G22, "non")</f>
        <v>non</v>
      </c>
      <c r="CI26" s="11" t="str">
        <f>IF('P35'!$G22&lt;&gt;"", 'P35'!$G22, "non")</f>
        <v>non</v>
      </c>
      <c r="CJ26" s="10" t="str">
        <f>IF('P36'!$G22&lt;&gt;"", 'P36'!$G22, "non")</f>
        <v>non</v>
      </c>
      <c r="CK26" s="11" t="str">
        <f>IF('P37'!$G22&lt;&gt;"", 'P37'!$G22, "non")</f>
        <v>non</v>
      </c>
      <c r="CL26" s="10" t="str">
        <f>IF('P38'!$G22&lt;&gt;"", 'P38'!$G22, "non")</f>
        <v>non</v>
      </c>
      <c r="CM26" s="11" t="str">
        <f>IF('P39'!$G22&lt;&gt;"", 'P39'!$G22, "non")</f>
        <v>non</v>
      </c>
      <c r="CN26" s="10" t="str">
        <f>IF('P40'!$G22&lt;&gt;"", 'P40'!$G22, "non")</f>
        <v>non</v>
      </c>
    </row>
    <row r="27" spans="1:92" s="6" customFormat="1" ht="39.75" customHeight="1">
      <c r="A27" s="122" t="str">
        <f>'Critères et tests'!B22</f>
        <v>MULTIMÉDIA</v>
      </c>
      <c r="B27" s="124" t="str">
        <f>'Critères et tests'!$A22</f>
        <v>4.6</v>
      </c>
      <c r="C27" s="192" t="str">
        <f>VLOOKUP(B27,'Critères et tests'!$1:$1048576,5,FALSE)</f>
        <v>Pour chaque média temporel préenregistré ayant une audiodescription synchronisée, celle-ci est-elle pertinente ?</v>
      </c>
      <c r="D27" s="124" t="str">
        <f>'Critères et tests'!$C22</f>
        <v>AA</v>
      </c>
      <c r="E27" s="156" t="s">
        <v>460</v>
      </c>
      <c r="F27" s="88">
        <f>IF('P01'!$E23&gt;"",'P01'!$E23&amp;" "&amp;CHAR(10)&amp;'P01'!$F23,'P01'!$E23)</f>
        <v>0</v>
      </c>
      <c r="G27" s="89">
        <f>IF('P02'!$E23&gt;"",'P02'!$E23&amp;" "&amp;CHAR(10)&amp;'P02'!$F23,'P02'!$E23)</f>
        <v>0</v>
      </c>
      <c r="H27" s="89">
        <f>IF('P03'!$E23&gt;"",'P03'!$E23&amp;" "&amp;CHAR(10)&amp;'P03'!$F23,'P03'!$E23)</f>
        <v>0</v>
      </c>
      <c r="I27" s="89">
        <f>IF('P04'!$E23&gt;"",'P04'!$E23&amp;" "&amp;CHAR(10)&amp;'P04'!$F23,'P04'!$E23)</f>
        <v>0</v>
      </c>
      <c r="J27" s="89">
        <f>IF('P05'!$E23&gt;"",'P05'!$E23&amp;" "&amp;CHAR(10)&amp;'P05'!$F23,'P05'!$E23)</f>
        <v>0</v>
      </c>
      <c r="K27" s="89">
        <f>IF('P06'!$E23&gt;"",'P06'!$E23&amp;" "&amp;CHAR(10)&amp;'P06'!$F23,'P06'!$E23)</f>
        <v>0</v>
      </c>
      <c r="L27" s="89">
        <f>IF('P07'!$E23&gt;"",'P07'!$E23&amp;" "&amp;CHAR(10)&amp;'P07'!$F23,'P07'!$E23)</f>
        <v>0</v>
      </c>
      <c r="M27" s="89">
        <f>IF('P08'!$E23&gt;"",'P08'!$E23&amp;" "&amp;CHAR(10)&amp;'P08'!$F23,'P08'!$E23)</f>
        <v>0</v>
      </c>
      <c r="N27" s="89">
        <f>IF('P09'!$E23&gt;"",'P09'!$E23&amp;" "&amp;CHAR(10)&amp;'P09'!$F23,'P09'!$E23)</f>
        <v>0</v>
      </c>
      <c r="O27" s="89">
        <f>IF('P10'!$E23&gt;"",'P10'!$E23&amp;" "&amp;CHAR(10)&amp;'P10'!$F23,'P10'!$E23)</f>
        <v>0</v>
      </c>
      <c r="P27" s="89">
        <f>IF('P11'!$E23&gt;"",'P11'!$E23&amp;" "&amp;CHAR(10)&amp;'P11'!$F23,'P11'!$E23)</f>
        <v>0</v>
      </c>
      <c r="Q27" s="89">
        <f>IF('P12'!$E23&gt;"",'P12'!$E23&amp;" "&amp;CHAR(10)&amp;'P12'!$F23,'P12'!$E23)</f>
        <v>0</v>
      </c>
      <c r="R27" s="89">
        <f>IF('P13'!$E23&gt;"",'P13'!$E23&amp;" "&amp;CHAR(10)&amp;'P13'!$F23,'P13'!$E23)</f>
        <v>0</v>
      </c>
      <c r="S27" s="89">
        <f>IF('P14'!$E23&gt;"",'P14'!$E23&amp;" "&amp;CHAR(10)&amp;'P14'!$F23,'P14'!$E23)</f>
        <v>0</v>
      </c>
      <c r="T27" s="89">
        <f>IF('P15'!$E23&gt;"",'P15'!$E23&amp;" "&amp;CHAR(10)&amp;'P15'!$F23,'P15'!$E23)</f>
        <v>0</v>
      </c>
      <c r="U27" s="89">
        <f>IF('P16'!$E23&gt;"",'P16'!$E23&amp;" "&amp;CHAR(10)&amp;'P16'!$F23,'P16'!$E23)</f>
        <v>0</v>
      </c>
      <c r="V27" s="89">
        <f>IF('P17'!$E23&gt;"",'P17'!$E23&amp;" "&amp;CHAR(10)&amp;'P17'!$F23,'P17'!$E23)</f>
        <v>0</v>
      </c>
      <c r="W27" s="89">
        <f>IF('P18'!$E23&gt;"",'P18'!$E23&amp;" "&amp;CHAR(10)&amp;'P18'!$F23,'P18'!$E23)</f>
        <v>0</v>
      </c>
      <c r="X27" s="89">
        <f>IF('P19'!$E23&gt;"",'P19'!$E23&amp;" "&amp;CHAR(10)&amp;'P19'!$F23,'P19'!$E23)</f>
        <v>0</v>
      </c>
      <c r="Y27" s="89">
        <f>IF('P20'!$E23&gt;"",'P20'!$E23&amp;" "&amp;CHAR(10)&amp;'P20'!$F23,'P20'!$E23)</f>
        <v>0</v>
      </c>
      <c r="Z27" s="89">
        <f>IF('P21'!$E23&gt;"",'P21'!$E23&amp;" "&amp;CHAR(10)&amp;'P21'!$F23,'P21'!$E23)</f>
        <v>0</v>
      </c>
      <c r="AA27" s="89">
        <f>IF('P22'!$E23&gt;"",'P22'!$E23&amp;" "&amp;CHAR(10)&amp;'P22'!$F23,'P22'!$E23)</f>
        <v>0</v>
      </c>
      <c r="AB27" s="89">
        <f>IF('P23'!$E23&gt;"",'P23'!$E23&amp;" "&amp;CHAR(10)&amp;'P23'!$F23,'P23'!$E23)</f>
        <v>0</v>
      </c>
      <c r="AC27" s="89">
        <f>IF('P24'!$E23&gt;"",'P24'!$E23&amp;" "&amp;CHAR(10)&amp;'P24'!$F23,'P24'!$E23)</f>
        <v>0</v>
      </c>
      <c r="AD27" s="89">
        <f>IF('P25'!$E23&gt;"",'P25'!$E23&amp;" "&amp;CHAR(10)&amp;'P25'!$F23,'P25'!$E23)</f>
        <v>0</v>
      </c>
      <c r="AE27" s="89">
        <f>IF('P26'!$E23&gt;"",'P26'!$E23&amp;" "&amp;CHAR(10)&amp;'P26'!$F23,'P26'!$E23)</f>
        <v>0</v>
      </c>
      <c r="AF27" s="89">
        <f>IF('P27'!$E23&gt;"",'P27'!$E23&amp;" "&amp;CHAR(10)&amp;'P27'!$F23,'P27'!$E23)</f>
        <v>0</v>
      </c>
      <c r="AG27" s="89">
        <f>IF('P28'!$E23&gt;"",'P28'!$E23&amp;" "&amp;CHAR(10)&amp;'P28'!$F23,'P28'!$E23)</f>
        <v>0</v>
      </c>
      <c r="AH27" s="89">
        <f>IF('P29'!$E23&gt;"",'P29'!$E23&amp;" "&amp;CHAR(10)&amp;'P29'!$F23,'P29'!$E23)</f>
        <v>0</v>
      </c>
      <c r="AI27" s="89">
        <f>IF('P30'!$E23&gt;"",'P30'!$E23&amp;" "&amp;CHAR(10)&amp;'P30'!$F23,'P30'!$E23)</f>
        <v>0</v>
      </c>
      <c r="AJ27" s="89">
        <f>IF('P31'!$E23&gt;"",'P31'!$E23&amp;" "&amp;CHAR(10)&amp;'P31'!$F23,'P31'!$E23)</f>
        <v>0</v>
      </c>
      <c r="AK27" s="89">
        <f>IF('P32'!$E23&gt;"",'P32'!$E23&amp;" "&amp;CHAR(10)&amp;'P32'!$F23,'P32'!$E23)</f>
        <v>0</v>
      </c>
      <c r="AL27" s="89">
        <f>IF('P33'!$E23&gt;"",'P33'!$E23&amp;" "&amp;CHAR(10)&amp;'P33'!$F23,'P33'!$E23)</f>
        <v>0</v>
      </c>
      <c r="AM27" s="89">
        <f>IF('P34'!$E23&gt;"",'P34'!$E23&amp;" "&amp;CHAR(10)&amp;'P34'!$F23,'P34'!$E23)</f>
        <v>0</v>
      </c>
      <c r="AN27" s="89">
        <f>IF('P35'!$E23&gt;"",'P35'!$E23&amp;" "&amp;CHAR(10)&amp;'P35'!$F23,'P35'!$E23)</f>
        <v>0</v>
      </c>
      <c r="AO27" s="89">
        <f>IF('P36'!$E23&gt;"",'P36'!$E23&amp;" "&amp;CHAR(10)&amp;'P36'!$F23,'P36'!$E23)</f>
        <v>0</v>
      </c>
      <c r="AP27" s="89">
        <f>IF('P37'!$E23&gt;"",'P37'!$E23&amp;" "&amp;CHAR(10)&amp;'P37'!$F23,'P37'!$E23)</f>
        <v>0</v>
      </c>
      <c r="AQ27" s="89">
        <f>IF('P38'!$E23&gt;"",'P38'!$E23&amp;" "&amp;CHAR(10)&amp;'P38'!$F23,'P38'!$E23)</f>
        <v>0</v>
      </c>
      <c r="AR27" s="89">
        <f>IF('P39'!$E23&gt;"",'P39'!$E23&amp;" "&amp;CHAR(10)&amp;'P39'!$F23,'P39'!$E23)</f>
        <v>0</v>
      </c>
      <c r="AS27" s="89">
        <f>IF('P40'!$E23&gt;"",'P40'!$E23&amp;" "&amp;CHAR(10)&amp;'P40'!$F23,'P40'!$E23)</f>
        <v>0</v>
      </c>
      <c r="AT27" s="55">
        <f t="shared" si="5"/>
        <v>0</v>
      </c>
      <c r="AU27" s="9">
        <f t="shared" si="6"/>
        <v>0</v>
      </c>
      <c r="AV27" s="55">
        <f t="shared" si="7"/>
        <v>0</v>
      </c>
      <c r="AW27" s="38" t="str">
        <f t="shared" si="8"/>
        <v>NT</v>
      </c>
      <c r="AX27" s="39"/>
      <c r="AY27" s="10"/>
      <c r="AZ27" s="10"/>
      <c r="BA27" s="10" t="str">
        <f>IF('P01'!$G23&lt;&gt;"", 'P01'!$G23, "non")</f>
        <v>non</v>
      </c>
      <c r="BB27" s="10" t="str">
        <f>IF('P02'!$G23&lt;&gt;"", 'P02'!$G23, "non")</f>
        <v>non</v>
      </c>
      <c r="BC27" s="10" t="str">
        <f>IF('P03'!$G23&lt;&gt;"", 'P03'!$G23, "non")</f>
        <v>non</v>
      </c>
      <c r="BD27" s="10" t="str">
        <f>IF('P04'!$G23&lt;&gt;"", 'P04'!$G23, "non")</f>
        <v>non</v>
      </c>
      <c r="BE27" s="10" t="str">
        <f>IF('P05'!$G23&lt;&gt;"", 'P05'!$G23, "non")</f>
        <v>non</v>
      </c>
      <c r="BF27" s="10" t="str">
        <f>IF('P06'!$G23&lt;&gt;"", 'P06'!$G23, "non")</f>
        <v>non</v>
      </c>
      <c r="BG27" s="10" t="str">
        <f>IF('P07'!$G23&lt;&gt;"", 'P07'!$G23, "non")</f>
        <v>non</v>
      </c>
      <c r="BH27" s="10" t="str">
        <f>IF('P08'!$G23&lt;&gt;"", 'P08'!$G23, "non")</f>
        <v>non</v>
      </c>
      <c r="BI27" s="10" t="str">
        <f>IF('P09'!$G23&lt;&gt;"", 'P09'!$G23, "non")</f>
        <v>non</v>
      </c>
      <c r="BJ27" s="10" t="str">
        <f>IF('P10'!$G23&lt;&gt;"", 'P10'!$G23, "non")</f>
        <v>non</v>
      </c>
      <c r="BK27" s="10" t="str">
        <f>IF('P11'!$G23&lt;&gt;"", 'P11'!$G23, "non")</f>
        <v>non</v>
      </c>
      <c r="BL27" s="10" t="str">
        <f>IF('P12'!$G23&lt;&gt;"", 'P12'!$G23, "non")</f>
        <v>non</v>
      </c>
      <c r="BM27" s="10" t="str">
        <f>IF('P13'!$G23&lt;&gt;"", 'P13'!$G23, "non")</f>
        <v>non</v>
      </c>
      <c r="BN27" s="10" t="str">
        <f>IF('P14'!$G23&lt;&gt;"", 'P14'!$G23, "non")</f>
        <v>non</v>
      </c>
      <c r="BO27" s="10" t="str">
        <f>IF('P15'!$G23&lt;&gt;"", 'P15'!$G23, "non")</f>
        <v>non</v>
      </c>
      <c r="BP27" s="10" t="str">
        <f>IF('P16'!$G23&lt;&gt;"", 'P16'!$G23, "non")</f>
        <v>non</v>
      </c>
      <c r="BQ27" s="10" t="str">
        <f>IF('P17'!$G23&lt;&gt;"", 'P17'!$G23, "non")</f>
        <v>non</v>
      </c>
      <c r="BR27" s="10" t="str">
        <f>IF('P18'!$G23&lt;&gt;"", 'P18'!$G23, "non")</f>
        <v>non</v>
      </c>
      <c r="BS27" s="10" t="str">
        <f>IF('P19'!$G23&lt;&gt;"", 'P19'!$G23, "non")</f>
        <v>non</v>
      </c>
      <c r="BT27" s="11" t="str">
        <f>IF('P20'!$G23&lt;&gt;"", 'P20'!$G23, "non")</f>
        <v>non</v>
      </c>
      <c r="BU27" s="10" t="str">
        <f>IF('P21'!$G23&lt;&gt;"", 'P21'!$G23, "non")</f>
        <v>non</v>
      </c>
      <c r="BV27" s="11" t="str">
        <f>IF('P22'!$G23&lt;&gt;"", 'P22'!$G23, "non")</f>
        <v>non</v>
      </c>
      <c r="BW27" s="10" t="str">
        <f>IF('P23'!$G23&lt;&gt;"", 'P23'!$G23, "non")</f>
        <v>non</v>
      </c>
      <c r="BX27" s="11" t="str">
        <f>IF('P24'!$G23&lt;&gt;"", 'P24'!$G23, "non")</f>
        <v>non</v>
      </c>
      <c r="BY27" s="10" t="str">
        <f>IF('P25'!$G23&lt;&gt;"", 'P25'!$G23, "non")</f>
        <v>non</v>
      </c>
      <c r="BZ27" s="11" t="str">
        <f>IF('P26'!$G23&lt;&gt;"", 'P26'!$G23, "non")</f>
        <v>non</v>
      </c>
      <c r="CA27" s="10" t="str">
        <f>IF('P27'!$G23&lt;&gt;"", 'P27'!$G23, "non")</f>
        <v>non</v>
      </c>
      <c r="CB27" s="11" t="str">
        <f>IF('P28'!$G23&lt;&gt;"", 'P28'!$G23, "non")</f>
        <v>non</v>
      </c>
      <c r="CC27" s="10" t="str">
        <f>IF('P29'!$G23&lt;&gt;"", 'P29'!$G23, "non")</f>
        <v>non</v>
      </c>
      <c r="CD27" s="11" t="str">
        <f>IF('P30'!$G23&lt;&gt;"", 'P30'!$G23, "non")</f>
        <v>non</v>
      </c>
      <c r="CE27" s="10" t="str">
        <f>IF('P31'!$G23&lt;&gt;"", 'P31'!$G23, "non")</f>
        <v>non</v>
      </c>
      <c r="CF27" s="11" t="str">
        <f>IF('P32'!$G23&lt;&gt;"", 'P32'!$G23, "non")</f>
        <v>non</v>
      </c>
      <c r="CG27" s="10" t="str">
        <f>IF('P33'!$G23&lt;&gt;"", 'P33'!$G23, "non")</f>
        <v>non</v>
      </c>
      <c r="CH27" s="10" t="str">
        <f>IF('P34'!$G23&lt;&gt;"", 'P34'!$G23, "non")</f>
        <v>non</v>
      </c>
      <c r="CI27" s="11" t="str">
        <f>IF('P35'!$G23&lt;&gt;"", 'P35'!$G23, "non")</f>
        <v>non</v>
      </c>
      <c r="CJ27" s="10" t="str">
        <f>IF('P36'!$G23&lt;&gt;"", 'P36'!$G23, "non")</f>
        <v>non</v>
      </c>
      <c r="CK27" s="11" t="str">
        <f>IF('P37'!$G23&lt;&gt;"", 'P37'!$G23, "non")</f>
        <v>non</v>
      </c>
      <c r="CL27" s="10" t="str">
        <f>IF('P38'!$G23&lt;&gt;"", 'P38'!$G23, "non")</f>
        <v>non</v>
      </c>
      <c r="CM27" s="11" t="str">
        <f>IF('P39'!$G23&lt;&gt;"", 'P39'!$G23, "non")</f>
        <v>non</v>
      </c>
      <c r="CN27" s="10" t="str">
        <f>IF('P40'!$G23&lt;&gt;"", 'P40'!$G23, "non")</f>
        <v>non</v>
      </c>
    </row>
    <row r="28" spans="1:92" s="6" customFormat="1" ht="39.75" customHeight="1">
      <c r="A28" s="122" t="str">
        <f>'Critères et tests'!B23</f>
        <v>MULTIMÉDIA</v>
      </c>
      <c r="B28" s="124" t="str">
        <f>'Critères et tests'!$A23</f>
        <v>4.7</v>
      </c>
      <c r="C28" s="192" t="str">
        <f>VLOOKUP(B28,'Critères et tests'!$1:$1048576,5,FALSE)</f>
        <v>Chaque média temporel est-il clairement identifiable (hors cas particuliers) ?</v>
      </c>
      <c r="D28" s="124" t="str">
        <f>'Critères et tests'!$C23</f>
        <v>A</v>
      </c>
      <c r="E28" s="156" t="s">
        <v>460</v>
      </c>
      <c r="F28" s="88">
        <f>IF('P01'!$E24&gt;"",'P01'!$E24&amp;" "&amp;CHAR(10)&amp;'P01'!$F24,'P01'!$E24)</f>
        <v>0</v>
      </c>
      <c r="G28" s="89">
        <f>IF('P02'!$E24&gt;"",'P02'!$E24&amp;" "&amp;CHAR(10)&amp;'P02'!$F24,'P02'!$E24)</f>
        <v>0</v>
      </c>
      <c r="H28" s="89">
        <f>IF('P03'!$E24&gt;"",'P03'!$E24&amp;" "&amp;CHAR(10)&amp;'P03'!$F24,'P03'!$E24)</f>
        <v>0</v>
      </c>
      <c r="I28" s="89">
        <f>IF('P04'!$E24&gt;"",'P04'!$E24&amp;" "&amp;CHAR(10)&amp;'P04'!$F24,'P04'!$E24)</f>
        <v>0</v>
      </c>
      <c r="J28" s="89">
        <f>IF('P05'!$E24&gt;"",'P05'!$E24&amp;" "&amp;CHAR(10)&amp;'P05'!$F24,'P05'!$E24)</f>
        <v>0</v>
      </c>
      <c r="K28" s="89">
        <f>IF('P06'!$E24&gt;"",'P06'!$E24&amp;" "&amp;CHAR(10)&amp;'P06'!$F24,'P06'!$E24)</f>
        <v>0</v>
      </c>
      <c r="L28" s="89">
        <f>IF('P07'!$E24&gt;"",'P07'!$E24&amp;" "&amp;CHAR(10)&amp;'P07'!$F24,'P07'!$E24)</f>
        <v>0</v>
      </c>
      <c r="M28" s="89">
        <f>IF('P08'!$E24&gt;"",'P08'!$E24&amp;" "&amp;CHAR(10)&amp;'P08'!$F24,'P08'!$E24)</f>
        <v>0</v>
      </c>
      <c r="N28" s="89">
        <f>IF('P09'!$E24&gt;"",'P09'!$E24&amp;" "&amp;CHAR(10)&amp;'P09'!$F24,'P09'!$E24)</f>
        <v>0</v>
      </c>
      <c r="O28" s="89">
        <f>IF('P10'!$E24&gt;"",'P10'!$E24&amp;" "&amp;CHAR(10)&amp;'P10'!$F24,'P10'!$E24)</f>
        <v>0</v>
      </c>
      <c r="P28" s="89">
        <f>IF('P11'!$E24&gt;"",'P11'!$E24&amp;" "&amp;CHAR(10)&amp;'P11'!$F24,'P11'!$E24)</f>
        <v>0</v>
      </c>
      <c r="Q28" s="89">
        <f>IF('P12'!$E24&gt;"",'P12'!$E24&amp;" "&amp;CHAR(10)&amp;'P12'!$F24,'P12'!$E24)</f>
        <v>0</v>
      </c>
      <c r="R28" s="89">
        <f>IF('P13'!$E24&gt;"",'P13'!$E24&amp;" "&amp;CHAR(10)&amp;'P13'!$F24,'P13'!$E24)</f>
        <v>0</v>
      </c>
      <c r="S28" s="89">
        <f>IF('P14'!$E24&gt;"",'P14'!$E24&amp;" "&amp;CHAR(10)&amp;'P14'!$F24,'P14'!$E24)</f>
        <v>0</v>
      </c>
      <c r="T28" s="89">
        <f>IF('P15'!$E24&gt;"",'P15'!$E24&amp;" "&amp;CHAR(10)&amp;'P15'!$F24,'P15'!$E24)</f>
        <v>0</v>
      </c>
      <c r="U28" s="89">
        <f>IF('P16'!$E24&gt;"",'P16'!$E24&amp;" "&amp;CHAR(10)&amp;'P16'!$F24,'P16'!$E24)</f>
        <v>0</v>
      </c>
      <c r="V28" s="89">
        <f>IF('P17'!$E24&gt;"",'P17'!$E24&amp;" "&amp;CHAR(10)&amp;'P17'!$F24,'P17'!$E24)</f>
        <v>0</v>
      </c>
      <c r="W28" s="89">
        <f>IF('P18'!$E24&gt;"",'P18'!$E24&amp;" "&amp;CHAR(10)&amp;'P18'!$F24,'P18'!$E24)</f>
        <v>0</v>
      </c>
      <c r="X28" s="89">
        <f>IF('P19'!$E24&gt;"",'P19'!$E24&amp;" "&amp;CHAR(10)&amp;'P19'!$F24,'P19'!$E24)</f>
        <v>0</v>
      </c>
      <c r="Y28" s="89">
        <f>IF('P20'!$E24&gt;"",'P20'!$E24&amp;" "&amp;CHAR(10)&amp;'P20'!$F24,'P20'!$E24)</f>
        <v>0</v>
      </c>
      <c r="Z28" s="89">
        <f>IF('P21'!$E24&gt;"",'P21'!$E24&amp;" "&amp;CHAR(10)&amp;'P21'!$F24,'P21'!$E24)</f>
        <v>0</v>
      </c>
      <c r="AA28" s="89">
        <f>IF('P22'!$E24&gt;"",'P22'!$E24&amp;" "&amp;CHAR(10)&amp;'P22'!$F24,'P22'!$E24)</f>
        <v>0</v>
      </c>
      <c r="AB28" s="89">
        <f>IF('P23'!$E24&gt;"",'P23'!$E24&amp;" "&amp;CHAR(10)&amp;'P23'!$F24,'P23'!$E24)</f>
        <v>0</v>
      </c>
      <c r="AC28" s="89">
        <f>IF('P24'!$E24&gt;"",'P24'!$E24&amp;" "&amp;CHAR(10)&amp;'P24'!$F24,'P24'!$E24)</f>
        <v>0</v>
      </c>
      <c r="AD28" s="89">
        <f>IF('P25'!$E24&gt;"",'P25'!$E24&amp;" "&amp;CHAR(10)&amp;'P25'!$F24,'P25'!$E24)</f>
        <v>0</v>
      </c>
      <c r="AE28" s="89">
        <f>IF('P26'!$E24&gt;"",'P26'!$E24&amp;" "&amp;CHAR(10)&amp;'P26'!$F24,'P26'!$E24)</f>
        <v>0</v>
      </c>
      <c r="AF28" s="89">
        <f>IF('P27'!$E24&gt;"",'P27'!$E24&amp;" "&amp;CHAR(10)&amp;'P27'!$F24,'P27'!$E24)</f>
        <v>0</v>
      </c>
      <c r="AG28" s="89">
        <f>IF('P28'!$E24&gt;"",'P28'!$E24&amp;" "&amp;CHAR(10)&amp;'P28'!$F24,'P28'!$E24)</f>
        <v>0</v>
      </c>
      <c r="AH28" s="89">
        <f>IF('P29'!$E24&gt;"",'P29'!$E24&amp;" "&amp;CHAR(10)&amp;'P29'!$F24,'P29'!$E24)</f>
        <v>0</v>
      </c>
      <c r="AI28" s="89">
        <f>IF('P30'!$E24&gt;"",'P30'!$E24&amp;" "&amp;CHAR(10)&amp;'P30'!$F24,'P30'!$E24)</f>
        <v>0</v>
      </c>
      <c r="AJ28" s="89">
        <f>IF('P31'!$E24&gt;"",'P31'!$E24&amp;" "&amp;CHAR(10)&amp;'P31'!$F24,'P31'!$E24)</f>
        <v>0</v>
      </c>
      <c r="AK28" s="89">
        <f>IF('P32'!$E24&gt;"",'P32'!$E24&amp;" "&amp;CHAR(10)&amp;'P32'!$F24,'P32'!$E24)</f>
        <v>0</v>
      </c>
      <c r="AL28" s="89">
        <f>IF('P33'!$E24&gt;"",'P33'!$E24&amp;" "&amp;CHAR(10)&amp;'P33'!$F24,'P33'!$E24)</f>
        <v>0</v>
      </c>
      <c r="AM28" s="89">
        <f>IF('P34'!$E24&gt;"",'P34'!$E24&amp;" "&amp;CHAR(10)&amp;'P34'!$F24,'P34'!$E24)</f>
        <v>0</v>
      </c>
      <c r="AN28" s="89">
        <f>IF('P35'!$E24&gt;"",'P35'!$E24&amp;" "&amp;CHAR(10)&amp;'P35'!$F24,'P35'!$E24)</f>
        <v>0</v>
      </c>
      <c r="AO28" s="89">
        <f>IF('P36'!$E24&gt;"",'P36'!$E24&amp;" "&amp;CHAR(10)&amp;'P36'!$F24,'P36'!$E24)</f>
        <v>0</v>
      </c>
      <c r="AP28" s="89">
        <f>IF('P37'!$E24&gt;"",'P37'!$E24&amp;" "&amp;CHAR(10)&amp;'P37'!$F24,'P37'!$E24)</f>
        <v>0</v>
      </c>
      <c r="AQ28" s="89">
        <f>IF('P38'!$E24&gt;"",'P38'!$E24&amp;" "&amp;CHAR(10)&amp;'P38'!$F24,'P38'!$E24)</f>
        <v>0</v>
      </c>
      <c r="AR28" s="89">
        <f>IF('P39'!$E24&gt;"",'P39'!$E24&amp;" "&amp;CHAR(10)&amp;'P39'!$F24,'P39'!$E24)</f>
        <v>0</v>
      </c>
      <c r="AS28" s="89">
        <f>IF('P40'!$E24&gt;"",'P40'!$E24&amp;" "&amp;CHAR(10)&amp;'P40'!$F24,'P40'!$E24)</f>
        <v>0</v>
      </c>
      <c r="AT28" s="55">
        <f t="shared" si="5"/>
        <v>0</v>
      </c>
      <c r="AU28" s="9">
        <f t="shared" si="6"/>
        <v>0</v>
      </c>
      <c r="AV28" s="55">
        <f t="shared" si="7"/>
        <v>0</v>
      </c>
      <c r="AW28" s="38" t="str">
        <f t="shared" si="8"/>
        <v>NT</v>
      </c>
      <c r="AX28" s="39"/>
      <c r="AY28" s="10"/>
      <c r="AZ28" s="10"/>
      <c r="BA28" s="10" t="str">
        <f>IF('P01'!$G24&lt;&gt;"", 'P01'!$G24, "non")</f>
        <v>non</v>
      </c>
      <c r="BB28" s="10" t="str">
        <f>IF('P02'!$G24&lt;&gt;"", 'P02'!$G24, "non")</f>
        <v>non</v>
      </c>
      <c r="BC28" s="10" t="str">
        <f>IF('P03'!$G24&lt;&gt;"", 'P03'!$G24, "non")</f>
        <v>non</v>
      </c>
      <c r="BD28" s="10" t="str">
        <f>IF('P04'!$G24&lt;&gt;"", 'P04'!$G24, "non")</f>
        <v>non</v>
      </c>
      <c r="BE28" s="10" t="str">
        <f>IF('P05'!$G24&lt;&gt;"", 'P05'!$G24, "non")</f>
        <v>non</v>
      </c>
      <c r="BF28" s="10" t="str">
        <f>IF('P06'!$G24&lt;&gt;"", 'P06'!$G24, "non")</f>
        <v>non</v>
      </c>
      <c r="BG28" s="10" t="str">
        <f>IF('P07'!$G24&lt;&gt;"", 'P07'!$G24, "non")</f>
        <v>non</v>
      </c>
      <c r="BH28" s="10" t="str">
        <f>IF('P08'!$G24&lt;&gt;"", 'P08'!$G24, "non")</f>
        <v>non</v>
      </c>
      <c r="BI28" s="10" t="str">
        <f>IF('P09'!$G24&lt;&gt;"", 'P09'!$G24, "non")</f>
        <v>non</v>
      </c>
      <c r="BJ28" s="10" t="str">
        <f>IF('P10'!$G24&lt;&gt;"", 'P10'!$G24, "non")</f>
        <v>non</v>
      </c>
      <c r="BK28" s="10" t="str">
        <f>IF('P11'!$G24&lt;&gt;"", 'P11'!$G24, "non")</f>
        <v>non</v>
      </c>
      <c r="BL28" s="10" t="str">
        <f>IF('P12'!$G24&lt;&gt;"", 'P12'!$G24, "non")</f>
        <v>non</v>
      </c>
      <c r="BM28" s="10" t="str">
        <f>IF('P13'!$G24&lt;&gt;"", 'P13'!$G24, "non")</f>
        <v>non</v>
      </c>
      <c r="BN28" s="10" t="str">
        <f>IF('P14'!$G24&lt;&gt;"", 'P14'!$G24, "non")</f>
        <v>non</v>
      </c>
      <c r="BO28" s="10" t="str">
        <f>IF('P15'!$G24&lt;&gt;"", 'P15'!$G24, "non")</f>
        <v>non</v>
      </c>
      <c r="BP28" s="10" t="str">
        <f>IF('P16'!$G24&lt;&gt;"", 'P16'!$G24, "non")</f>
        <v>non</v>
      </c>
      <c r="BQ28" s="10" t="str">
        <f>IF('P17'!$G24&lt;&gt;"", 'P17'!$G24, "non")</f>
        <v>non</v>
      </c>
      <c r="BR28" s="10" t="str">
        <f>IF('P18'!$G24&lt;&gt;"", 'P18'!$G24, "non")</f>
        <v>non</v>
      </c>
      <c r="BS28" s="10" t="str">
        <f>IF('P19'!$G24&lt;&gt;"", 'P19'!$G24, "non")</f>
        <v>non</v>
      </c>
      <c r="BT28" s="11" t="str">
        <f>IF('P20'!$G24&lt;&gt;"", 'P20'!$G24, "non")</f>
        <v>non</v>
      </c>
      <c r="BU28" s="10" t="str">
        <f>IF('P21'!$G24&lt;&gt;"", 'P21'!$G24, "non")</f>
        <v>non</v>
      </c>
      <c r="BV28" s="11" t="str">
        <f>IF('P22'!$G24&lt;&gt;"", 'P22'!$G24, "non")</f>
        <v>non</v>
      </c>
      <c r="BW28" s="10" t="str">
        <f>IF('P23'!$G24&lt;&gt;"", 'P23'!$G24, "non")</f>
        <v>non</v>
      </c>
      <c r="BX28" s="11" t="str">
        <f>IF('P24'!$G24&lt;&gt;"", 'P24'!$G24, "non")</f>
        <v>non</v>
      </c>
      <c r="BY28" s="10" t="str">
        <f>IF('P25'!$G24&lt;&gt;"", 'P25'!$G24, "non")</f>
        <v>non</v>
      </c>
      <c r="BZ28" s="11" t="str">
        <f>IF('P26'!$G24&lt;&gt;"", 'P26'!$G24, "non")</f>
        <v>non</v>
      </c>
      <c r="CA28" s="10" t="str">
        <f>IF('P27'!$G24&lt;&gt;"", 'P27'!$G24, "non")</f>
        <v>non</v>
      </c>
      <c r="CB28" s="11" t="str">
        <f>IF('P28'!$G24&lt;&gt;"", 'P28'!$G24, "non")</f>
        <v>non</v>
      </c>
      <c r="CC28" s="10" t="str">
        <f>IF('P29'!$G24&lt;&gt;"", 'P29'!$G24, "non")</f>
        <v>non</v>
      </c>
      <c r="CD28" s="11" t="str">
        <f>IF('P30'!$G24&lt;&gt;"", 'P30'!$G24, "non")</f>
        <v>non</v>
      </c>
      <c r="CE28" s="10" t="str">
        <f>IF('P31'!$G24&lt;&gt;"", 'P31'!$G24, "non")</f>
        <v>non</v>
      </c>
      <c r="CF28" s="11" t="str">
        <f>IF('P32'!$G24&lt;&gt;"", 'P32'!$G24, "non")</f>
        <v>non</v>
      </c>
      <c r="CG28" s="10" t="str">
        <f>IF('P33'!$G24&lt;&gt;"", 'P33'!$G24, "non")</f>
        <v>non</v>
      </c>
      <c r="CH28" s="10" t="str">
        <f>IF('P34'!$G24&lt;&gt;"", 'P34'!$G24, "non")</f>
        <v>non</v>
      </c>
      <c r="CI28" s="11" t="str">
        <f>IF('P35'!$G24&lt;&gt;"", 'P35'!$G24, "non")</f>
        <v>non</v>
      </c>
      <c r="CJ28" s="10" t="str">
        <f>IF('P36'!$G24&lt;&gt;"", 'P36'!$G24, "non")</f>
        <v>non</v>
      </c>
      <c r="CK28" s="11" t="str">
        <f>IF('P37'!$G24&lt;&gt;"", 'P37'!$G24, "non")</f>
        <v>non</v>
      </c>
      <c r="CL28" s="10" t="str">
        <f>IF('P38'!$G24&lt;&gt;"", 'P38'!$G24, "non")</f>
        <v>non</v>
      </c>
      <c r="CM28" s="11" t="str">
        <f>IF('P39'!$G24&lt;&gt;"", 'P39'!$G24, "non")</f>
        <v>non</v>
      </c>
      <c r="CN28" s="10" t="str">
        <f>IF('P40'!$G24&lt;&gt;"", 'P40'!$G24, "non")</f>
        <v>non</v>
      </c>
    </row>
    <row r="29" spans="1:92" ht="39.75" customHeight="1">
      <c r="A29" s="122" t="str">
        <f>'Critères et tests'!B24</f>
        <v>MULTIMÉDIA</v>
      </c>
      <c r="B29" s="124" t="str">
        <f>'Critères et tests'!$A24</f>
        <v>4.8</v>
      </c>
      <c r="C29" s="192" t="str">
        <f>VLOOKUP(B29,'Critères et tests'!$1:$1048576,5,FALSE)</f>
        <v>Chaque média non temporel a-t-il, si nécessaire, une alternative (hors cas particuliers) ?</v>
      </c>
      <c r="D29" s="124" t="str">
        <f>'Critères et tests'!$C24</f>
        <v>A</v>
      </c>
      <c r="E29" s="156" t="s">
        <v>460</v>
      </c>
      <c r="F29" s="88">
        <f>IF('P01'!$E25&gt;"",'P01'!$E25&amp;" "&amp;CHAR(10)&amp;'P01'!$F25,'P01'!$E25)</f>
        <v>0</v>
      </c>
      <c r="G29" s="89">
        <f>IF('P02'!$E25&gt;"",'P02'!$E25&amp;" "&amp;CHAR(10)&amp;'P02'!$F25,'P02'!$E25)</f>
        <v>0</v>
      </c>
      <c r="H29" s="89">
        <f>IF('P03'!$E25&gt;"",'P03'!$E25&amp;" "&amp;CHAR(10)&amp;'P03'!$F25,'P03'!$E25)</f>
        <v>0</v>
      </c>
      <c r="I29" s="89">
        <f>IF('P04'!$E25&gt;"",'P04'!$E25&amp;" "&amp;CHAR(10)&amp;'P04'!$F25,'P04'!$E25)</f>
        <v>0</v>
      </c>
      <c r="J29" s="89">
        <f>IF('P05'!$E25&gt;"",'P05'!$E25&amp;" "&amp;CHAR(10)&amp;'P05'!$F25,'P05'!$E25)</f>
        <v>0</v>
      </c>
      <c r="K29" s="89">
        <f>IF('P06'!$E25&gt;"",'P06'!$E25&amp;" "&amp;CHAR(10)&amp;'P06'!$F25,'P06'!$E25)</f>
        <v>0</v>
      </c>
      <c r="L29" s="89">
        <f>IF('P07'!$E25&gt;"",'P07'!$E25&amp;" "&amp;CHAR(10)&amp;'P07'!$F25,'P07'!$E25)</f>
        <v>0</v>
      </c>
      <c r="M29" s="89">
        <f>IF('P08'!$E25&gt;"",'P08'!$E25&amp;" "&amp;CHAR(10)&amp;'P08'!$F25,'P08'!$E25)</f>
        <v>0</v>
      </c>
      <c r="N29" s="89">
        <f>IF('P09'!$E25&gt;"",'P09'!$E25&amp;" "&amp;CHAR(10)&amp;'P09'!$F25,'P09'!$E25)</f>
        <v>0</v>
      </c>
      <c r="O29" s="89">
        <f>IF('P10'!$E25&gt;"",'P10'!$E25&amp;" "&amp;CHAR(10)&amp;'P10'!$F25,'P10'!$E25)</f>
        <v>0</v>
      </c>
      <c r="P29" s="89">
        <f>IF('P11'!$E25&gt;"",'P11'!$E25&amp;" "&amp;CHAR(10)&amp;'P11'!$F25,'P11'!$E25)</f>
        <v>0</v>
      </c>
      <c r="Q29" s="89">
        <f>IF('P12'!$E25&gt;"",'P12'!$E25&amp;" "&amp;CHAR(10)&amp;'P12'!$F25,'P12'!$E25)</f>
        <v>0</v>
      </c>
      <c r="R29" s="89">
        <f>IF('P13'!$E25&gt;"",'P13'!$E25&amp;" "&amp;CHAR(10)&amp;'P13'!$F25,'P13'!$E25)</f>
        <v>0</v>
      </c>
      <c r="S29" s="89">
        <f>IF('P14'!$E25&gt;"",'P14'!$E25&amp;" "&amp;CHAR(10)&amp;'P14'!$F25,'P14'!$E25)</f>
        <v>0</v>
      </c>
      <c r="T29" s="89">
        <f>IF('P15'!$E25&gt;"",'P15'!$E25&amp;" "&amp;CHAR(10)&amp;'P15'!$F25,'P15'!$E25)</f>
        <v>0</v>
      </c>
      <c r="U29" s="89">
        <f>IF('P16'!$E25&gt;"",'P16'!$E25&amp;" "&amp;CHAR(10)&amp;'P16'!$F25,'P16'!$E25)</f>
        <v>0</v>
      </c>
      <c r="V29" s="89">
        <f>IF('P17'!$E25&gt;"",'P17'!$E25&amp;" "&amp;CHAR(10)&amp;'P17'!$F25,'P17'!$E25)</f>
        <v>0</v>
      </c>
      <c r="W29" s="89">
        <f>IF('P18'!$E25&gt;"",'P18'!$E25&amp;" "&amp;CHAR(10)&amp;'P18'!$F25,'P18'!$E25)</f>
        <v>0</v>
      </c>
      <c r="X29" s="89">
        <f>IF('P19'!$E25&gt;"",'P19'!$E25&amp;" "&amp;CHAR(10)&amp;'P19'!$F25,'P19'!$E25)</f>
        <v>0</v>
      </c>
      <c r="Y29" s="89">
        <f>IF('P20'!$E25&gt;"",'P20'!$E25&amp;" "&amp;CHAR(10)&amp;'P20'!$F25,'P20'!$E25)</f>
        <v>0</v>
      </c>
      <c r="Z29" s="89">
        <f>IF('P21'!$E25&gt;"",'P21'!$E25&amp;" "&amp;CHAR(10)&amp;'P21'!$F25,'P21'!$E25)</f>
        <v>0</v>
      </c>
      <c r="AA29" s="89">
        <f>IF('P22'!$E25&gt;"",'P22'!$E25&amp;" "&amp;CHAR(10)&amp;'P22'!$F25,'P22'!$E25)</f>
        <v>0</v>
      </c>
      <c r="AB29" s="89">
        <f>IF('P23'!$E25&gt;"",'P23'!$E25&amp;" "&amp;CHAR(10)&amp;'P23'!$F25,'P23'!$E25)</f>
        <v>0</v>
      </c>
      <c r="AC29" s="89">
        <f>IF('P24'!$E25&gt;"",'P24'!$E25&amp;" "&amp;CHAR(10)&amp;'P24'!$F25,'P24'!$E25)</f>
        <v>0</v>
      </c>
      <c r="AD29" s="89">
        <f>IF('P25'!$E25&gt;"",'P25'!$E25&amp;" "&amp;CHAR(10)&amp;'P25'!$F25,'P25'!$E25)</f>
        <v>0</v>
      </c>
      <c r="AE29" s="89">
        <f>IF('P26'!$E25&gt;"",'P26'!$E25&amp;" "&amp;CHAR(10)&amp;'P26'!$F25,'P26'!$E25)</f>
        <v>0</v>
      </c>
      <c r="AF29" s="89">
        <f>IF('P27'!$E25&gt;"",'P27'!$E25&amp;" "&amp;CHAR(10)&amp;'P27'!$F25,'P27'!$E25)</f>
        <v>0</v>
      </c>
      <c r="AG29" s="89">
        <f>IF('P28'!$E25&gt;"",'P28'!$E25&amp;" "&amp;CHAR(10)&amp;'P28'!$F25,'P28'!$E25)</f>
        <v>0</v>
      </c>
      <c r="AH29" s="89">
        <f>IF('P29'!$E25&gt;"",'P29'!$E25&amp;" "&amp;CHAR(10)&amp;'P29'!$F25,'P29'!$E25)</f>
        <v>0</v>
      </c>
      <c r="AI29" s="89">
        <f>IF('P30'!$E25&gt;"",'P30'!$E25&amp;" "&amp;CHAR(10)&amp;'P30'!$F25,'P30'!$E25)</f>
        <v>0</v>
      </c>
      <c r="AJ29" s="89">
        <f>IF('P31'!$E25&gt;"",'P31'!$E25&amp;" "&amp;CHAR(10)&amp;'P31'!$F25,'P31'!$E25)</f>
        <v>0</v>
      </c>
      <c r="AK29" s="89">
        <f>IF('P32'!$E25&gt;"",'P32'!$E25&amp;" "&amp;CHAR(10)&amp;'P32'!$F25,'P32'!$E25)</f>
        <v>0</v>
      </c>
      <c r="AL29" s="89">
        <f>IF('P33'!$E25&gt;"",'P33'!$E25&amp;" "&amp;CHAR(10)&amp;'P33'!$F25,'P33'!$E25)</f>
        <v>0</v>
      </c>
      <c r="AM29" s="89">
        <f>IF('P34'!$E25&gt;"",'P34'!$E25&amp;" "&amp;CHAR(10)&amp;'P34'!$F25,'P34'!$E25)</f>
        <v>0</v>
      </c>
      <c r="AN29" s="89">
        <f>IF('P35'!$E25&gt;"",'P35'!$E25&amp;" "&amp;CHAR(10)&amp;'P35'!$F25,'P35'!$E25)</f>
        <v>0</v>
      </c>
      <c r="AO29" s="89">
        <f>IF('P36'!$E25&gt;"",'P36'!$E25&amp;" "&amp;CHAR(10)&amp;'P36'!$F25,'P36'!$E25)</f>
        <v>0</v>
      </c>
      <c r="AP29" s="89">
        <f>IF('P37'!$E25&gt;"",'P37'!$E25&amp;" "&amp;CHAR(10)&amp;'P37'!$F25,'P37'!$E25)</f>
        <v>0</v>
      </c>
      <c r="AQ29" s="89">
        <f>IF('P38'!$E25&gt;"",'P38'!$E25&amp;" "&amp;CHAR(10)&amp;'P38'!$F25,'P38'!$E25)</f>
        <v>0</v>
      </c>
      <c r="AR29" s="89">
        <f>IF('P39'!$E25&gt;"",'P39'!$E25&amp;" "&amp;CHAR(10)&amp;'P39'!$F25,'P39'!$E25)</f>
        <v>0</v>
      </c>
      <c r="AS29" s="89">
        <f>IF('P40'!$E25&gt;"",'P40'!$E25&amp;" "&amp;CHAR(10)&amp;'P40'!$F25,'P40'!$E25)</f>
        <v>0</v>
      </c>
      <c r="AT29" s="55">
        <f t="shared" si="5"/>
        <v>0</v>
      </c>
      <c r="AU29" s="9">
        <f t="shared" si="6"/>
        <v>0</v>
      </c>
      <c r="AV29" s="55">
        <f t="shared" si="7"/>
        <v>0</v>
      </c>
      <c r="AW29" s="38" t="str">
        <f t="shared" si="8"/>
        <v>NT</v>
      </c>
      <c r="AX29" s="12"/>
      <c r="AY29" s="10"/>
      <c r="AZ29" s="10"/>
      <c r="BA29" s="10" t="str">
        <f>IF('P01'!$G25&lt;&gt;"", 'P01'!$G25, "non")</f>
        <v>non</v>
      </c>
      <c r="BB29" s="10" t="str">
        <f>IF('P02'!$G25&lt;&gt;"", 'P02'!$G25, "non")</f>
        <v>non</v>
      </c>
      <c r="BC29" s="10" t="str">
        <f>IF('P03'!$G25&lt;&gt;"", 'P03'!$G25, "non")</f>
        <v>non</v>
      </c>
      <c r="BD29" s="10" t="str">
        <f>IF('P04'!$G25&lt;&gt;"", 'P04'!$G25, "non")</f>
        <v>non</v>
      </c>
      <c r="BE29" s="10" t="str">
        <f>IF('P05'!$G25&lt;&gt;"", 'P05'!$G25, "non")</f>
        <v>non</v>
      </c>
      <c r="BF29" s="10" t="str">
        <f>IF('P06'!$G25&lt;&gt;"", 'P06'!$G25, "non")</f>
        <v>non</v>
      </c>
      <c r="BG29" s="10" t="str">
        <f>IF('P07'!$G25&lt;&gt;"", 'P07'!$G25, "non")</f>
        <v>non</v>
      </c>
      <c r="BH29" s="10" t="str">
        <f>IF('P08'!$G25&lt;&gt;"", 'P08'!$G25, "non")</f>
        <v>non</v>
      </c>
      <c r="BI29" s="10" t="str">
        <f>IF('P09'!$G25&lt;&gt;"", 'P09'!$G25, "non")</f>
        <v>non</v>
      </c>
      <c r="BJ29" s="10" t="str">
        <f>IF('P10'!$G25&lt;&gt;"", 'P10'!$G25, "non")</f>
        <v>non</v>
      </c>
      <c r="BK29" s="10" t="str">
        <f>IF('P11'!$G25&lt;&gt;"", 'P11'!$G25, "non")</f>
        <v>non</v>
      </c>
      <c r="BL29" s="10" t="str">
        <f>IF('P12'!$G25&lt;&gt;"", 'P12'!$G25, "non")</f>
        <v>non</v>
      </c>
      <c r="BM29" s="10" t="str">
        <f>IF('P13'!$G25&lt;&gt;"", 'P13'!$G25, "non")</f>
        <v>non</v>
      </c>
      <c r="BN29" s="10" t="str">
        <f>IF('P14'!$G25&lt;&gt;"", 'P14'!$G25, "non")</f>
        <v>non</v>
      </c>
      <c r="BO29" s="10" t="str">
        <f>IF('P15'!$G25&lt;&gt;"", 'P15'!$G25, "non")</f>
        <v>non</v>
      </c>
      <c r="BP29" s="10" t="str">
        <f>IF('P16'!$G25&lt;&gt;"", 'P16'!$G25, "non")</f>
        <v>non</v>
      </c>
      <c r="BQ29" s="10" t="str">
        <f>IF('P17'!$G25&lt;&gt;"", 'P17'!$G25, "non")</f>
        <v>non</v>
      </c>
      <c r="BR29" s="10" t="str">
        <f>IF('P18'!$G25&lt;&gt;"", 'P18'!$G25, "non")</f>
        <v>non</v>
      </c>
      <c r="BS29" s="10" t="str">
        <f>IF('P19'!$G25&lt;&gt;"", 'P19'!$G25, "non")</f>
        <v>non</v>
      </c>
      <c r="BT29" s="11" t="str">
        <f>IF('P20'!$G25&lt;&gt;"", 'P20'!$G25, "non")</f>
        <v>non</v>
      </c>
      <c r="BU29" s="10" t="str">
        <f>IF('P21'!$G25&lt;&gt;"", 'P21'!$G25, "non")</f>
        <v>non</v>
      </c>
      <c r="BV29" s="11" t="str">
        <f>IF('P22'!$G25&lt;&gt;"", 'P22'!$G25, "non")</f>
        <v>non</v>
      </c>
      <c r="BW29" s="10" t="str">
        <f>IF('P23'!$G25&lt;&gt;"", 'P23'!$G25, "non")</f>
        <v>non</v>
      </c>
      <c r="BX29" s="11" t="str">
        <f>IF('P24'!$G25&lt;&gt;"", 'P24'!$G25, "non")</f>
        <v>non</v>
      </c>
      <c r="BY29" s="10" t="str">
        <f>IF('P25'!$G25&lt;&gt;"", 'P25'!$G25, "non")</f>
        <v>non</v>
      </c>
      <c r="BZ29" s="11" t="str">
        <f>IF('P26'!$G25&lt;&gt;"", 'P26'!$G25, "non")</f>
        <v>non</v>
      </c>
      <c r="CA29" s="10" t="str">
        <f>IF('P27'!$G25&lt;&gt;"", 'P27'!$G25, "non")</f>
        <v>non</v>
      </c>
      <c r="CB29" s="11" t="str">
        <f>IF('P28'!$G25&lt;&gt;"", 'P28'!$G25, "non")</f>
        <v>non</v>
      </c>
      <c r="CC29" s="10" t="str">
        <f>IF('P29'!$G25&lt;&gt;"", 'P29'!$G25, "non")</f>
        <v>non</v>
      </c>
      <c r="CD29" s="11" t="str">
        <f>IF('P30'!$G25&lt;&gt;"", 'P30'!$G25, "non")</f>
        <v>non</v>
      </c>
      <c r="CE29" s="10" t="str">
        <f>IF('P31'!$G25&lt;&gt;"", 'P31'!$G25, "non")</f>
        <v>non</v>
      </c>
      <c r="CF29" s="11" t="str">
        <f>IF('P32'!$G25&lt;&gt;"", 'P32'!$G25, "non")</f>
        <v>non</v>
      </c>
      <c r="CG29" s="10" t="str">
        <f>IF('P33'!$G25&lt;&gt;"", 'P33'!$G25, "non")</f>
        <v>non</v>
      </c>
      <c r="CH29" s="10" t="str">
        <f>IF('P34'!$G25&lt;&gt;"", 'P34'!$G25, "non")</f>
        <v>non</v>
      </c>
      <c r="CI29" s="11" t="str">
        <f>IF('P35'!$G25&lt;&gt;"", 'P35'!$G25, "non")</f>
        <v>non</v>
      </c>
      <c r="CJ29" s="10" t="str">
        <f>IF('P36'!$G25&lt;&gt;"", 'P36'!$G25, "non")</f>
        <v>non</v>
      </c>
      <c r="CK29" s="11" t="str">
        <f>IF('P37'!$G25&lt;&gt;"", 'P37'!$G25, "non")</f>
        <v>non</v>
      </c>
      <c r="CL29" s="10" t="str">
        <f>IF('P38'!$G25&lt;&gt;"", 'P38'!$G25, "non")</f>
        <v>non</v>
      </c>
      <c r="CM29" s="11" t="str">
        <f>IF('P39'!$G25&lt;&gt;"", 'P39'!$G25, "non")</f>
        <v>non</v>
      </c>
      <c r="CN29" s="10" t="str">
        <f>IF('P40'!$G25&lt;&gt;"", 'P40'!$G25, "non")</f>
        <v>non</v>
      </c>
    </row>
    <row r="30" spans="1:92" ht="39.75" customHeight="1">
      <c r="A30" s="122" t="str">
        <f>'Critères et tests'!B25</f>
        <v>MULTIMÉDIA</v>
      </c>
      <c r="B30" s="124" t="str">
        <f>'Critères et tests'!$A25</f>
        <v>4.9</v>
      </c>
      <c r="C30" s="192" t="str">
        <f>VLOOKUP(B30,'Critères et tests'!$1:$1048576,5,FALSE)</f>
        <v>Pour chaque média non temporel ayant une alternative, cette alternative est-elle pertinente ?</v>
      </c>
      <c r="D30" s="124" t="str">
        <f>'Critères et tests'!$C25</f>
        <v>A</v>
      </c>
      <c r="E30" s="156" t="s">
        <v>460</v>
      </c>
      <c r="F30" s="88">
        <f>IF('P01'!$E26&gt;"",'P01'!$E26&amp;" "&amp;CHAR(10)&amp;'P01'!$F26,'P01'!$E26)</f>
        <v>0</v>
      </c>
      <c r="G30" s="89">
        <f>IF('P02'!$E26&gt;"",'P02'!$E26&amp;" "&amp;CHAR(10)&amp;'P02'!$F26,'P02'!$E26)</f>
        <v>0</v>
      </c>
      <c r="H30" s="89">
        <f>IF('P03'!$E26&gt;"",'P03'!$E26&amp;" "&amp;CHAR(10)&amp;'P03'!$F26,'P03'!$E26)</f>
        <v>0</v>
      </c>
      <c r="I30" s="89">
        <f>IF('P04'!$E26&gt;"",'P04'!$E26&amp;" "&amp;CHAR(10)&amp;'P04'!$F26,'P04'!$E26)</f>
        <v>0</v>
      </c>
      <c r="J30" s="89">
        <f>IF('P05'!$E26&gt;"",'P05'!$E26&amp;" "&amp;CHAR(10)&amp;'P05'!$F26,'P05'!$E26)</f>
        <v>0</v>
      </c>
      <c r="K30" s="89">
        <f>IF('P06'!$E26&gt;"",'P06'!$E26&amp;" "&amp;CHAR(10)&amp;'P06'!$F26,'P06'!$E26)</f>
        <v>0</v>
      </c>
      <c r="L30" s="89">
        <f>IF('P07'!$E26&gt;"",'P07'!$E26&amp;" "&amp;CHAR(10)&amp;'P07'!$F26,'P07'!$E26)</f>
        <v>0</v>
      </c>
      <c r="M30" s="89">
        <f>IF('P08'!$E26&gt;"",'P08'!$E26&amp;" "&amp;CHAR(10)&amp;'P08'!$F26,'P08'!$E26)</f>
        <v>0</v>
      </c>
      <c r="N30" s="89">
        <f>IF('P09'!$E26&gt;"",'P09'!$E26&amp;" "&amp;CHAR(10)&amp;'P09'!$F26,'P09'!$E26)</f>
        <v>0</v>
      </c>
      <c r="O30" s="89">
        <f>IF('P10'!$E26&gt;"",'P10'!$E26&amp;" "&amp;CHAR(10)&amp;'P10'!$F26,'P10'!$E26)</f>
        <v>0</v>
      </c>
      <c r="P30" s="89">
        <f>IF('P11'!$E26&gt;"",'P11'!$E26&amp;" "&amp;CHAR(10)&amp;'P11'!$F26,'P11'!$E26)</f>
        <v>0</v>
      </c>
      <c r="Q30" s="89">
        <f>IF('P12'!$E26&gt;"",'P12'!$E26&amp;" "&amp;CHAR(10)&amp;'P12'!$F26,'P12'!$E26)</f>
        <v>0</v>
      </c>
      <c r="R30" s="89">
        <f>IF('P13'!$E26&gt;"",'P13'!$E26&amp;" "&amp;CHAR(10)&amp;'P13'!$F26,'P13'!$E26)</f>
        <v>0</v>
      </c>
      <c r="S30" s="89">
        <f>IF('P14'!$E26&gt;"",'P14'!$E26&amp;" "&amp;CHAR(10)&amp;'P14'!$F26,'P14'!$E26)</f>
        <v>0</v>
      </c>
      <c r="T30" s="89">
        <f>IF('P15'!$E26&gt;"",'P15'!$E26&amp;" "&amp;CHAR(10)&amp;'P15'!$F26,'P15'!$E26)</f>
        <v>0</v>
      </c>
      <c r="U30" s="89">
        <f>IF('P16'!$E26&gt;"",'P16'!$E26&amp;" "&amp;CHAR(10)&amp;'P16'!$F26,'P16'!$E26)</f>
        <v>0</v>
      </c>
      <c r="V30" s="89">
        <f>IF('P17'!$E26&gt;"",'P17'!$E26&amp;" "&amp;CHAR(10)&amp;'P17'!$F26,'P17'!$E26)</f>
        <v>0</v>
      </c>
      <c r="W30" s="89">
        <f>IF('P18'!$E26&gt;"",'P18'!$E26&amp;" "&amp;CHAR(10)&amp;'P18'!$F26,'P18'!$E26)</f>
        <v>0</v>
      </c>
      <c r="X30" s="89">
        <f>IF('P19'!$E26&gt;"",'P19'!$E26&amp;" "&amp;CHAR(10)&amp;'P19'!$F26,'P19'!$E26)</f>
        <v>0</v>
      </c>
      <c r="Y30" s="89">
        <f>IF('P20'!$E26&gt;"",'P20'!$E26&amp;" "&amp;CHAR(10)&amp;'P20'!$F26,'P20'!$E26)</f>
        <v>0</v>
      </c>
      <c r="Z30" s="89">
        <f>IF('P21'!$E26&gt;"",'P21'!$E26&amp;" "&amp;CHAR(10)&amp;'P21'!$F26,'P21'!$E26)</f>
        <v>0</v>
      </c>
      <c r="AA30" s="89">
        <f>IF('P22'!$E26&gt;"",'P22'!$E26&amp;" "&amp;CHAR(10)&amp;'P22'!$F26,'P22'!$E26)</f>
        <v>0</v>
      </c>
      <c r="AB30" s="89">
        <f>IF('P23'!$E26&gt;"",'P23'!$E26&amp;" "&amp;CHAR(10)&amp;'P23'!$F26,'P23'!$E26)</f>
        <v>0</v>
      </c>
      <c r="AC30" s="89">
        <f>IF('P24'!$E26&gt;"",'P24'!$E26&amp;" "&amp;CHAR(10)&amp;'P24'!$F26,'P24'!$E26)</f>
        <v>0</v>
      </c>
      <c r="AD30" s="89">
        <f>IF('P25'!$E26&gt;"",'P25'!$E26&amp;" "&amp;CHAR(10)&amp;'P25'!$F26,'P25'!$E26)</f>
        <v>0</v>
      </c>
      <c r="AE30" s="89">
        <f>IF('P26'!$E26&gt;"",'P26'!$E26&amp;" "&amp;CHAR(10)&amp;'P26'!$F26,'P26'!$E26)</f>
        <v>0</v>
      </c>
      <c r="AF30" s="89">
        <f>IF('P27'!$E26&gt;"",'P27'!$E26&amp;" "&amp;CHAR(10)&amp;'P27'!$F26,'P27'!$E26)</f>
        <v>0</v>
      </c>
      <c r="AG30" s="89">
        <f>IF('P28'!$E26&gt;"",'P28'!$E26&amp;" "&amp;CHAR(10)&amp;'P28'!$F26,'P28'!$E26)</f>
        <v>0</v>
      </c>
      <c r="AH30" s="89">
        <f>IF('P29'!$E26&gt;"",'P29'!$E26&amp;" "&amp;CHAR(10)&amp;'P29'!$F26,'P29'!$E26)</f>
        <v>0</v>
      </c>
      <c r="AI30" s="89">
        <f>IF('P30'!$E26&gt;"",'P30'!$E26&amp;" "&amp;CHAR(10)&amp;'P30'!$F26,'P30'!$E26)</f>
        <v>0</v>
      </c>
      <c r="AJ30" s="89">
        <f>IF('P31'!$E26&gt;"",'P31'!$E26&amp;" "&amp;CHAR(10)&amp;'P31'!$F26,'P31'!$E26)</f>
        <v>0</v>
      </c>
      <c r="AK30" s="89">
        <f>IF('P32'!$E26&gt;"",'P32'!$E26&amp;" "&amp;CHAR(10)&amp;'P32'!$F26,'P32'!$E26)</f>
        <v>0</v>
      </c>
      <c r="AL30" s="89">
        <f>IF('P33'!$E26&gt;"",'P33'!$E26&amp;" "&amp;CHAR(10)&amp;'P33'!$F26,'P33'!$E26)</f>
        <v>0</v>
      </c>
      <c r="AM30" s="89">
        <f>IF('P34'!$E26&gt;"",'P34'!$E26&amp;" "&amp;CHAR(10)&amp;'P34'!$F26,'P34'!$E26)</f>
        <v>0</v>
      </c>
      <c r="AN30" s="89">
        <f>IF('P35'!$E26&gt;"",'P35'!$E26&amp;" "&amp;CHAR(10)&amp;'P35'!$F26,'P35'!$E26)</f>
        <v>0</v>
      </c>
      <c r="AO30" s="89">
        <f>IF('P36'!$E26&gt;"",'P36'!$E26&amp;" "&amp;CHAR(10)&amp;'P36'!$F26,'P36'!$E26)</f>
        <v>0</v>
      </c>
      <c r="AP30" s="89">
        <f>IF('P37'!$E26&gt;"",'P37'!$E26&amp;" "&amp;CHAR(10)&amp;'P37'!$F26,'P37'!$E26)</f>
        <v>0</v>
      </c>
      <c r="AQ30" s="89">
        <f>IF('P38'!$E26&gt;"",'P38'!$E26&amp;" "&amp;CHAR(10)&amp;'P38'!$F26,'P38'!$E26)</f>
        <v>0</v>
      </c>
      <c r="AR30" s="89">
        <f>IF('P39'!$E26&gt;"",'P39'!$E26&amp;" "&amp;CHAR(10)&amp;'P39'!$F26,'P39'!$E26)</f>
        <v>0</v>
      </c>
      <c r="AS30" s="89">
        <f>IF('P40'!$E26&gt;"",'P40'!$E26&amp;" "&amp;CHAR(10)&amp;'P40'!$F26,'P40'!$E26)</f>
        <v>0</v>
      </c>
      <c r="AT30" s="55">
        <f t="shared" si="5"/>
        <v>0</v>
      </c>
      <c r="AU30" s="9">
        <f t="shared" si="6"/>
        <v>0</v>
      </c>
      <c r="AV30" s="55">
        <f t="shared" si="7"/>
        <v>0</v>
      </c>
      <c r="AW30" s="38" t="str">
        <f t="shared" si="8"/>
        <v>NT</v>
      </c>
      <c r="AX30" s="12"/>
      <c r="AY30" s="10"/>
      <c r="AZ30" s="10"/>
      <c r="BA30" s="10" t="str">
        <f>IF('P01'!$G26&lt;&gt;"", 'P01'!$G26, "non")</f>
        <v>non</v>
      </c>
      <c r="BB30" s="10" t="str">
        <f>IF('P02'!$G26&lt;&gt;"", 'P02'!$G26, "non")</f>
        <v>non</v>
      </c>
      <c r="BC30" s="10" t="str">
        <f>IF('P03'!$G26&lt;&gt;"", 'P03'!$G26, "non")</f>
        <v>non</v>
      </c>
      <c r="BD30" s="10" t="str">
        <f>IF('P04'!$G26&lt;&gt;"", 'P04'!$G26, "non")</f>
        <v>non</v>
      </c>
      <c r="BE30" s="10" t="str">
        <f>IF('P05'!$G26&lt;&gt;"", 'P05'!$G26, "non")</f>
        <v>non</v>
      </c>
      <c r="BF30" s="10" t="str">
        <f>IF('P06'!$G26&lt;&gt;"", 'P06'!$G26, "non")</f>
        <v>non</v>
      </c>
      <c r="BG30" s="10" t="str">
        <f>IF('P07'!$G26&lt;&gt;"", 'P07'!$G26, "non")</f>
        <v>non</v>
      </c>
      <c r="BH30" s="10" t="str">
        <f>IF('P08'!$G26&lt;&gt;"", 'P08'!$G26, "non")</f>
        <v>non</v>
      </c>
      <c r="BI30" s="10" t="str">
        <f>IF('P09'!$G26&lt;&gt;"", 'P09'!$G26, "non")</f>
        <v>non</v>
      </c>
      <c r="BJ30" s="10" t="str">
        <f>IF('P10'!$G26&lt;&gt;"", 'P10'!$G26, "non")</f>
        <v>non</v>
      </c>
      <c r="BK30" s="10" t="str">
        <f>IF('P11'!$G26&lt;&gt;"", 'P11'!$G26, "non")</f>
        <v>non</v>
      </c>
      <c r="BL30" s="10" t="str">
        <f>IF('P12'!$G26&lt;&gt;"", 'P12'!$G26, "non")</f>
        <v>non</v>
      </c>
      <c r="BM30" s="10" t="str">
        <f>IF('P13'!$G26&lt;&gt;"", 'P13'!$G26, "non")</f>
        <v>non</v>
      </c>
      <c r="BN30" s="10" t="str">
        <f>IF('P14'!$G26&lt;&gt;"", 'P14'!$G26, "non")</f>
        <v>non</v>
      </c>
      <c r="BO30" s="10" t="str">
        <f>IF('P15'!$G26&lt;&gt;"", 'P15'!$G26, "non")</f>
        <v>non</v>
      </c>
      <c r="BP30" s="10" t="str">
        <f>IF('P16'!$G26&lt;&gt;"", 'P16'!$G26, "non")</f>
        <v>non</v>
      </c>
      <c r="BQ30" s="10" t="str">
        <f>IF('P17'!$G26&lt;&gt;"", 'P17'!$G26, "non")</f>
        <v>non</v>
      </c>
      <c r="BR30" s="10" t="str">
        <f>IF('P18'!$G26&lt;&gt;"", 'P18'!$G26, "non")</f>
        <v>non</v>
      </c>
      <c r="BS30" s="10" t="str">
        <f>IF('P19'!$G26&lt;&gt;"", 'P19'!$G26, "non")</f>
        <v>non</v>
      </c>
      <c r="BT30" s="11" t="str">
        <f>IF('P20'!$G26&lt;&gt;"", 'P20'!$G26, "non")</f>
        <v>non</v>
      </c>
      <c r="BU30" s="10" t="str">
        <f>IF('P21'!$G26&lt;&gt;"", 'P21'!$G26, "non")</f>
        <v>non</v>
      </c>
      <c r="BV30" s="11" t="str">
        <f>IF('P22'!$G26&lt;&gt;"", 'P22'!$G26, "non")</f>
        <v>non</v>
      </c>
      <c r="BW30" s="10" t="str">
        <f>IF('P23'!$G26&lt;&gt;"", 'P23'!$G26, "non")</f>
        <v>non</v>
      </c>
      <c r="BX30" s="11" t="str">
        <f>IF('P24'!$G26&lt;&gt;"", 'P24'!$G26, "non")</f>
        <v>non</v>
      </c>
      <c r="BY30" s="10" t="str">
        <f>IF('P25'!$G26&lt;&gt;"", 'P25'!$G26, "non")</f>
        <v>non</v>
      </c>
      <c r="BZ30" s="11" t="str">
        <f>IF('P26'!$G26&lt;&gt;"", 'P26'!$G26, "non")</f>
        <v>non</v>
      </c>
      <c r="CA30" s="10" t="str">
        <f>IF('P27'!$G26&lt;&gt;"", 'P27'!$G26, "non")</f>
        <v>non</v>
      </c>
      <c r="CB30" s="11" t="str">
        <f>IF('P28'!$G26&lt;&gt;"", 'P28'!$G26, "non")</f>
        <v>non</v>
      </c>
      <c r="CC30" s="10" t="str">
        <f>IF('P29'!$G26&lt;&gt;"", 'P29'!$G26, "non")</f>
        <v>non</v>
      </c>
      <c r="CD30" s="11" t="str">
        <f>IF('P30'!$G26&lt;&gt;"", 'P30'!$G26, "non")</f>
        <v>non</v>
      </c>
      <c r="CE30" s="10" t="str">
        <f>IF('P31'!$G26&lt;&gt;"", 'P31'!$G26, "non")</f>
        <v>non</v>
      </c>
      <c r="CF30" s="11" t="str">
        <f>IF('P32'!$G26&lt;&gt;"", 'P32'!$G26, "non")</f>
        <v>non</v>
      </c>
      <c r="CG30" s="10" t="str">
        <f>IF('P33'!$G26&lt;&gt;"", 'P33'!$G26, "non")</f>
        <v>non</v>
      </c>
      <c r="CH30" s="10" t="str">
        <f>IF('P34'!$G26&lt;&gt;"", 'P34'!$G26, "non")</f>
        <v>non</v>
      </c>
      <c r="CI30" s="11" t="str">
        <f>IF('P35'!$G26&lt;&gt;"", 'P35'!$G26, "non")</f>
        <v>non</v>
      </c>
      <c r="CJ30" s="10" t="str">
        <f>IF('P36'!$G26&lt;&gt;"", 'P36'!$G26, "non")</f>
        <v>non</v>
      </c>
      <c r="CK30" s="11" t="str">
        <f>IF('P37'!$G26&lt;&gt;"", 'P37'!$G26, "non")</f>
        <v>non</v>
      </c>
      <c r="CL30" s="10" t="str">
        <f>IF('P38'!$G26&lt;&gt;"", 'P38'!$G26, "non")</f>
        <v>non</v>
      </c>
      <c r="CM30" s="11" t="str">
        <f>IF('P39'!$G26&lt;&gt;"", 'P39'!$G26, "non")</f>
        <v>non</v>
      </c>
      <c r="CN30" s="10" t="str">
        <f>IF('P40'!$G26&lt;&gt;"", 'P40'!$G26, "non")</f>
        <v>non</v>
      </c>
    </row>
    <row r="31" spans="1:92" ht="39.75" customHeight="1">
      <c r="A31" s="122" t="str">
        <f>'Critères et tests'!B26</f>
        <v>MULTIMÉDIA</v>
      </c>
      <c r="B31" s="124" t="str">
        <f>'Critères et tests'!$A26</f>
        <v>4.10</v>
      </c>
      <c r="C31" s="192" t="str">
        <f>VLOOKUP(B31,'Critères et tests'!$1:$1048576,5,FALSE)</f>
        <v>Chaque son déclenché automatiquement est-il contrôlable par l’utilisateur ?</v>
      </c>
      <c r="D31" s="124" t="str">
        <f>'Critères et tests'!$C26</f>
        <v>A</v>
      </c>
      <c r="E31" s="156" t="s">
        <v>460</v>
      </c>
      <c r="F31" s="88">
        <f>IF('P01'!$E27&gt;"",'P01'!$E27&amp;" "&amp;CHAR(10)&amp;'P01'!$F27,'P01'!$E27)</f>
        <v>0</v>
      </c>
      <c r="G31" s="89">
        <f>IF('P02'!$E27&gt;"",'P02'!$E27&amp;" "&amp;CHAR(10)&amp;'P02'!$F27,'P02'!$E27)</f>
        <v>0</v>
      </c>
      <c r="H31" s="89">
        <f>IF('P03'!$E27&gt;"",'P03'!$E27&amp;" "&amp;CHAR(10)&amp;'P03'!$F27,'P03'!$E27)</f>
        <v>0</v>
      </c>
      <c r="I31" s="89">
        <f>IF('P04'!$E27&gt;"",'P04'!$E27&amp;" "&amp;CHAR(10)&amp;'P04'!$F27,'P04'!$E27)</f>
        <v>0</v>
      </c>
      <c r="J31" s="89">
        <f>IF('P05'!$E27&gt;"",'P05'!$E27&amp;" "&amp;CHAR(10)&amp;'P05'!$F27,'P05'!$E27)</f>
        <v>0</v>
      </c>
      <c r="K31" s="89">
        <f>IF('P06'!$E27&gt;"",'P06'!$E27&amp;" "&amp;CHAR(10)&amp;'P06'!$F27,'P06'!$E27)</f>
        <v>0</v>
      </c>
      <c r="L31" s="89">
        <f>IF('P07'!$E27&gt;"",'P07'!$E27&amp;" "&amp;CHAR(10)&amp;'P07'!$F27,'P07'!$E27)</f>
        <v>0</v>
      </c>
      <c r="M31" s="89">
        <f>IF('P08'!$E27&gt;"",'P08'!$E27&amp;" "&amp;CHAR(10)&amp;'P08'!$F27,'P08'!$E27)</f>
        <v>0</v>
      </c>
      <c r="N31" s="89">
        <f>IF('P09'!$E27&gt;"",'P09'!$E27&amp;" "&amp;CHAR(10)&amp;'P09'!$F27,'P09'!$E27)</f>
        <v>0</v>
      </c>
      <c r="O31" s="89">
        <f>IF('P10'!$E27&gt;"",'P10'!$E27&amp;" "&amp;CHAR(10)&amp;'P10'!$F27,'P10'!$E27)</f>
        <v>0</v>
      </c>
      <c r="P31" s="89">
        <f>IF('P11'!$E27&gt;"",'P11'!$E27&amp;" "&amp;CHAR(10)&amp;'P11'!$F27,'P11'!$E27)</f>
        <v>0</v>
      </c>
      <c r="Q31" s="89">
        <f>IF('P12'!$E27&gt;"",'P12'!$E27&amp;" "&amp;CHAR(10)&amp;'P12'!$F27,'P12'!$E27)</f>
        <v>0</v>
      </c>
      <c r="R31" s="89">
        <f>IF('P13'!$E27&gt;"",'P13'!$E27&amp;" "&amp;CHAR(10)&amp;'P13'!$F27,'P13'!$E27)</f>
        <v>0</v>
      </c>
      <c r="S31" s="89">
        <f>IF('P14'!$E27&gt;"",'P14'!$E27&amp;" "&amp;CHAR(10)&amp;'P14'!$F27,'P14'!$E27)</f>
        <v>0</v>
      </c>
      <c r="T31" s="89">
        <f>IF('P15'!$E27&gt;"",'P15'!$E27&amp;" "&amp;CHAR(10)&amp;'P15'!$F27,'P15'!$E27)</f>
        <v>0</v>
      </c>
      <c r="U31" s="89">
        <f>IF('P16'!$E27&gt;"",'P16'!$E27&amp;" "&amp;CHAR(10)&amp;'P16'!$F27,'P16'!$E27)</f>
        <v>0</v>
      </c>
      <c r="V31" s="89">
        <f>IF('P17'!$E27&gt;"",'P17'!$E27&amp;" "&amp;CHAR(10)&amp;'P17'!$F27,'P17'!$E27)</f>
        <v>0</v>
      </c>
      <c r="W31" s="89">
        <f>IF('P18'!$E27&gt;"",'P18'!$E27&amp;" "&amp;CHAR(10)&amp;'P18'!$F27,'P18'!$E27)</f>
        <v>0</v>
      </c>
      <c r="X31" s="89">
        <f>IF('P19'!$E27&gt;"",'P19'!$E27&amp;" "&amp;CHAR(10)&amp;'P19'!$F27,'P19'!$E27)</f>
        <v>0</v>
      </c>
      <c r="Y31" s="89">
        <f>IF('P20'!$E27&gt;"",'P20'!$E27&amp;" "&amp;CHAR(10)&amp;'P20'!$F27,'P20'!$E27)</f>
        <v>0</v>
      </c>
      <c r="Z31" s="89">
        <f>IF('P21'!$E27&gt;"",'P21'!$E27&amp;" "&amp;CHAR(10)&amp;'P21'!$F27,'P21'!$E27)</f>
        <v>0</v>
      </c>
      <c r="AA31" s="89">
        <f>IF('P22'!$E27&gt;"",'P22'!$E27&amp;" "&amp;CHAR(10)&amp;'P22'!$F27,'P22'!$E27)</f>
        <v>0</v>
      </c>
      <c r="AB31" s="89">
        <f>IF('P23'!$E27&gt;"",'P23'!$E27&amp;" "&amp;CHAR(10)&amp;'P23'!$F27,'P23'!$E27)</f>
        <v>0</v>
      </c>
      <c r="AC31" s="89">
        <f>IF('P24'!$E27&gt;"",'P24'!$E27&amp;" "&amp;CHAR(10)&amp;'P24'!$F27,'P24'!$E27)</f>
        <v>0</v>
      </c>
      <c r="AD31" s="89">
        <f>IF('P25'!$E27&gt;"",'P25'!$E27&amp;" "&amp;CHAR(10)&amp;'P25'!$F27,'P25'!$E27)</f>
        <v>0</v>
      </c>
      <c r="AE31" s="89">
        <f>IF('P26'!$E27&gt;"",'P26'!$E27&amp;" "&amp;CHAR(10)&amp;'P26'!$F27,'P26'!$E27)</f>
        <v>0</v>
      </c>
      <c r="AF31" s="89">
        <f>IF('P27'!$E27&gt;"",'P27'!$E27&amp;" "&amp;CHAR(10)&amp;'P27'!$F27,'P27'!$E27)</f>
        <v>0</v>
      </c>
      <c r="AG31" s="89">
        <f>IF('P28'!$E27&gt;"",'P28'!$E27&amp;" "&amp;CHAR(10)&amp;'P28'!$F27,'P28'!$E27)</f>
        <v>0</v>
      </c>
      <c r="AH31" s="89">
        <f>IF('P29'!$E27&gt;"",'P29'!$E27&amp;" "&amp;CHAR(10)&amp;'P29'!$F27,'P29'!$E27)</f>
        <v>0</v>
      </c>
      <c r="AI31" s="89">
        <f>IF('P30'!$E27&gt;"",'P30'!$E27&amp;" "&amp;CHAR(10)&amp;'P30'!$F27,'P30'!$E27)</f>
        <v>0</v>
      </c>
      <c r="AJ31" s="89">
        <f>IF('P31'!$E27&gt;"",'P31'!$E27&amp;" "&amp;CHAR(10)&amp;'P31'!$F27,'P31'!$E27)</f>
        <v>0</v>
      </c>
      <c r="AK31" s="89">
        <f>IF('P32'!$E27&gt;"",'P32'!$E27&amp;" "&amp;CHAR(10)&amp;'P32'!$F27,'P32'!$E27)</f>
        <v>0</v>
      </c>
      <c r="AL31" s="89">
        <f>IF('P33'!$E27&gt;"",'P33'!$E27&amp;" "&amp;CHAR(10)&amp;'P33'!$F27,'P33'!$E27)</f>
        <v>0</v>
      </c>
      <c r="AM31" s="89">
        <f>IF('P34'!$E27&gt;"",'P34'!$E27&amp;" "&amp;CHAR(10)&amp;'P34'!$F27,'P34'!$E27)</f>
        <v>0</v>
      </c>
      <c r="AN31" s="89">
        <f>IF('P35'!$E27&gt;"",'P35'!$E27&amp;" "&amp;CHAR(10)&amp;'P35'!$F27,'P35'!$E27)</f>
        <v>0</v>
      </c>
      <c r="AO31" s="89">
        <f>IF('P36'!$E27&gt;"",'P36'!$E27&amp;" "&amp;CHAR(10)&amp;'P36'!$F27,'P36'!$E27)</f>
        <v>0</v>
      </c>
      <c r="AP31" s="89">
        <f>IF('P37'!$E27&gt;"",'P37'!$E27&amp;" "&amp;CHAR(10)&amp;'P37'!$F27,'P37'!$E27)</f>
        <v>0</v>
      </c>
      <c r="AQ31" s="89">
        <f>IF('P38'!$E27&gt;"",'P38'!$E27&amp;" "&amp;CHAR(10)&amp;'P38'!$F27,'P38'!$E27)</f>
        <v>0</v>
      </c>
      <c r="AR31" s="89">
        <f>IF('P39'!$E27&gt;"",'P39'!$E27&amp;" "&amp;CHAR(10)&amp;'P39'!$F27,'P39'!$E27)</f>
        <v>0</v>
      </c>
      <c r="AS31" s="89">
        <f>IF('P40'!$E27&gt;"",'P40'!$E27&amp;" "&amp;CHAR(10)&amp;'P40'!$F27,'P40'!$E27)</f>
        <v>0</v>
      </c>
      <c r="AT31" s="55">
        <f t="shared" si="5"/>
        <v>0</v>
      </c>
      <c r="AU31" s="9">
        <f t="shared" si="6"/>
        <v>0</v>
      </c>
      <c r="AV31" s="55">
        <f t="shared" si="7"/>
        <v>0</v>
      </c>
      <c r="AW31" s="38" t="str">
        <f t="shared" si="8"/>
        <v>NT</v>
      </c>
      <c r="AX31" s="12"/>
      <c r="AY31" s="10"/>
      <c r="AZ31" s="10"/>
      <c r="BA31" s="10" t="str">
        <f>IF('P01'!$G27&lt;&gt;"", 'P01'!$G27, "non")</f>
        <v>non</v>
      </c>
      <c r="BB31" s="10" t="str">
        <f>IF('P02'!$G27&lt;&gt;"", 'P02'!$G27, "non")</f>
        <v>non</v>
      </c>
      <c r="BC31" s="10" t="str">
        <f>IF('P03'!$G27&lt;&gt;"", 'P03'!$G27, "non")</f>
        <v>non</v>
      </c>
      <c r="BD31" s="10" t="str">
        <f>IF('P04'!$G27&lt;&gt;"", 'P04'!$G27, "non")</f>
        <v>non</v>
      </c>
      <c r="BE31" s="10" t="str">
        <f>IF('P05'!$G27&lt;&gt;"", 'P05'!$G27, "non")</f>
        <v>non</v>
      </c>
      <c r="BF31" s="10" t="str">
        <f>IF('P06'!$G27&lt;&gt;"", 'P06'!$G27, "non")</f>
        <v>non</v>
      </c>
      <c r="BG31" s="10" t="str">
        <f>IF('P07'!$G27&lt;&gt;"", 'P07'!$G27, "non")</f>
        <v>non</v>
      </c>
      <c r="BH31" s="10" t="str">
        <f>IF('P08'!$G27&lt;&gt;"", 'P08'!$G27, "non")</f>
        <v>non</v>
      </c>
      <c r="BI31" s="10" t="str">
        <f>IF('P09'!$G27&lt;&gt;"", 'P09'!$G27, "non")</f>
        <v>non</v>
      </c>
      <c r="BJ31" s="10" t="str">
        <f>IF('P10'!$G27&lt;&gt;"", 'P10'!$G27, "non")</f>
        <v>non</v>
      </c>
      <c r="BK31" s="10" t="str">
        <f>IF('P11'!$G27&lt;&gt;"", 'P11'!$G27, "non")</f>
        <v>non</v>
      </c>
      <c r="BL31" s="10" t="str">
        <f>IF('P12'!$G27&lt;&gt;"", 'P12'!$G27, "non")</f>
        <v>non</v>
      </c>
      <c r="BM31" s="10" t="str">
        <f>IF('P13'!$G27&lt;&gt;"", 'P13'!$G27, "non")</f>
        <v>non</v>
      </c>
      <c r="BN31" s="10" t="str">
        <f>IF('P14'!$G27&lt;&gt;"", 'P14'!$G27, "non")</f>
        <v>non</v>
      </c>
      <c r="BO31" s="10" t="str">
        <f>IF('P15'!$G27&lt;&gt;"", 'P15'!$G27, "non")</f>
        <v>non</v>
      </c>
      <c r="BP31" s="10" t="str">
        <f>IF('P16'!$G27&lt;&gt;"", 'P16'!$G27, "non")</f>
        <v>non</v>
      </c>
      <c r="BQ31" s="10" t="str">
        <f>IF('P17'!$G27&lt;&gt;"", 'P17'!$G27, "non")</f>
        <v>non</v>
      </c>
      <c r="BR31" s="10" t="str">
        <f>IF('P18'!$G27&lt;&gt;"", 'P18'!$G27, "non")</f>
        <v>non</v>
      </c>
      <c r="BS31" s="10" t="str">
        <f>IF('P19'!$G27&lt;&gt;"", 'P19'!$G27, "non")</f>
        <v>non</v>
      </c>
      <c r="BT31" s="11" t="str">
        <f>IF('P20'!$G27&lt;&gt;"", 'P20'!$G27, "non")</f>
        <v>non</v>
      </c>
      <c r="BU31" s="10" t="str">
        <f>IF('P21'!$G27&lt;&gt;"", 'P21'!$G27, "non")</f>
        <v>non</v>
      </c>
      <c r="BV31" s="11" t="str">
        <f>IF('P22'!$G27&lt;&gt;"", 'P22'!$G27, "non")</f>
        <v>non</v>
      </c>
      <c r="BW31" s="10" t="str">
        <f>IF('P23'!$G27&lt;&gt;"", 'P23'!$G27, "non")</f>
        <v>non</v>
      </c>
      <c r="BX31" s="11" t="str">
        <f>IF('P24'!$G27&lt;&gt;"", 'P24'!$G27, "non")</f>
        <v>non</v>
      </c>
      <c r="BY31" s="10" t="str">
        <f>IF('P25'!$G27&lt;&gt;"", 'P25'!$G27, "non")</f>
        <v>non</v>
      </c>
      <c r="BZ31" s="11" t="str">
        <f>IF('P26'!$G27&lt;&gt;"", 'P26'!$G27, "non")</f>
        <v>non</v>
      </c>
      <c r="CA31" s="10" t="str">
        <f>IF('P27'!$G27&lt;&gt;"", 'P27'!$G27, "non")</f>
        <v>non</v>
      </c>
      <c r="CB31" s="11" t="str">
        <f>IF('P28'!$G27&lt;&gt;"", 'P28'!$G27, "non")</f>
        <v>non</v>
      </c>
      <c r="CC31" s="10" t="str">
        <f>IF('P29'!$G27&lt;&gt;"", 'P29'!$G27, "non")</f>
        <v>non</v>
      </c>
      <c r="CD31" s="11" t="str">
        <f>IF('P30'!$G27&lt;&gt;"", 'P30'!$G27, "non")</f>
        <v>non</v>
      </c>
      <c r="CE31" s="10" t="str">
        <f>IF('P31'!$G27&lt;&gt;"", 'P31'!$G27, "non")</f>
        <v>non</v>
      </c>
      <c r="CF31" s="11" t="str">
        <f>IF('P32'!$G27&lt;&gt;"", 'P32'!$G27, "non")</f>
        <v>non</v>
      </c>
      <c r="CG31" s="10" t="str">
        <f>IF('P33'!$G27&lt;&gt;"", 'P33'!$G27, "non")</f>
        <v>non</v>
      </c>
      <c r="CH31" s="10" t="str">
        <f>IF('P34'!$G27&lt;&gt;"", 'P34'!$G27, "non")</f>
        <v>non</v>
      </c>
      <c r="CI31" s="11" t="str">
        <f>IF('P35'!$G27&lt;&gt;"", 'P35'!$G27, "non")</f>
        <v>non</v>
      </c>
      <c r="CJ31" s="10" t="str">
        <f>IF('P36'!$G27&lt;&gt;"", 'P36'!$G27, "non")</f>
        <v>non</v>
      </c>
      <c r="CK31" s="11" t="str">
        <f>IF('P37'!$G27&lt;&gt;"", 'P37'!$G27, "non")</f>
        <v>non</v>
      </c>
      <c r="CL31" s="10" t="str">
        <f>IF('P38'!$G27&lt;&gt;"", 'P38'!$G27, "non")</f>
        <v>non</v>
      </c>
      <c r="CM31" s="11" t="str">
        <f>IF('P39'!$G27&lt;&gt;"", 'P39'!$G27, "non")</f>
        <v>non</v>
      </c>
      <c r="CN31" s="10" t="str">
        <f>IF('P40'!$G27&lt;&gt;"", 'P40'!$G27, "non")</f>
        <v>non</v>
      </c>
    </row>
    <row r="32" spans="1:92" ht="39.75" customHeight="1">
      <c r="A32" s="122" t="str">
        <f>'Critères et tests'!B27</f>
        <v>MULTIMÉDIA</v>
      </c>
      <c r="B32" s="124" t="str">
        <f>'Critères et tests'!$A27</f>
        <v>4.11</v>
      </c>
      <c r="C32" s="192" t="str">
        <f>VLOOKUP(B32,'Critères et tests'!$1:$1048576,5,FALSE)</f>
        <v>La consultation de chaque média temporel est-elle, si nécessaire, contrôlable par le clavier et tout dispositif de pointage ?</v>
      </c>
      <c r="D32" s="124" t="str">
        <f>'Critères et tests'!$C27</f>
        <v>A</v>
      </c>
      <c r="E32" s="156" t="s">
        <v>460</v>
      </c>
      <c r="F32" s="88">
        <f>IF('P01'!$E28&gt;"",'P01'!$E28&amp;" "&amp;CHAR(10)&amp;'P01'!$F28,'P01'!$E28)</f>
        <v>0</v>
      </c>
      <c r="G32" s="89">
        <f>IF('P02'!$E28&gt;"",'P02'!$E28&amp;" "&amp;CHAR(10)&amp;'P02'!$F28,'P02'!$E28)</f>
        <v>0</v>
      </c>
      <c r="H32" s="89">
        <f>IF('P03'!$E28&gt;"",'P03'!$E28&amp;" "&amp;CHAR(10)&amp;'P03'!$F28,'P03'!$E28)</f>
        <v>0</v>
      </c>
      <c r="I32" s="89">
        <f>IF('P04'!$E28&gt;"",'P04'!$E28&amp;" "&amp;CHAR(10)&amp;'P04'!$F28,'P04'!$E28)</f>
        <v>0</v>
      </c>
      <c r="J32" s="89">
        <f>IF('P05'!$E28&gt;"",'P05'!$E28&amp;" "&amp;CHAR(10)&amp;'P05'!$F28,'P05'!$E28)</f>
        <v>0</v>
      </c>
      <c r="K32" s="89">
        <f>IF('P06'!$E28&gt;"",'P06'!$E28&amp;" "&amp;CHAR(10)&amp;'P06'!$F28,'P06'!$E28)</f>
        <v>0</v>
      </c>
      <c r="L32" s="89">
        <f>IF('P07'!$E28&gt;"",'P07'!$E28&amp;" "&amp;CHAR(10)&amp;'P07'!$F28,'P07'!$E28)</f>
        <v>0</v>
      </c>
      <c r="M32" s="89">
        <f>IF('P08'!$E28&gt;"",'P08'!$E28&amp;" "&amp;CHAR(10)&amp;'P08'!$F28,'P08'!$E28)</f>
        <v>0</v>
      </c>
      <c r="N32" s="89">
        <f>IF('P09'!$E28&gt;"",'P09'!$E28&amp;" "&amp;CHAR(10)&amp;'P09'!$F28,'P09'!$E28)</f>
        <v>0</v>
      </c>
      <c r="O32" s="89">
        <f>IF('P10'!$E28&gt;"",'P10'!$E28&amp;" "&amp;CHAR(10)&amp;'P10'!$F28,'P10'!$E28)</f>
        <v>0</v>
      </c>
      <c r="P32" s="89">
        <f>IF('P11'!$E28&gt;"",'P11'!$E28&amp;" "&amp;CHAR(10)&amp;'P11'!$F28,'P11'!$E28)</f>
        <v>0</v>
      </c>
      <c r="Q32" s="89">
        <f>IF('P12'!$E28&gt;"",'P12'!$E28&amp;" "&amp;CHAR(10)&amp;'P12'!$F28,'P12'!$E28)</f>
        <v>0</v>
      </c>
      <c r="R32" s="89">
        <f>IF('P13'!$E28&gt;"",'P13'!$E28&amp;" "&amp;CHAR(10)&amp;'P13'!$F28,'P13'!$E28)</f>
        <v>0</v>
      </c>
      <c r="S32" s="89">
        <f>IF('P14'!$E28&gt;"",'P14'!$E28&amp;" "&amp;CHAR(10)&amp;'P14'!$F28,'P14'!$E28)</f>
        <v>0</v>
      </c>
      <c r="T32" s="89">
        <f>IF('P15'!$E28&gt;"",'P15'!$E28&amp;" "&amp;CHAR(10)&amp;'P15'!$F28,'P15'!$E28)</f>
        <v>0</v>
      </c>
      <c r="U32" s="89">
        <f>IF('P16'!$E28&gt;"",'P16'!$E28&amp;" "&amp;CHAR(10)&amp;'P16'!$F28,'P16'!$E28)</f>
        <v>0</v>
      </c>
      <c r="V32" s="89">
        <f>IF('P17'!$E28&gt;"",'P17'!$E28&amp;" "&amp;CHAR(10)&amp;'P17'!$F28,'P17'!$E28)</f>
        <v>0</v>
      </c>
      <c r="W32" s="89">
        <f>IF('P18'!$E28&gt;"",'P18'!$E28&amp;" "&amp;CHAR(10)&amp;'P18'!$F28,'P18'!$E28)</f>
        <v>0</v>
      </c>
      <c r="X32" s="89">
        <f>IF('P19'!$E28&gt;"",'P19'!$E28&amp;" "&amp;CHAR(10)&amp;'P19'!$F28,'P19'!$E28)</f>
        <v>0</v>
      </c>
      <c r="Y32" s="89">
        <f>IF('P20'!$E28&gt;"",'P20'!$E28&amp;" "&amp;CHAR(10)&amp;'P20'!$F28,'P20'!$E28)</f>
        <v>0</v>
      </c>
      <c r="Z32" s="89">
        <f>IF('P21'!$E28&gt;"",'P21'!$E28&amp;" "&amp;CHAR(10)&amp;'P21'!$F28,'P21'!$E28)</f>
        <v>0</v>
      </c>
      <c r="AA32" s="89">
        <f>IF('P22'!$E28&gt;"",'P22'!$E28&amp;" "&amp;CHAR(10)&amp;'P22'!$F28,'P22'!$E28)</f>
        <v>0</v>
      </c>
      <c r="AB32" s="89">
        <f>IF('P23'!$E28&gt;"",'P23'!$E28&amp;" "&amp;CHAR(10)&amp;'P23'!$F28,'P23'!$E28)</f>
        <v>0</v>
      </c>
      <c r="AC32" s="89">
        <f>IF('P24'!$E28&gt;"",'P24'!$E28&amp;" "&amp;CHAR(10)&amp;'P24'!$F28,'P24'!$E28)</f>
        <v>0</v>
      </c>
      <c r="AD32" s="89">
        <f>IF('P25'!$E28&gt;"",'P25'!$E28&amp;" "&amp;CHAR(10)&amp;'P25'!$F28,'P25'!$E28)</f>
        <v>0</v>
      </c>
      <c r="AE32" s="89">
        <f>IF('P26'!$E28&gt;"",'P26'!$E28&amp;" "&amp;CHAR(10)&amp;'P26'!$F28,'P26'!$E28)</f>
        <v>0</v>
      </c>
      <c r="AF32" s="89">
        <f>IF('P27'!$E28&gt;"",'P27'!$E28&amp;" "&amp;CHAR(10)&amp;'P27'!$F28,'P27'!$E28)</f>
        <v>0</v>
      </c>
      <c r="AG32" s="89">
        <f>IF('P28'!$E28&gt;"",'P28'!$E28&amp;" "&amp;CHAR(10)&amp;'P28'!$F28,'P28'!$E28)</f>
        <v>0</v>
      </c>
      <c r="AH32" s="89">
        <f>IF('P29'!$E28&gt;"",'P29'!$E28&amp;" "&amp;CHAR(10)&amp;'P29'!$F28,'P29'!$E28)</f>
        <v>0</v>
      </c>
      <c r="AI32" s="89">
        <f>IF('P30'!$E28&gt;"",'P30'!$E28&amp;" "&amp;CHAR(10)&amp;'P30'!$F28,'P30'!$E28)</f>
        <v>0</v>
      </c>
      <c r="AJ32" s="89">
        <f>IF('P31'!$E28&gt;"",'P31'!$E28&amp;" "&amp;CHAR(10)&amp;'P31'!$F28,'P31'!$E28)</f>
        <v>0</v>
      </c>
      <c r="AK32" s="89">
        <f>IF('P32'!$E28&gt;"",'P32'!$E28&amp;" "&amp;CHAR(10)&amp;'P32'!$F28,'P32'!$E28)</f>
        <v>0</v>
      </c>
      <c r="AL32" s="89">
        <f>IF('P33'!$E28&gt;"",'P33'!$E28&amp;" "&amp;CHAR(10)&amp;'P33'!$F28,'P33'!$E28)</f>
        <v>0</v>
      </c>
      <c r="AM32" s="89">
        <f>IF('P34'!$E28&gt;"",'P34'!$E28&amp;" "&amp;CHAR(10)&amp;'P34'!$F28,'P34'!$E28)</f>
        <v>0</v>
      </c>
      <c r="AN32" s="89">
        <f>IF('P35'!$E28&gt;"",'P35'!$E28&amp;" "&amp;CHAR(10)&amp;'P35'!$F28,'P35'!$E28)</f>
        <v>0</v>
      </c>
      <c r="AO32" s="89">
        <f>IF('P36'!$E28&gt;"",'P36'!$E28&amp;" "&amp;CHAR(10)&amp;'P36'!$F28,'P36'!$E28)</f>
        <v>0</v>
      </c>
      <c r="AP32" s="89">
        <f>IF('P37'!$E28&gt;"",'P37'!$E28&amp;" "&amp;CHAR(10)&amp;'P37'!$F28,'P37'!$E28)</f>
        <v>0</v>
      </c>
      <c r="AQ32" s="89">
        <f>IF('P38'!$E28&gt;"",'P38'!$E28&amp;" "&amp;CHAR(10)&amp;'P38'!$F28,'P38'!$E28)</f>
        <v>0</v>
      </c>
      <c r="AR32" s="89">
        <f>IF('P39'!$E28&gt;"",'P39'!$E28&amp;" "&amp;CHAR(10)&amp;'P39'!$F28,'P39'!$E28)</f>
        <v>0</v>
      </c>
      <c r="AS32" s="89">
        <f>IF('P40'!$E28&gt;"",'P40'!$E28&amp;" "&amp;CHAR(10)&amp;'P40'!$F28,'P40'!$E28)</f>
        <v>0</v>
      </c>
      <c r="AT32" s="55">
        <f t="shared" si="5"/>
        <v>0</v>
      </c>
      <c r="AU32" s="9">
        <f t="shared" si="6"/>
        <v>0</v>
      </c>
      <c r="AV32" s="55">
        <f t="shared" si="7"/>
        <v>0</v>
      </c>
      <c r="AW32" s="38" t="str">
        <f t="shared" si="8"/>
        <v>NT</v>
      </c>
      <c r="AX32" s="12"/>
      <c r="AY32" s="10"/>
      <c r="AZ32" s="10"/>
      <c r="BA32" s="10" t="str">
        <f>IF('P01'!$G28&lt;&gt;"", 'P01'!$G28, "non")</f>
        <v>non</v>
      </c>
      <c r="BB32" s="10" t="str">
        <f>IF('P02'!$G28&lt;&gt;"", 'P02'!$G28, "non")</f>
        <v>non</v>
      </c>
      <c r="BC32" s="10" t="str">
        <f>IF('P03'!$G28&lt;&gt;"", 'P03'!$G28, "non")</f>
        <v>non</v>
      </c>
      <c r="BD32" s="10" t="str">
        <f>IF('P04'!$G28&lt;&gt;"", 'P04'!$G28, "non")</f>
        <v>non</v>
      </c>
      <c r="BE32" s="10" t="str">
        <f>IF('P05'!$G28&lt;&gt;"", 'P05'!$G28, "non")</f>
        <v>non</v>
      </c>
      <c r="BF32" s="10" t="str">
        <f>IF('P06'!$G28&lt;&gt;"", 'P06'!$G28, "non")</f>
        <v>non</v>
      </c>
      <c r="BG32" s="10" t="str">
        <f>IF('P07'!$G28&lt;&gt;"", 'P07'!$G28, "non")</f>
        <v>non</v>
      </c>
      <c r="BH32" s="10" t="str">
        <f>IF('P08'!$G28&lt;&gt;"", 'P08'!$G28, "non")</f>
        <v>non</v>
      </c>
      <c r="BI32" s="10" t="str">
        <f>IF('P09'!$G28&lt;&gt;"", 'P09'!$G28, "non")</f>
        <v>non</v>
      </c>
      <c r="BJ32" s="10" t="str">
        <f>IF('P10'!$G28&lt;&gt;"", 'P10'!$G28, "non")</f>
        <v>non</v>
      </c>
      <c r="BK32" s="10" t="str">
        <f>IF('P11'!$G28&lt;&gt;"", 'P11'!$G28, "non")</f>
        <v>non</v>
      </c>
      <c r="BL32" s="10" t="str">
        <f>IF('P12'!$G28&lt;&gt;"", 'P12'!$G28, "non")</f>
        <v>non</v>
      </c>
      <c r="BM32" s="10" t="str">
        <f>IF('P13'!$G28&lt;&gt;"", 'P13'!$G28, "non")</f>
        <v>non</v>
      </c>
      <c r="BN32" s="10" t="str">
        <f>IF('P14'!$G28&lt;&gt;"", 'P14'!$G28, "non")</f>
        <v>non</v>
      </c>
      <c r="BO32" s="10" t="str">
        <f>IF('P15'!$G28&lt;&gt;"", 'P15'!$G28, "non")</f>
        <v>non</v>
      </c>
      <c r="BP32" s="10" t="str">
        <f>IF('P16'!$G28&lt;&gt;"", 'P16'!$G28, "non")</f>
        <v>non</v>
      </c>
      <c r="BQ32" s="10" t="str">
        <f>IF('P17'!$G28&lt;&gt;"", 'P17'!$G28, "non")</f>
        <v>non</v>
      </c>
      <c r="BR32" s="10" t="str">
        <f>IF('P18'!$G28&lt;&gt;"", 'P18'!$G28, "non")</f>
        <v>non</v>
      </c>
      <c r="BS32" s="10" t="str">
        <f>IF('P19'!$G28&lt;&gt;"", 'P19'!$G28, "non")</f>
        <v>non</v>
      </c>
      <c r="BT32" s="11" t="str">
        <f>IF('P20'!$G28&lt;&gt;"", 'P20'!$G28, "non")</f>
        <v>non</v>
      </c>
      <c r="BU32" s="10" t="str">
        <f>IF('P21'!$G28&lt;&gt;"", 'P21'!$G28, "non")</f>
        <v>non</v>
      </c>
      <c r="BV32" s="11" t="str">
        <f>IF('P22'!$G28&lt;&gt;"", 'P22'!$G28, "non")</f>
        <v>non</v>
      </c>
      <c r="BW32" s="10" t="str">
        <f>IF('P23'!$G28&lt;&gt;"", 'P23'!$G28, "non")</f>
        <v>non</v>
      </c>
      <c r="BX32" s="11" t="str">
        <f>IF('P24'!$G28&lt;&gt;"", 'P24'!$G28, "non")</f>
        <v>non</v>
      </c>
      <c r="BY32" s="10" t="str">
        <f>IF('P25'!$G28&lt;&gt;"", 'P25'!$G28, "non")</f>
        <v>non</v>
      </c>
      <c r="BZ32" s="11" t="str">
        <f>IF('P26'!$G28&lt;&gt;"", 'P26'!$G28, "non")</f>
        <v>non</v>
      </c>
      <c r="CA32" s="10" t="str">
        <f>IF('P27'!$G28&lt;&gt;"", 'P27'!$G28, "non")</f>
        <v>non</v>
      </c>
      <c r="CB32" s="11" t="str">
        <f>IF('P28'!$G28&lt;&gt;"", 'P28'!$G28, "non")</f>
        <v>non</v>
      </c>
      <c r="CC32" s="10" t="str">
        <f>IF('P29'!$G28&lt;&gt;"", 'P29'!$G28, "non")</f>
        <v>non</v>
      </c>
      <c r="CD32" s="11" t="str">
        <f>IF('P30'!$G28&lt;&gt;"", 'P30'!$G28, "non")</f>
        <v>non</v>
      </c>
      <c r="CE32" s="10" t="str">
        <f>IF('P31'!$G28&lt;&gt;"", 'P31'!$G28, "non")</f>
        <v>non</v>
      </c>
      <c r="CF32" s="11" t="str">
        <f>IF('P32'!$G28&lt;&gt;"", 'P32'!$G28, "non")</f>
        <v>non</v>
      </c>
      <c r="CG32" s="10" t="str">
        <f>IF('P33'!$G28&lt;&gt;"", 'P33'!$G28, "non")</f>
        <v>non</v>
      </c>
      <c r="CH32" s="10" t="str">
        <f>IF('P34'!$G28&lt;&gt;"", 'P34'!$G28, "non")</f>
        <v>non</v>
      </c>
      <c r="CI32" s="11" t="str">
        <f>IF('P35'!$G28&lt;&gt;"", 'P35'!$G28, "non")</f>
        <v>non</v>
      </c>
      <c r="CJ32" s="10" t="str">
        <f>IF('P36'!$G28&lt;&gt;"", 'P36'!$G28, "non")</f>
        <v>non</v>
      </c>
      <c r="CK32" s="11" t="str">
        <f>IF('P37'!$G28&lt;&gt;"", 'P37'!$G28, "non")</f>
        <v>non</v>
      </c>
      <c r="CL32" s="10" t="str">
        <f>IF('P38'!$G28&lt;&gt;"", 'P38'!$G28, "non")</f>
        <v>non</v>
      </c>
      <c r="CM32" s="11" t="str">
        <f>IF('P39'!$G28&lt;&gt;"", 'P39'!$G28, "non")</f>
        <v>non</v>
      </c>
      <c r="CN32" s="10" t="str">
        <f>IF('P40'!$G28&lt;&gt;"", 'P40'!$G28, "non")</f>
        <v>non</v>
      </c>
    </row>
    <row r="33" spans="1:92" ht="39.75" customHeight="1">
      <c r="A33" s="122" t="str">
        <f>'Critères et tests'!B28</f>
        <v>MULTIMÉDIA</v>
      </c>
      <c r="B33" s="124" t="str">
        <f>'Critères et tests'!$A28</f>
        <v>4.12</v>
      </c>
      <c r="C33" s="192" t="str">
        <f>VLOOKUP(B33,'Critères et tests'!$1:$1048576,5,FALSE)</f>
        <v>La consultation de chaque média non temporel est-elle contrôlable par le clavier et tout dispositif de pointage ?</v>
      </c>
      <c r="D33" s="124" t="str">
        <f>'Critères et tests'!$C28</f>
        <v>A</v>
      </c>
      <c r="E33" s="156" t="s">
        <v>460</v>
      </c>
      <c r="F33" s="88">
        <f>IF('P01'!$E29&gt;"",'P01'!$E29&amp;" "&amp;CHAR(10)&amp;'P01'!$F29,'P01'!$E29)</f>
        <v>0</v>
      </c>
      <c r="G33" s="89">
        <f>IF('P02'!$E29&gt;"",'P02'!$E29&amp;" "&amp;CHAR(10)&amp;'P02'!$F29,'P02'!$E29)</f>
        <v>0</v>
      </c>
      <c r="H33" s="89">
        <f>IF('P03'!$E29&gt;"",'P03'!$E29&amp;" "&amp;CHAR(10)&amp;'P03'!$F29,'P03'!$E29)</f>
        <v>0</v>
      </c>
      <c r="I33" s="89">
        <f>IF('P04'!$E29&gt;"",'P04'!$E29&amp;" "&amp;CHAR(10)&amp;'P04'!$F29,'P04'!$E29)</f>
        <v>0</v>
      </c>
      <c r="J33" s="89">
        <f>IF('P05'!$E29&gt;"",'P05'!$E29&amp;" "&amp;CHAR(10)&amp;'P05'!$F29,'P05'!$E29)</f>
        <v>0</v>
      </c>
      <c r="K33" s="89">
        <f>IF('P06'!$E29&gt;"",'P06'!$E29&amp;" "&amp;CHAR(10)&amp;'P06'!$F29,'P06'!$E29)</f>
        <v>0</v>
      </c>
      <c r="L33" s="89">
        <f>IF('P07'!$E29&gt;"",'P07'!$E29&amp;" "&amp;CHAR(10)&amp;'P07'!$F29,'P07'!$E29)</f>
        <v>0</v>
      </c>
      <c r="M33" s="89">
        <f>IF('P08'!$E29&gt;"",'P08'!$E29&amp;" "&amp;CHAR(10)&amp;'P08'!$F29,'P08'!$E29)</f>
        <v>0</v>
      </c>
      <c r="N33" s="89">
        <f>IF('P09'!$E29&gt;"",'P09'!$E29&amp;" "&amp;CHAR(10)&amp;'P09'!$F29,'P09'!$E29)</f>
        <v>0</v>
      </c>
      <c r="O33" s="89">
        <f>IF('P10'!$E29&gt;"",'P10'!$E29&amp;" "&amp;CHAR(10)&amp;'P10'!$F29,'P10'!$E29)</f>
        <v>0</v>
      </c>
      <c r="P33" s="89">
        <f>IF('P11'!$E29&gt;"",'P11'!$E29&amp;" "&amp;CHAR(10)&amp;'P11'!$F29,'P11'!$E29)</f>
        <v>0</v>
      </c>
      <c r="Q33" s="89">
        <f>IF('P12'!$E29&gt;"",'P12'!$E29&amp;" "&amp;CHAR(10)&amp;'P12'!$F29,'P12'!$E29)</f>
        <v>0</v>
      </c>
      <c r="R33" s="89">
        <f>IF('P13'!$E29&gt;"",'P13'!$E29&amp;" "&amp;CHAR(10)&amp;'P13'!$F29,'P13'!$E29)</f>
        <v>0</v>
      </c>
      <c r="S33" s="89">
        <f>IF('P14'!$E29&gt;"",'P14'!$E29&amp;" "&amp;CHAR(10)&amp;'P14'!$F29,'P14'!$E29)</f>
        <v>0</v>
      </c>
      <c r="T33" s="89">
        <f>IF('P15'!$E29&gt;"",'P15'!$E29&amp;" "&amp;CHAR(10)&amp;'P15'!$F29,'P15'!$E29)</f>
        <v>0</v>
      </c>
      <c r="U33" s="89">
        <f>IF('P16'!$E29&gt;"",'P16'!$E29&amp;" "&amp;CHAR(10)&amp;'P16'!$F29,'P16'!$E29)</f>
        <v>0</v>
      </c>
      <c r="V33" s="89">
        <f>IF('P17'!$E29&gt;"",'P17'!$E29&amp;" "&amp;CHAR(10)&amp;'P17'!$F29,'P17'!$E29)</f>
        <v>0</v>
      </c>
      <c r="W33" s="89">
        <f>IF('P18'!$E29&gt;"",'P18'!$E29&amp;" "&amp;CHAR(10)&amp;'P18'!$F29,'P18'!$E29)</f>
        <v>0</v>
      </c>
      <c r="X33" s="89">
        <f>IF('P19'!$E29&gt;"",'P19'!$E29&amp;" "&amp;CHAR(10)&amp;'P19'!$F29,'P19'!$E29)</f>
        <v>0</v>
      </c>
      <c r="Y33" s="89">
        <f>IF('P20'!$E29&gt;"",'P20'!$E29&amp;" "&amp;CHAR(10)&amp;'P20'!$F29,'P20'!$E29)</f>
        <v>0</v>
      </c>
      <c r="Z33" s="89">
        <f>IF('P21'!$E29&gt;"",'P21'!$E29&amp;" "&amp;CHAR(10)&amp;'P21'!$F29,'P21'!$E29)</f>
        <v>0</v>
      </c>
      <c r="AA33" s="89">
        <f>IF('P22'!$E29&gt;"",'P22'!$E29&amp;" "&amp;CHAR(10)&amp;'P22'!$F29,'P22'!$E29)</f>
        <v>0</v>
      </c>
      <c r="AB33" s="89">
        <f>IF('P23'!$E29&gt;"",'P23'!$E29&amp;" "&amp;CHAR(10)&amp;'P23'!$F29,'P23'!$E29)</f>
        <v>0</v>
      </c>
      <c r="AC33" s="89">
        <f>IF('P24'!$E29&gt;"",'P24'!$E29&amp;" "&amp;CHAR(10)&amp;'P24'!$F29,'P24'!$E29)</f>
        <v>0</v>
      </c>
      <c r="AD33" s="89">
        <f>IF('P25'!$E29&gt;"",'P25'!$E29&amp;" "&amp;CHAR(10)&amp;'P25'!$F29,'P25'!$E29)</f>
        <v>0</v>
      </c>
      <c r="AE33" s="89">
        <f>IF('P26'!$E29&gt;"",'P26'!$E29&amp;" "&amp;CHAR(10)&amp;'P26'!$F29,'P26'!$E29)</f>
        <v>0</v>
      </c>
      <c r="AF33" s="89">
        <f>IF('P27'!$E29&gt;"",'P27'!$E29&amp;" "&amp;CHAR(10)&amp;'P27'!$F29,'P27'!$E29)</f>
        <v>0</v>
      </c>
      <c r="AG33" s="89">
        <f>IF('P28'!$E29&gt;"",'P28'!$E29&amp;" "&amp;CHAR(10)&amp;'P28'!$F29,'P28'!$E29)</f>
        <v>0</v>
      </c>
      <c r="AH33" s="89">
        <f>IF('P29'!$E29&gt;"",'P29'!$E29&amp;" "&amp;CHAR(10)&amp;'P29'!$F29,'P29'!$E29)</f>
        <v>0</v>
      </c>
      <c r="AI33" s="89">
        <f>IF('P30'!$E29&gt;"",'P30'!$E29&amp;" "&amp;CHAR(10)&amp;'P30'!$F29,'P30'!$E29)</f>
        <v>0</v>
      </c>
      <c r="AJ33" s="89">
        <f>IF('P31'!$E29&gt;"",'P31'!$E29&amp;" "&amp;CHAR(10)&amp;'P31'!$F29,'P31'!$E29)</f>
        <v>0</v>
      </c>
      <c r="AK33" s="89">
        <f>IF('P32'!$E29&gt;"",'P32'!$E29&amp;" "&amp;CHAR(10)&amp;'P32'!$F29,'P32'!$E29)</f>
        <v>0</v>
      </c>
      <c r="AL33" s="89">
        <f>IF('P33'!$E29&gt;"",'P33'!$E29&amp;" "&amp;CHAR(10)&amp;'P33'!$F29,'P33'!$E29)</f>
        <v>0</v>
      </c>
      <c r="AM33" s="89">
        <f>IF('P34'!$E29&gt;"",'P34'!$E29&amp;" "&amp;CHAR(10)&amp;'P34'!$F29,'P34'!$E29)</f>
        <v>0</v>
      </c>
      <c r="AN33" s="89">
        <f>IF('P35'!$E29&gt;"",'P35'!$E29&amp;" "&amp;CHAR(10)&amp;'P35'!$F29,'P35'!$E29)</f>
        <v>0</v>
      </c>
      <c r="AO33" s="89">
        <f>IF('P36'!$E29&gt;"",'P36'!$E29&amp;" "&amp;CHAR(10)&amp;'P36'!$F29,'P36'!$E29)</f>
        <v>0</v>
      </c>
      <c r="AP33" s="89">
        <f>IF('P37'!$E29&gt;"",'P37'!$E29&amp;" "&amp;CHAR(10)&amp;'P37'!$F29,'P37'!$E29)</f>
        <v>0</v>
      </c>
      <c r="AQ33" s="89">
        <f>IF('P38'!$E29&gt;"",'P38'!$E29&amp;" "&amp;CHAR(10)&amp;'P38'!$F29,'P38'!$E29)</f>
        <v>0</v>
      </c>
      <c r="AR33" s="89">
        <f>IF('P39'!$E29&gt;"",'P39'!$E29&amp;" "&amp;CHAR(10)&amp;'P39'!$F29,'P39'!$E29)</f>
        <v>0</v>
      </c>
      <c r="AS33" s="89">
        <f>IF('P40'!$E29&gt;"",'P40'!$E29&amp;" "&amp;CHAR(10)&amp;'P40'!$F29,'P40'!$E29)</f>
        <v>0</v>
      </c>
      <c r="AT33" s="55">
        <f t="shared" si="5"/>
        <v>0</v>
      </c>
      <c r="AU33" s="9">
        <f t="shared" si="6"/>
        <v>0</v>
      </c>
      <c r="AV33" s="55">
        <f t="shared" si="7"/>
        <v>0</v>
      </c>
      <c r="AW33" s="38" t="str">
        <f t="shared" si="8"/>
        <v>NT</v>
      </c>
      <c r="AX33" s="12"/>
      <c r="AY33" s="10"/>
      <c r="AZ33" s="10"/>
      <c r="BA33" s="10" t="str">
        <f>IF('P01'!$G29&lt;&gt;"", 'P01'!$G29, "non")</f>
        <v>non</v>
      </c>
      <c r="BB33" s="10" t="str">
        <f>IF('P02'!$G29&lt;&gt;"", 'P02'!$G29, "non")</f>
        <v>non</v>
      </c>
      <c r="BC33" s="10" t="str">
        <f>IF('P03'!$G29&lt;&gt;"", 'P03'!$G29, "non")</f>
        <v>non</v>
      </c>
      <c r="BD33" s="10" t="str">
        <f>IF('P04'!$G29&lt;&gt;"", 'P04'!$G29, "non")</f>
        <v>non</v>
      </c>
      <c r="BE33" s="10" t="str">
        <f>IF('P05'!$G29&lt;&gt;"", 'P05'!$G29, "non")</f>
        <v>non</v>
      </c>
      <c r="BF33" s="10" t="str">
        <f>IF('P06'!$G29&lt;&gt;"", 'P06'!$G29, "non")</f>
        <v>non</v>
      </c>
      <c r="BG33" s="10" t="str">
        <f>IF('P07'!$G29&lt;&gt;"", 'P07'!$G29, "non")</f>
        <v>non</v>
      </c>
      <c r="BH33" s="10" t="str">
        <f>IF('P08'!$G29&lt;&gt;"", 'P08'!$G29, "non")</f>
        <v>non</v>
      </c>
      <c r="BI33" s="10" t="str">
        <f>IF('P09'!$G29&lt;&gt;"", 'P09'!$G29, "non")</f>
        <v>non</v>
      </c>
      <c r="BJ33" s="10" t="str">
        <f>IF('P10'!$G29&lt;&gt;"", 'P10'!$G29, "non")</f>
        <v>non</v>
      </c>
      <c r="BK33" s="10" t="str">
        <f>IF('P11'!$G29&lt;&gt;"", 'P11'!$G29, "non")</f>
        <v>non</v>
      </c>
      <c r="BL33" s="10" t="str">
        <f>IF('P12'!$G29&lt;&gt;"", 'P12'!$G29, "non")</f>
        <v>non</v>
      </c>
      <c r="BM33" s="10" t="str">
        <f>IF('P13'!$G29&lt;&gt;"", 'P13'!$G29, "non")</f>
        <v>non</v>
      </c>
      <c r="BN33" s="10" t="str">
        <f>IF('P14'!$G29&lt;&gt;"", 'P14'!$G29, "non")</f>
        <v>non</v>
      </c>
      <c r="BO33" s="10" t="str">
        <f>IF('P15'!$G29&lt;&gt;"", 'P15'!$G29, "non")</f>
        <v>non</v>
      </c>
      <c r="BP33" s="10" t="str">
        <f>IF('P16'!$G29&lt;&gt;"", 'P16'!$G29, "non")</f>
        <v>non</v>
      </c>
      <c r="BQ33" s="10" t="str">
        <f>IF('P17'!$G29&lt;&gt;"", 'P17'!$G29, "non")</f>
        <v>non</v>
      </c>
      <c r="BR33" s="10" t="str">
        <f>IF('P18'!$G29&lt;&gt;"", 'P18'!$G29, "non")</f>
        <v>non</v>
      </c>
      <c r="BS33" s="10" t="str">
        <f>IF('P19'!$G29&lt;&gt;"", 'P19'!$G29, "non")</f>
        <v>non</v>
      </c>
      <c r="BT33" s="11" t="str">
        <f>IF('P20'!$G29&lt;&gt;"", 'P20'!$G29, "non")</f>
        <v>non</v>
      </c>
      <c r="BU33" s="10" t="str">
        <f>IF('P21'!$G29&lt;&gt;"", 'P21'!$G29, "non")</f>
        <v>non</v>
      </c>
      <c r="BV33" s="11" t="str">
        <f>IF('P22'!$G29&lt;&gt;"", 'P22'!$G29, "non")</f>
        <v>non</v>
      </c>
      <c r="BW33" s="10" t="str">
        <f>IF('P23'!$G29&lt;&gt;"", 'P23'!$G29, "non")</f>
        <v>non</v>
      </c>
      <c r="BX33" s="11" t="str">
        <f>IF('P24'!$G29&lt;&gt;"", 'P24'!$G29, "non")</f>
        <v>non</v>
      </c>
      <c r="BY33" s="10" t="str">
        <f>IF('P25'!$G29&lt;&gt;"", 'P25'!$G29, "non")</f>
        <v>non</v>
      </c>
      <c r="BZ33" s="11" t="str">
        <f>IF('P26'!$G29&lt;&gt;"", 'P26'!$G29, "non")</f>
        <v>non</v>
      </c>
      <c r="CA33" s="10" t="str">
        <f>IF('P27'!$G29&lt;&gt;"", 'P27'!$G29, "non")</f>
        <v>non</v>
      </c>
      <c r="CB33" s="11" t="str">
        <f>IF('P28'!$G29&lt;&gt;"", 'P28'!$G29, "non")</f>
        <v>non</v>
      </c>
      <c r="CC33" s="10" t="str">
        <f>IF('P29'!$G29&lt;&gt;"", 'P29'!$G29, "non")</f>
        <v>non</v>
      </c>
      <c r="CD33" s="11" t="str">
        <f>IF('P30'!$G29&lt;&gt;"", 'P30'!$G29, "non")</f>
        <v>non</v>
      </c>
      <c r="CE33" s="10" t="str">
        <f>IF('P31'!$G29&lt;&gt;"", 'P31'!$G29, "non")</f>
        <v>non</v>
      </c>
      <c r="CF33" s="11" t="str">
        <f>IF('P32'!$G29&lt;&gt;"", 'P32'!$G29, "non")</f>
        <v>non</v>
      </c>
      <c r="CG33" s="10" t="str">
        <f>IF('P33'!$G29&lt;&gt;"", 'P33'!$G29, "non")</f>
        <v>non</v>
      </c>
      <c r="CH33" s="10" t="str">
        <f>IF('P34'!$G29&lt;&gt;"", 'P34'!$G29, "non")</f>
        <v>non</v>
      </c>
      <c r="CI33" s="11" t="str">
        <f>IF('P35'!$G29&lt;&gt;"", 'P35'!$G29, "non")</f>
        <v>non</v>
      </c>
      <c r="CJ33" s="10" t="str">
        <f>IF('P36'!$G29&lt;&gt;"", 'P36'!$G29, "non")</f>
        <v>non</v>
      </c>
      <c r="CK33" s="11" t="str">
        <f>IF('P37'!$G29&lt;&gt;"", 'P37'!$G29, "non")</f>
        <v>non</v>
      </c>
      <c r="CL33" s="10" t="str">
        <f>IF('P38'!$G29&lt;&gt;"", 'P38'!$G29, "non")</f>
        <v>non</v>
      </c>
      <c r="CM33" s="11" t="str">
        <f>IF('P39'!$G29&lt;&gt;"", 'P39'!$G29, "non")</f>
        <v>non</v>
      </c>
      <c r="CN33" s="10" t="str">
        <f>IF('P40'!$G29&lt;&gt;"", 'P40'!$G29, "non")</f>
        <v>non</v>
      </c>
    </row>
    <row r="34" spans="1:92" ht="39.75" customHeight="1">
      <c r="A34" s="122" t="str">
        <f>'Critères et tests'!B29</f>
        <v>MULTIMÉDIA</v>
      </c>
      <c r="B34" s="124" t="str">
        <f>'Critères et tests'!$A29</f>
        <v>4.13</v>
      </c>
      <c r="C34" s="192" t="str">
        <f>VLOOKUP(B34,'Critères et tests'!$1:$1048576,5,FALSE)</f>
        <v>Chaque média temporel et non temporel est-il compatible avec les technologies d’assistance (hors cas particuliers) ?</v>
      </c>
      <c r="D34" s="124" t="str">
        <f>'Critères et tests'!$C29</f>
        <v>A</v>
      </c>
      <c r="E34" s="156" t="s">
        <v>460</v>
      </c>
      <c r="F34" s="88">
        <f>IF('P01'!$E30&gt;"",'P01'!$E30&amp;" "&amp;CHAR(10)&amp;'P01'!$F30,'P01'!$E30)</f>
        <v>0</v>
      </c>
      <c r="G34" s="89">
        <f>IF('P02'!$E30&gt;"",'P02'!$E30&amp;" "&amp;CHAR(10)&amp;'P02'!$F30,'P02'!$E30)</f>
        <v>0</v>
      </c>
      <c r="H34" s="89">
        <f>IF('P03'!$E30&gt;"",'P03'!$E30&amp;" "&amp;CHAR(10)&amp;'P03'!$F30,'P03'!$E30)</f>
        <v>0</v>
      </c>
      <c r="I34" s="89">
        <f>IF('P04'!$E30&gt;"",'P04'!$E30&amp;" "&amp;CHAR(10)&amp;'P04'!$F30,'P04'!$E30)</f>
        <v>0</v>
      </c>
      <c r="J34" s="89">
        <f>IF('P05'!$E30&gt;"",'P05'!$E30&amp;" "&amp;CHAR(10)&amp;'P05'!$F30,'P05'!$E30)</f>
        <v>0</v>
      </c>
      <c r="K34" s="89">
        <f>IF('P06'!$E30&gt;"",'P06'!$E30&amp;" "&amp;CHAR(10)&amp;'P06'!$F30,'P06'!$E30)</f>
        <v>0</v>
      </c>
      <c r="L34" s="89">
        <f>IF('P07'!$E30&gt;"",'P07'!$E30&amp;" "&amp;CHAR(10)&amp;'P07'!$F30,'P07'!$E30)</f>
        <v>0</v>
      </c>
      <c r="M34" s="89">
        <f>IF('P08'!$E30&gt;"",'P08'!$E30&amp;" "&amp;CHAR(10)&amp;'P08'!$F30,'P08'!$E30)</f>
        <v>0</v>
      </c>
      <c r="N34" s="89">
        <f>IF('P09'!$E30&gt;"",'P09'!$E30&amp;" "&amp;CHAR(10)&amp;'P09'!$F30,'P09'!$E30)</f>
        <v>0</v>
      </c>
      <c r="O34" s="89">
        <f>IF('P10'!$E30&gt;"",'P10'!$E30&amp;" "&amp;CHAR(10)&amp;'P10'!$F30,'P10'!$E30)</f>
        <v>0</v>
      </c>
      <c r="P34" s="89">
        <f>IF('P11'!$E30&gt;"",'P11'!$E30&amp;" "&amp;CHAR(10)&amp;'P11'!$F30,'P11'!$E30)</f>
        <v>0</v>
      </c>
      <c r="Q34" s="89">
        <f>IF('P12'!$E30&gt;"",'P12'!$E30&amp;" "&amp;CHAR(10)&amp;'P12'!$F30,'P12'!$E30)</f>
        <v>0</v>
      </c>
      <c r="R34" s="89">
        <f>IF('P13'!$E30&gt;"",'P13'!$E30&amp;" "&amp;CHAR(10)&amp;'P13'!$F30,'P13'!$E30)</f>
        <v>0</v>
      </c>
      <c r="S34" s="89">
        <f>IF('P14'!$E30&gt;"",'P14'!$E30&amp;" "&amp;CHAR(10)&amp;'P14'!$F30,'P14'!$E30)</f>
        <v>0</v>
      </c>
      <c r="T34" s="89">
        <f>IF('P15'!$E30&gt;"",'P15'!$E30&amp;" "&amp;CHAR(10)&amp;'P15'!$F30,'P15'!$E30)</f>
        <v>0</v>
      </c>
      <c r="U34" s="89">
        <f>IF('P16'!$E30&gt;"",'P16'!$E30&amp;" "&amp;CHAR(10)&amp;'P16'!$F30,'P16'!$E30)</f>
        <v>0</v>
      </c>
      <c r="V34" s="89">
        <f>IF('P17'!$E30&gt;"",'P17'!$E30&amp;" "&amp;CHAR(10)&amp;'P17'!$F30,'P17'!$E30)</f>
        <v>0</v>
      </c>
      <c r="W34" s="89">
        <f>IF('P18'!$E30&gt;"",'P18'!$E30&amp;" "&amp;CHAR(10)&amp;'P18'!$F30,'P18'!$E30)</f>
        <v>0</v>
      </c>
      <c r="X34" s="89">
        <f>IF('P19'!$E30&gt;"",'P19'!$E30&amp;" "&amp;CHAR(10)&amp;'P19'!$F30,'P19'!$E30)</f>
        <v>0</v>
      </c>
      <c r="Y34" s="89">
        <f>IF('P20'!$E30&gt;"",'P20'!$E30&amp;" "&amp;CHAR(10)&amp;'P20'!$F30,'P20'!$E30)</f>
        <v>0</v>
      </c>
      <c r="Z34" s="89">
        <f>IF('P21'!$E30&gt;"",'P21'!$E30&amp;" "&amp;CHAR(10)&amp;'P21'!$F30,'P21'!$E30)</f>
        <v>0</v>
      </c>
      <c r="AA34" s="89">
        <f>IF('P22'!$E30&gt;"",'P22'!$E30&amp;" "&amp;CHAR(10)&amp;'P22'!$F30,'P22'!$E30)</f>
        <v>0</v>
      </c>
      <c r="AB34" s="89">
        <f>IF('P23'!$E30&gt;"",'P23'!$E30&amp;" "&amp;CHAR(10)&amp;'P23'!$F30,'P23'!$E30)</f>
        <v>0</v>
      </c>
      <c r="AC34" s="89">
        <f>IF('P24'!$E30&gt;"",'P24'!$E30&amp;" "&amp;CHAR(10)&amp;'P24'!$F30,'P24'!$E30)</f>
        <v>0</v>
      </c>
      <c r="AD34" s="89">
        <f>IF('P25'!$E30&gt;"",'P25'!$E30&amp;" "&amp;CHAR(10)&amp;'P25'!$F30,'P25'!$E30)</f>
        <v>0</v>
      </c>
      <c r="AE34" s="89">
        <f>IF('P26'!$E30&gt;"",'P26'!$E30&amp;" "&amp;CHAR(10)&amp;'P26'!$F30,'P26'!$E30)</f>
        <v>0</v>
      </c>
      <c r="AF34" s="89">
        <f>IF('P27'!$E30&gt;"",'P27'!$E30&amp;" "&amp;CHAR(10)&amp;'P27'!$F30,'P27'!$E30)</f>
        <v>0</v>
      </c>
      <c r="AG34" s="89">
        <f>IF('P28'!$E30&gt;"",'P28'!$E30&amp;" "&amp;CHAR(10)&amp;'P28'!$F30,'P28'!$E30)</f>
        <v>0</v>
      </c>
      <c r="AH34" s="89">
        <f>IF('P29'!$E30&gt;"",'P29'!$E30&amp;" "&amp;CHAR(10)&amp;'P29'!$F30,'P29'!$E30)</f>
        <v>0</v>
      </c>
      <c r="AI34" s="89">
        <f>IF('P30'!$E30&gt;"",'P30'!$E30&amp;" "&amp;CHAR(10)&amp;'P30'!$F30,'P30'!$E30)</f>
        <v>0</v>
      </c>
      <c r="AJ34" s="89">
        <f>IF('P31'!$E30&gt;"",'P31'!$E30&amp;" "&amp;CHAR(10)&amp;'P31'!$F30,'P31'!$E30)</f>
        <v>0</v>
      </c>
      <c r="AK34" s="89">
        <f>IF('P32'!$E30&gt;"",'P32'!$E30&amp;" "&amp;CHAR(10)&amp;'P32'!$F30,'P32'!$E30)</f>
        <v>0</v>
      </c>
      <c r="AL34" s="89">
        <f>IF('P33'!$E30&gt;"",'P33'!$E30&amp;" "&amp;CHAR(10)&amp;'P33'!$F30,'P33'!$E30)</f>
        <v>0</v>
      </c>
      <c r="AM34" s="89">
        <f>IF('P34'!$E30&gt;"",'P34'!$E30&amp;" "&amp;CHAR(10)&amp;'P34'!$F30,'P34'!$E30)</f>
        <v>0</v>
      </c>
      <c r="AN34" s="89">
        <f>IF('P35'!$E30&gt;"",'P35'!$E30&amp;" "&amp;CHAR(10)&amp;'P35'!$F30,'P35'!$E30)</f>
        <v>0</v>
      </c>
      <c r="AO34" s="89">
        <f>IF('P36'!$E30&gt;"",'P36'!$E30&amp;" "&amp;CHAR(10)&amp;'P36'!$F30,'P36'!$E30)</f>
        <v>0</v>
      </c>
      <c r="AP34" s="89">
        <f>IF('P37'!$E30&gt;"",'P37'!$E30&amp;" "&amp;CHAR(10)&amp;'P37'!$F30,'P37'!$E30)</f>
        <v>0</v>
      </c>
      <c r="AQ34" s="89">
        <f>IF('P38'!$E30&gt;"",'P38'!$E30&amp;" "&amp;CHAR(10)&amp;'P38'!$F30,'P38'!$E30)</f>
        <v>0</v>
      </c>
      <c r="AR34" s="89">
        <f>IF('P39'!$E30&gt;"",'P39'!$E30&amp;" "&amp;CHAR(10)&amp;'P39'!$F30,'P39'!$E30)</f>
        <v>0</v>
      </c>
      <c r="AS34" s="89">
        <f>IF('P40'!$E30&gt;"",'P40'!$E30&amp;" "&amp;CHAR(10)&amp;'P40'!$F30,'P40'!$E30)</f>
        <v>0</v>
      </c>
      <c r="AT34" s="55">
        <f t="shared" si="5"/>
        <v>0</v>
      </c>
      <c r="AU34" s="9">
        <f t="shared" si="6"/>
        <v>0</v>
      </c>
      <c r="AV34" s="55">
        <f t="shared" si="7"/>
        <v>0</v>
      </c>
      <c r="AW34" s="38" t="str">
        <f t="shared" si="8"/>
        <v>NT</v>
      </c>
      <c r="AX34" s="12"/>
      <c r="AY34" s="10"/>
      <c r="AZ34" s="10"/>
      <c r="BA34" s="10" t="str">
        <f>IF('P01'!$G30&lt;&gt;"", 'P01'!$G30, "non")</f>
        <v>non</v>
      </c>
      <c r="BB34" s="10" t="str">
        <f>IF('P02'!$G30&lt;&gt;"", 'P02'!$G30, "non")</f>
        <v>non</v>
      </c>
      <c r="BC34" s="10" t="str">
        <f>IF('P03'!$G30&lt;&gt;"", 'P03'!$G30, "non")</f>
        <v>non</v>
      </c>
      <c r="BD34" s="10" t="str">
        <f>IF('P04'!$G30&lt;&gt;"", 'P04'!$G30, "non")</f>
        <v>non</v>
      </c>
      <c r="BE34" s="10" t="str">
        <f>IF('P05'!$G30&lt;&gt;"", 'P05'!$G30, "non")</f>
        <v>non</v>
      </c>
      <c r="BF34" s="10" t="str">
        <f>IF('P06'!$G30&lt;&gt;"", 'P06'!$G30, "non")</f>
        <v>non</v>
      </c>
      <c r="BG34" s="10" t="str">
        <f>IF('P07'!$G30&lt;&gt;"", 'P07'!$G30, "non")</f>
        <v>non</v>
      </c>
      <c r="BH34" s="10" t="str">
        <f>IF('P08'!$G30&lt;&gt;"", 'P08'!$G30, "non")</f>
        <v>non</v>
      </c>
      <c r="BI34" s="10" t="str">
        <f>IF('P09'!$G30&lt;&gt;"", 'P09'!$G30, "non")</f>
        <v>non</v>
      </c>
      <c r="BJ34" s="10" t="str">
        <f>IF('P10'!$G30&lt;&gt;"", 'P10'!$G30, "non")</f>
        <v>non</v>
      </c>
      <c r="BK34" s="10" t="str">
        <f>IF('P11'!$G30&lt;&gt;"", 'P11'!$G30, "non")</f>
        <v>non</v>
      </c>
      <c r="BL34" s="10" t="str">
        <f>IF('P12'!$G30&lt;&gt;"", 'P12'!$G30, "non")</f>
        <v>non</v>
      </c>
      <c r="BM34" s="10" t="str">
        <f>IF('P13'!$G30&lt;&gt;"", 'P13'!$G30, "non")</f>
        <v>non</v>
      </c>
      <c r="BN34" s="10" t="str">
        <f>IF('P14'!$G30&lt;&gt;"", 'P14'!$G30, "non")</f>
        <v>non</v>
      </c>
      <c r="BO34" s="10" t="str">
        <f>IF('P15'!$G30&lt;&gt;"", 'P15'!$G30, "non")</f>
        <v>non</v>
      </c>
      <c r="BP34" s="10" t="str">
        <f>IF('P16'!$G30&lt;&gt;"", 'P16'!$G30, "non")</f>
        <v>non</v>
      </c>
      <c r="BQ34" s="10" t="str">
        <f>IF('P17'!$G30&lt;&gt;"", 'P17'!$G30, "non")</f>
        <v>non</v>
      </c>
      <c r="BR34" s="10" t="str">
        <f>IF('P18'!$G30&lt;&gt;"", 'P18'!$G30, "non")</f>
        <v>non</v>
      </c>
      <c r="BS34" s="10" t="str">
        <f>IF('P19'!$G30&lt;&gt;"", 'P19'!$G30, "non")</f>
        <v>non</v>
      </c>
      <c r="BT34" s="11" t="str">
        <f>IF('P20'!$G30&lt;&gt;"", 'P20'!$G30, "non")</f>
        <v>non</v>
      </c>
      <c r="BU34" s="10" t="str">
        <f>IF('P21'!$G30&lt;&gt;"", 'P21'!$G30, "non")</f>
        <v>non</v>
      </c>
      <c r="BV34" s="11" t="str">
        <f>IF('P22'!$G30&lt;&gt;"", 'P22'!$G30, "non")</f>
        <v>non</v>
      </c>
      <c r="BW34" s="10" t="str">
        <f>IF('P23'!$G30&lt;&gt;"", 'P23'!$G30, "non")</f>
        <v>non</v>
      </c>
      <c r="BX34" s="11" t="str">
        <f>IF('P24'!$G30&lt;&gt;"", 'P24'!$G30, "non")</f>
        <v>non</v>
      </c>
      <c r="BY34" s="10" t="str">
        <f>IF('P25'!$G30&lt;&gt;"", 'P25'!$G30, "non")</f>
        <v>non</v>
      </c>
      <c r="BZ34" s="11" t="str">
        <f>IF('P26'!$G30&lt;&gt;"", 'P26'!$G30, "non")</f>
        <v>non</v>
      </c>
      <c r="CA34" s="10" t="str">
        <f>IF('P27'!$G30&lt;&gt;"", 'P27'!$G30, "non")</f>
        <v>non</v>
      </c>
      <c r="CB34" s="11" t="str">
        <f>IF('P28'!$G30&lt;&gt;"", 'P28'!$G30, "non")</f>
        <v>non</v>
      </c>
      <c r="CC34" s="10" t="str">
        <f>IF('P29'!$G30&lt;&gt;"", 'P29'!$G30, "non")</f>
        <v>non</v>
      </c>
      <c r="CD34" s="11" t="str">
        <f>IF('P30'!$G30&lt;&gt;"", 'P30'!$G30, "non")</f>
        <v>non</v>
      </c>
      <c r="CE34" s="10" t="str">
        <f>IF('P31'!$G30&lt;&gt;"", 'P31'!$G30, "non")</f>
        <v>non</v>
      </c>
      <c r="CF34" s="11" t="str">
        <f>IF('P32'!$G30&lt;&gt;"", 'P32'!$G30, "non")</f>
        <v>non</v>
      </c>
      <c r="CG34" s="10" t="str">
        <f>IF('P33'!$G30&lt;&gt;"", 'P33'!$G30, "non")</f>
        <v>non</v>
      </c>
      <c r="CH34" s="10" t="str">
        <f>IF('P34'!$G30&lt;&gt;"", 'P34'!$G30, "non")</f>
        <v>non</v>
      </c>
      <c r="CI34" s="11" t="str">
        <f>IF('P35'!$G30&lt;&gt;"", 'P35'!$G30, "non")</f>
        <v>non</v>
      </c>
      <c r="CJ34" s="10" t="str">
        <f>IF('P36'!$G30&lt;&gt;"", 'P36'!$G30, "non")</f>
        <v>non</v>
      </c>
      <c r="CK34" s="11" t="str">
        <f>IF('P37'!$G30&lt;&gt;"", 'P37'!$G30, "non")</f>
        <v>non</v>
      </c>
      <c r="CL34" s="10" t="str">
        <f>IF('P38'!$G30&lt;&gt;"", 'P38'!$G30, "non")</f>
        <v>non</v>
      </c>
      <c r="CM34" s="11" t="str">
        <f>IF('P39'!$G30&lt;&gt;"", 'P39'!$G30, "non")</f>
        <v>non</v>
      </c>
      <c r="CN34" s="10" t="str">
        <f>IF('P40'!$G30&lt;&gt;"", 'P40'!$G30, "non")</f>
        <v>non</v>
      </c>
    </row>
    <row r="35" spans="1:92" ht="39.75" customHeight="1">
      <c r="A35" s="122" t="str">
        <f>'Critères et tests'!B30</f>
        <v>TABLEAUX</v>
      </c>
      <c r="B35" s="124" t="str">
        <f>'Critères et tests'!$A30</f>
        <v>5.1</v>
      </c>
      <c r="C35" s="192" t="str">
        <f>VLOOKUP(B35,'Critères et tests'!$1:$1048576,5,FALSE)</f>
        <v>Chaque tableau de données complexe a-t-il un résumé ?</v>
      </c>
      <c r="D35" s="124" t="str">
        <f>'Critères et tests'!$C30</f>
        <v>A</v>
      </c>
      <c r="E35" s="156" t="s">
        <v>460</v>
      </c>
      <c r="F35" s="88">
        <f>IF('P01'!$E31&gt;"",'P01'!$E31&amp;" "&amp;CHAR(10)&amp;'P01'!$F31,'P01'!$E31)</f>
        <v>0</v>
      </c>
      <c r="G35" s="89">
        <f>IF('P02'!$E31&gt;"",'P02'!$E31&amp;" "&amp;CHAR(10)&amp;'P02'!$F31,'P02'!$E31)</f>
        <v>0</v>
      </c>
      <c r="H35" s="89">
        <f>IF('P03'!$E31&gt;"",'P03'!$E31&amp;" "&amp;CHAR(10)&amp;'P03'!$F31,'P03'!$E31)</f>
        <v>0</v>
      </c>
      <c r="I35" s="89">
        <f>IF('P04'!$E31&gt;"",'P04'!$E31&amp;" "&amp;CHAR(10)&amp;'P04'!$F31,'P04'!$E31)</f>
        <v>0</v>
      </c>
      <c r="J35" s="89">
        <f>IF('P05'!$E31&gt;"",'P05'!$E31&amp;" "&amp;CHAR(10)&amp;'P05'!$F31,'P05'!$E31)</f>
        <v>0</v>
      </c>
      <c r="K35" s="89">
        <f>IF('P06'!$E31&gt;"",'P06'!$E31&amp;" "&amp;CHAR(10)&amp;'P06'!$F31,'P06'!$E31)</f>
        <v>0</v>
      </c>
      <c r="L35" s="89">
        <f>IF('P07'!$E31&gt;"",'P07'!$E31&amp;" "&amp;CHAR(10)&amp;'P07'!$F31,'P07'!$E31)</f>
        <v>0</v>
      </c>
      <c r="M35" s="89">
        <f>IF('P08'!$E31&gt;"",'P08'!$E31&amp;" "&amp;CHAR(10)&amp;'P08'!$F31,'P08'!$E31)</f>
        <v>0</v>
      </c>
      <c r="N35" s="89">
        <f>IF('P09'!$E31&gt;"",'P09'!$E31&amp;" "&amp;CHAR(10)&amp;'P09'!$F31,'P09'!$E31)</f>
        <v>0</v>
      </c>
      <c r="O35" s="89">
        <f>IF('P10'!$E31&gt;"",'P10'!$E31&amp;" "&amp;CHAR(10)&amp;'P10'!$F31,'P10'!$E31)</f>
        <v>0</v>
      </c>
      <c r="P35" s="89">
        <f>IF('P11'!$E31&gt;"",'P11'!$E31&amp;" "&amp;CHAR(10)&amp;'P11'!$F31,'P11'!$E31)</f>
        <v>0</v>
      </c>
      <c r="Q35" s="89">
        <f>IF('P12'!$E31&gt;"",'P12'!$E31&amp;" "&amp;CHAR(10)&amp;'P12'!$F31,'P12'!$E31)</f>
        <v>0</v>
      </c>
      <c r="R35" s="89">
        <f>IF('P13'!$E31&gt;"",'P13'!$E31&amp;" "&amp;CHAR(10)&amp;'P13'!$F31,'P13'!$E31)</f>
        <v>0</v>
      </c>
      <c r="S35" s="89">
        <f>IF('P14'!$E31&gt;"",'P14'!$E31&amp;" "&amp;CHAR(10)&amp;'P14'!$F31,'P14'!$E31)</f>
        <v>0</v>
      </c>
      <c r="T35" s="89">
        <f>IF('P15'!$E31&gt;"",'P15'!$E31&amp;" "&amp;CHAR(10)&amp;'P15'!$F31,'P15'!$E31)</f>
        <v>0</v>
      </c>
      <c r="U35" s="89">
        <f>IF('P16'!$E31&gt;"",'P16'!$E31&amp;" "&amp;CHAR(10)&amp;'P16'!$F31,'P16'!$E31)</f>
        <v>0</v>
      </c>
      <c r="V35" s="89">
        <f>IF('P17'!$E31&gt;"",'P17'!$E31&amp;" "&amp;CHAR(10)&amp;'P17'!$F31,'P17'!$E31)</f>
        <v>0</v>
      </c>
      <c r="W35" s="89">
        <f>IF('P18'!$E31&gt;"",'P18'!$E31&amp;" "&amp;CHAR(10)&amp;'P18'!$F31,'P18'!$E31)</f>
        <v>0</v>
      </c>
      <c r="X35" s="89">
        <f>IF('P19'!$E31&gt;"",'P19'!$E31&amp;" "&amp;CHAR(10)&amp;'P19'!$F31,'P19'!$E31)</f>
        <v>0</v>
      </c>
      <c r="Y35" s="89">
        <f>IF('P20'!$E31&gt;"",'P20'!$E31&amp;" "&amp;CHAR(10)&amp;'P20'!$F31,'P20'!$E31)</f>
        <v>0</v>
      </c>
      <c r="Z35" s="89">
        <f>IF('P21'!$E31&gt;"",'P21'!$E31&amp;" "&amp;CHAR(10)&amp;'P21'!$F31,'P21'!$E31)</f>
        <v>0</v>
      </c>
      <c r="AA35" s="89">
        <f>IF('P22'!$E31&gt;"",'P22'!$E31&amp;" "&amp;CHAR(10)&amp;'P22'!$F31,'P22'!$E31)</f>
        <v>0</v>
      </c>
      <c r="AB35" s="89">
        <f>IF('P23'!$E31&gt;"",'P23'!$E31&amp;" "&amp;CHAR(10)&amp;'P23'!$F31,'P23'!$E31)</f>
        <v>0</v>
      </c>
      <c r="AC35" s="89">
        <f>IF('P24'!$E31&gt;"",'P24'!$E31&amp;" "&amp;CHAR(10)&amp;'P24'!$F31,'P24'!$E31)</f>
        <v>0</v>
      </c>
      <c r="AD35" s="89">
        <f>IF('P25'!$E31&gt;"",'P25'!$E31&amp;" "&amp;CHAR(10)&amp;'P25'!$F31,'P25'!$E31)</f>
        <v>0</v>
      </c>
      <c r="AE35" s="89">
        <f>IF('P26'!$E31&gt;"",'P26'!$E31&amp;" "&amp;CHAR(10)&amp;'P26'!$F31,'P26'!$E31)</f>
        <v>0</v>
      </c>
      <c r="AF35" s="89">
        <f>IF('P27'!$E31&gt;"",'P27'!$E31&amp;" "&amp;CHAR(10)&amp;'P27'!$F31,'P27'!$E31)</f>
        <v>0</v>
      </c>
      <c r="AG35" s="89">
        <f>IF('P28'!$E31&gt;"",'P28'!$E31&amp;" "&amp;CHAR(10)&amp;'P28'!$F31,'P28'!$E31)</f>
        <v>0</v>
      </c>
      <c r="AH35" s="89">
        <f>IF('P29'!$E31&gt;"",'P29'!$E31&amp;" "&amp;CHAR(10)&amp;'P29'!$F31,'P29'!$E31)</f>
        <v>0</v>
      </c>
      <c r="AI35" s="89">
        <f>IF('P30'!$E31&gt;"",'P30'!$E31&amp;" "&amp;CHAR(10)&amp;'P30'!$F31,'P30'!$E31)</f>
        <v>0</v>
      </c>
      <c r="AJ35" s="89">
        <f>IF('P31'!$E31&gt;"",'P31'!$E31&amp;" "&amp;CHAR(10)&amp;'P31'!$F31,'P31'!$E31)</f>
        <v>0</v>
      </c>
      <c r="AK35" s="89">
        <f>IF('P32'!$E31&gt;"",'P32'!$E31&amp;" "&amp;CHAR(10)&amp;'P32'!$F31,'P32'!$E31)</f>
        <v>0</v>
      </c>
      <c r="AL35" s="89">
        <f>IF('P33'!$E31&gt;"",'P33'!$E31&amp;" "&amp;CHAR(10)&amp;'P33'!$F31,'P33'!$E31)</f>
        <v>0</v>
      </c>
      <c r="AM35" s="89">
        <f>IF('P34'!$E31&gt;"",'P34'!$E31&amp;" "&amp;CHAR(10)&amp;'P34'!$F31,'P34'!$E31)</f>
        <v>0</v>
      </c>
      <c r="AN35" s="89">
        <f>IF('P35'!$E31&gt;"",'P35'!$E31&amp;" "&amp;CHAR(10)&amp;'P35'!$F31,'P35'!$E31)</f>
        <v>0</v>
      </c>
      <c r="AO35" s="89">
        <f>IF('P36'!$E31&gt;"",'P36'!$E31&amp;" "&amp;CHAR(10)&amp;'P36'!$F31,'P36'!$E31)</f>
        <v>0</v>
      </c>
      <c r="AP35" s="89">
        <f>IF('P37'!$E31&gt;"",'P37'!$E31&amp;" "&amp;CHAR(10)&amp;'P37'!$F31,'P37'!$E31)</f>
        <v>0</v>
      </c>
      <c r="AQ35" s="89">
        <f>IF('P38'!$E31&gt;"",'P38'!$E31&amp;" "&amp;CHAR(10)&amp;'P38'!$F31,'P38'!$E31)</f>
        <v>0</v>
      </c>
      <c r="AR35" s="89">
        <f>IF('P39'!$E31&gt;"",'P39'!$E31&amp;" "&amp;CHAR(10)&amp;'P39'!$F31,'P39'!$E31)</f>
        <v>0</v>
      </c>
      <c r="AS35" s="89">
        <f>IF('P40'!$E31&gt;"",'P40'!$E31&amp;" "&amp;CHAR(10)&amp;'P40'!$F31,'P40'!$E31)</f>
        <v>0</v>
      </c>
      <c r="AT35" s="55">
        <f t="shared" si="5"/>
        <v>0</v>
      </c>
      <c r="AU35" s="9">
        <f t="shared" si="6"/>
        <v>0</v>
      </c>
      <c r="AV35" s="55">
        <f t="shared" si="7"/>
        <v>0</v>
      </c>
      <c r="AW35" s="38" t="str">
        <f t="shared" si="8"/>
        <v>NT</v>
      </c>
      <c r="AX35" s="12"/>
      <c r="AY35" s="10"/>
      <c r="AZ35" s="10"/>
      <c r="BA35" s="10" t="str">
        <f>IF('P01'!$G31&lt;&gt;"", 'P01'!$G31, "non")</f>
        <v>non</v>
      </c>
      <c r="BB35" s="10" t="str">
        <f>IF('P02'!$G31&lt;&gt;"", 'P02'!$G31, "non")</f>
        <v>non</v>
      </c>
      <c r="BC35" s="10" t="str">
        <f>IF('P03'!$G31&lt;&gt;"", 'P03'!$G31, "non")</f>
        <v>non</v>
      </c>
      <c r="BD35" s="10" t="str">
        <f>IF('P04'!$G31&lt;&gt;"", 'P04'!$G31, "non")</f>
        <v>non</v>
      </c>
      <c r="BE35" s="10" t="str">
        <f>IF('P05'!$G31&lt;&gt;"", 'P05'!$G31, "non")</f>
        <v>non</v>
      </c>
      <c r="BF35" s="10" t="str">
        <f>IF('P06'!$G31&lt;&gt;"", 'P06'!$G31, "non")</f>
        <v>non</v>
      </c>
      <c r="BG35" s="10" t="str">
        <f>IF('P07'!$G31&lt;&gt;"", 'P07'!$G31, "non")</f>
        <v>non</v>
      </c>
      <c r="BH35" s="10" t="str">
        <f>IF('P08'!$G31&lt;&gt;"", 'P08'!$G31, "non")</f>
        <v>non</v>
      </c>
      <c r="BI35" s="10" t="str">
        <f>IF('P09'!$G31&lt;&gt;"", 'P09'!$G31, "non")</f>
        <v>non</v>
      </c>
      <c r="BJ35" s="10" t="str">
        <f>IF('P10'!$G31&lt;&gt;"", 'P10'!$G31, "non")</f>
        <v>non</v>
      </c>
      <c r="BK35" s="10" t="str">
        <f>IF('P11'!$G31&lt;&gt;"", 'P11'!$G31, "non")</f>
        <v>non</v>
      </c>
      <c r="BL35" s="10" t="str">
        <f>IF('P12'!$G31&lt;&gt;"", 'P12'!$G31, "non")</f>
        <v>non</v>
      </c>
      <c r="BM35" s="10" t="str">
        <f>IF('P13'!$G31&lt;&gt;"", 'P13'!$G31, "non")</f>
        <v>non</v>
      </c>
      <c r="BN35" s="10" t="str">
        <f>IF('P14'!$G31&lt;&gt;"", 'P14'!$G31, "non")</f>
        <v>non</v>
      </c>
      <c r="BO35" s="10" t="str">
        <f>IF('P15'!$G31&lt;&gt;"", 'P15'!$G31, "non")</f>
        <v>non</v>
      </c>
      <c r="BP35" s="10" t="str">
        <f>IF('P16'!$G31&lt;&gt;"", 'P16'!$G31, "non")</f>
        <v>non</v>
      </c>
      <c r="BQ35" s="10" t="str">
        <f>IF('P17'!$G31&lt;&gt;"", 'P17'!$G31, "non")</f>
        <v>non</v>
      </c>
      <c r="BR35" s="10" t="str">
        <f>IF('P18'!$G31&lt;&gt;"", 'P18'!$G31, "non")</f>
        <v>non</v>
      </c>
      <c r="BS35" s="10" t="str">
        <f>IF('P19'!$G31&lt;&gt;"", 'P19'!$G31, "non")</f>
        <v>non</v>
      </c>
      <c r="BT35" s="11" t="str">
        <f>IF('P20'!$G31&lt;&gt;"", 'P20'!$G31, "non")</f>
        <v>non</v>
      </c>
      <c r="BU35" s="10" t="str">
        <f>IF('P21'!$G31&lt;&gt;"", 'P21'!$G31, "non")</f>
        <v>non</v>
      </c>
      <c r="BV35" s="11" t="str">
        <f>IF('P22'!$G31&lt;&gt;"", 'P22'!$G31, "non")</f>
        <v>non</v>
      </c>
      <c r="BW35" s="10" t="str">
        <f>IF('P23'!$G31&lt;&gt;"", 'P23'!$G31, "non")</f>
        <v>non</v>
      </c>
      <c r="BX35" s="11" t="str">
        <f>IF('P24'!$G31&lt;&gt;"", 'P24'!$G31, "non")</f>
        <v>non</v>
      </c>
      <c r="BY35" s="10" t="str">
        <f>IF('P25'!$G31&lt;&gt;"", 'P25'!$G31, "non")</f>
        <v>non</v>
      </c>
      <c r="BZ35" s="11" t="str">
        <f>IF('P26'!$G31&lt;&gt;"", 'P26'!$G31, "non")</f>
        <v>non</v>
      </c>
      <c r="CA35" s="10" t="str">
        <f>IF('P27'!$G31&lt;&gt;"", 'P27'!$G31, "non")</f>
        <v>non</v>
      </c>
      <c r="CB35" s="11" t="str">
        <f>IF('P28'!$G31&lt;&gt;"", 'P28'!$G31, "non")</f>
        <v>non</v>
      </c>
      <c r="CC35" s="10" t="str">
        <f>IF('P29'!$G31&lt;&gt;"", 'P29'!$G31, "non")</f>
        <v>non</v>
      </c>
      <c r="CD35" s="11" t="str">
        <f>IF('P30'!$G31&lt;&gt;"", 'P30'!$G31, "non")</f>
        <v>non</v>
      </c>
      <c r="CE35" s="10" t="str">
        <f>IF('P31'!$G31&lt;&gt;"", 'P31'!$G31, "non")</f>
        <v>non</v>
      </c>
      <c r="CF35" s="11" t="str">
        <f>IF('P32'!$G31&lt;&gt;"", 'P32'!$G31, "non")</f>
        <v>non</v>
      </c>
      <c r="CG35" s="10" t="str">
        <f>IF('P33'!$G31&lt;&gt;"", 'P33'!$G31, "non")</f>
        <v>non</v>
      </c>
      <c r="CH35" s="10" t="str">
        <f>IF('P34'!$G31&lt;&gt;"", 'P34'!$G31, "non")</f>
        <v>non</v>
      </c>
      <c r="CI35" s="11" t="str">
        <f>IF('P35'!$G31&lt;&gt;"", 'P35'!$G31, "non")</f>
        <v>non</v>
      </c>
      <c r="CJ35" s="10" t="str">
        <f>IF('P36'!$G31&lt;&gt;"", 'P36'!$G31, "non")</f>
        <v>non</v>
      </c>
      <c r="CK35" s="11" t="str">
        <f>IF('P37'!$G31&lt;&gt;"", 'P37'!$G31, "non")</f>
        <v>non</v>
      </c>
      <c r="CL35" s="10" t="str">
        <f>IF('P38'!$G31&lt;&gt;"", 'P38'!$G31, "non")</f>
        <v>non</v>
      </c>
      <c r="CM35" s="11" t="str">
        <f>IF('P39'!$G31&lt;&gt;"", 'P39'!$G31, "non")</f>
        <v>non</v>
      </c>
      <c r="CN35" s="10" t="str">
        <f>IF('P40'!$G31&lt;&gt;"", 'P40'!$G31, "non")</f>
        <v>non</v>
      </c>
    </row>
    <row r="36" spans="1:92" ht="39.75" customHeight="1">
      <c r="A36" s="122" t="str">
        <f>'Critères et tests'!B31</f>
        <v>TABLEAUX</v>
      </c>
      <c r="B36" s="124" t="str">
        <f>'Critères et tests'!$A31</f>
        <v>5.2</v>
      </c>
      <c r="C36" s="192" t="str">
        <f>VLOOKUP(B36,'Critères et tests'!$1:$1048576,5,FALSE)</f>
        <v>Pour chaque tableau de données complexe ayant un résumé, celui-ci est-il pertinent ?</v>
      </c>
      <c r="D36" s="124" t="str">
        <f>'Critères et tests'!$C31</f>
        <v>A</v>
      </c>
      <c r="E36" s="156" t="s">
        <v>460</v>
      </c>
      <c r="F36" s="88">
        <f>IF('P01'!$E32&gt;"",'P01'!$E32&amp;" "&amp;CHAR(10)&amp;'P01'!$F32,'P01'!$E32)</f>
        <v>0</v>
      </c>
      <c r="G36" s="89">
        <f>IF('P02'!$E32&gt;"",'P02'!$E32&amp;" "&amp;CHAR(10)&amp;'P02'!$F32,'P02'!$E32)</f>
        <v>0</v>
      </c>
      <c r="H36" s="89">
        <f>IF('P03'!$E32&gt;"",'P03'!$E32&amp;" "&amp;CHAR(10)&amp;'P03'!$F32,'P03'!$E32)</f>
        <v>0</v>
      </c>
      <c r="I36" s="89">
        <f>IF('P04'!$E32&gt;"",'P04'!$E32&amp;" "&amp;CHAR(10)&amp;'P04'!$F32,'P04'!$E32)</f>
        <v>0</v>
      </c>
      <c r="J36" s="89">
        <f>IF('P05'!$E32&gt;"",'P05'!$E32&amp;" "&amp;CHAR(10)&amp;'P05'!$F32,'P05'!$E32)</f>
        <v>0</v>
      </c>
      <c r="K36" s="89">
        <f>IF('P06'!$E32&gt;"",'P06'!$E32&amp;" "&amp;CHAR(10)&amp;'P06'!$F32,'P06'!$E32)</f>
        <v>0</v>
      </c>
      <c r="L36" s="89">
        <f>IF('P07'!$E32&gt;"",'P07'!$E32&amp;" "&amp;CHAR(10)&amp;'P07'!$F32,'P07'!$E32)</f>
        <v>0</v>
      </c>
      <c r="M36" s="89">
        <f>IF('P08'!$E32&gt;"",'P08'!$E32&amp;" "&amp;CHAR(10)&amp;'P08'!$F32,'P08'!$E32)</f>
        <v>0</v>
      </c>
      <c r="N36" s="89">
        <f>IF('P09'!$E32&gt;"",'P09'!$E32&amp;" "&amp;CHAR(10)&amp;'P09'!$F32,'P09'!$E32)</f>
        <v>0</v>
      </c>
      <c r="O36" s="89">
        <f>IF('P10'!$E32&gt;"",'P10'!$E32&amp;" "&amp;CHAR(10)&amp;'P10'!$F32,'P10'!$E32)</f>
        <v>0</v>
      </c>
      <c r="P36" s="89">
        <f>IF('P11'!$E32&gt;"",'P11'!$E32&amp;" "&amp;CHAR(10)&amp;'P11'!$F32,'P11'!$E32)</f>
        <v>0</v>
      </c>
      <c r="Q36" s="89">
        <f>IF('P12'!$E32&gt;"",'P12'!$E32&amp;" "&amp;CHAR(10)&amp;'P12'!$F32,'P12'!$E32)</f>
        <v>0</v>
      </c>
      <c r="R36" s="89">
        <f>IF('P13'!$E32&gt;"",'P13'!$E32&amp;" "&amp;CHAR(10)&amp;'P13'!$F32,'P13'!$E32)</f>
        <v>0</v>
      </c>
      <c r="S36" s="89">
        <f>IF('P14'!$E32&gt;"",'P14'!$E32&amp;" "&amp;CHAR(10)&amp;'P14'!$F32,'P14'!$E32)</f>
        <v>0</v>
      </c>
      <c r="T36" s="89">
        <f>IF('P15'!$E32&gt;"",'P15'!$E32&amp;" "&amp;CHAR(10)&amp;'P15'!$F32,'P15'!$E32)</f>
        <v>0</v>
      </c>
      <c r="U36" s="89">
        <f>IF('P16'!$E32&gt;"",'P16'!$E32&amp;" "&amp;CHAR(10)&amp;'P16'!$F32,'P16'!$E32)</f>
        <v>0</v>
      </c>
      <c r="V36" s="89">
        <f>IF('P17'!$E32&gt;"",'P17'!$E32&amp;" "&amp;CHAR(10)&amp;'P17'!$F32,'P17'!$E32)</f>
        <v>0</v>
      </c>
      <c r="W36" s="89">
        <f>IF('P18'!$E32&gt;"",'P18'!$E32&amp;" "&amp;CHAR(10)&amp;'P18'!$F32,'P18'!$E32)</f>
        <v>0</v>
      </c>
      <c r="X36" s="89">
        <f>IF('P19'!$E32&gt;"",'P19'!$E32&amp;" "&amp;CHAR(10)&amp;'P19'!$F32,'P19'!$E32)</f>
        <v>0</v>
      </c>
      <c r="Y36" s="89">
        <f>IF('P20'!$E32&gt;"",'P20'!$E32&amp;" "&amp;CHAR(10)&amp;'P20'!$F32,'P20'!$E32)</f>
        <v>0</v>
      </c>
      <c r="Z36" s="89">
        <f>IF('P21'!$E32&gt;"",'P21'!$E32&amp;" "&amp;CHAR(10)&amp;'P21'!$F32,'P21'!$E32)</f>
        <v>0</v>
      </c>
      <c r="AA36" s="89">
        <f>IF('P22'!$E32&gt;"",'P22'!$E32&amp;" "&amp;CHAR(10)&amp;'P22'!$F32,'P22'!$E32)</f>
        <v>0</v>
      </c>
      <c r="AB36" s="89">
        <f>IF('P23'!$E32&gt;"",'P23'!$E32&amp;" "&amp;CHAR(10)&amp;'P23'!$F32,'P23'!$E32)</f>
        <v>0</v>
      </c>
      <c r="AC36" s="89">
        <f>IF('P24'!$E32&gt;"",'P24'!$E32&amp;" "&amp;CHAR(10)&amp;'P24'!$F32,'P24'!$E32)</f>
        <v>0</v>
      </c>
      <c r="AD36" s="89">
        <f>IF('P25'!$E32&gt;"",'P25'!$E32&amp;" "&amp;CHAR(10)&amp;'P25'!$F32,'P25'!$E32)</f>
        <v>0</v>
      </c>
      <c r="AE36" s="89">
        <f>IF('P26'!$E32&gt;"",'P26'!$E32&amp;" "&amp;CHAR(10)&amp;'P26'!$F32,'P26'!$E32)</f>
        <v>0</v>
      </c>
      <c r="AF36" s="89">
        <f>IF('P27'!$E32&gt;"",'P27'!$E32&amp;" "&amp;CHAR(10)&amp;'P27'!$F32,'P27'!$E32)</f>
        <v>0</v>
      </c>
      <c r="AG36" s="89">
        <f>IF('P28'!$E32&gt;"",'P28'!$E32&amp;" "&amp;CHAR(10)&amp;'P28'!$F32,'P28'!$E32)</f>
        <v>0</v>
      </c>
      <c r="AH36" s="89">
        <f>IF('P29'!$E32&gt;"",'P29'!$E32&amp;" "&amp;CHAR(10)&amp;'P29'!$F32,'P29'!$E32)</f>
        <v>0</v>
      </c>
      <c r="AI36" s="89">
        <f>IF('P30'!$E32&gt;"",'P30'!$E32&amp;" "&amp;CHAR(10)&amp;'P30'!$F32,'P30'!$E32)</f>
        <v>0</v>
      </c>
      <c r="AJ36" s="89">
        <f>IF('P31'!$E32&gt;"",'P31'!$E32&amp;" "&amp;CHAR(10)&amp;'P31'!$F32,'P31'!$E32)</f>
        <v>0</v>
      </c>
      <c r="AK36" s="89">
        <f>IF('P32'!$E32&gt;"",'P32'!$E32&amp;" "&amp;CHAR(10)&amp;'P32'!$F32,'P32'!$E32)</f>
        <v>0</v>
      </c>
      <c r="AL36" s="89">
        <f>IF('P33'!$E32&gt;"",'P33'!$E32&amp;" "&amp;CHAR(10)&amp;'P33'!$F32,'P33'!$E32)</f>
        <v>0</v>
      </c>
      <c r="AM36" s="89">
        <f>IF('P34'!$E32&gt;"",'P34'!$E32&amp;" "&amp;CHAR(10)&amp;'P34'!$F32,'P34'!$E32)</f>
        <v>0</v>
      </c>
      <c r="AN36" s="89">
        <f>IF('P35'!$E32&gt;"",'P35'!$E32&amp;" "&amp;CHAR(10)&amp;'P35'!$F32,'P35'!$E32)</f>
        <v>0</v>
      </c>
      <c r="AO36" s="89">
        <f>IF('P36'!$E32&gt;"",'P36'!$E32&amp;" "&amp;CHAR(10)&amp;'P36'!$F32,'P36'!$E32)</f>
        <v>0</v>
      </c>
      <c r="AP36" s="89">
        <f>IF('P37'!$E32&gt;"",'P37'!$E32&amp;" "&amp;CHAR(10)&amp;'P37'!$F32,'P37'!$E32)</f>
        <v>0</v>
      </c>
      <c r="AQ36" s="89">
        <f>IF('P38'!$E32&gt;"",'P38'!$E32&amp;" "&amp;CHAR(10)&amp;'P38'!$F32,'P38'!$E32)</f>
        <v>0</v>
      </c>
      <c r="AR36" s="89">
        <f>IF('P39'!$E32&gt;"",'P39'!$E32&amp;" "&amp;CHAR(10)&amp;'P39'!$F32,'P39'!$E32)</f>
        <v>0</v>
      </c>
      <c r="AS36" s="89">
        <f>IF('P40'!$E32&gt;"",'P40'!$E32&amp;" "&amp;CHAR(10)&amp;'P40'!$F32,'P40'!$E32)</f>
        <v>0</v>
      </c>
      <c r="AT36" s="55">
        <f t="shared" si="5"/>
        <v>0</v>
      </c>
      <c r="AU36" s="9">
        <f t="shared" si="6"/>
        <v>0</v>
      </c>
      <c r="AV36" s="55">
        <f t="shared" si="7"/>
        <v>0</v>
      </c>
      <c r="AW36" s="38" t="str">
        <f t="shared" si="8"/>
        <v>NT</v>
      </c>
      <c r="AX36" s="12"/>
      <c r="AY36" s="10"/>
      <c r="AZ36" s="10"/>
      <c r="BA36" s="10" t="str">
        <f>IF('P01'!$G32&lt;&gt;"", 'P01'!$G32, "non")</f>
        <v>non</v>
      </c>
      <c r="BB36" s="10" t="str">
        <f>IF('P02'!$G32&lt;&gt;"", 'P02'!$G32, "non")</f>
        <v>non</v>
      </c>
      <c r="BC36" s="10" t="str">
        <f>IF('P03'!$G32&lt;&gt;"", 'P03'!$G32, "non")</f>
        <v>non</v>
      </c>
      <c r="BD36" s="10" t="str">
        <f>IF('P04'!$G32&lt;&gt;"", 'P04'!$G32, "non")</f>
        <v>non</v>
      </c>
      <c r="BE36" s="10" t="str">
        <f>IF('P05'!$G32&lt;&gt;"", 'P05'!$G32, "non")</f>
        <v>non</v>
      </c>
      <c r="BF36" s="10" t="str">
        <f>IF('P06'!$G32&lt;&gt;"", 'P06'!$G32, "non")</f>
        <v>non</v>
      </c>
      <c r="BG36" s="10" t="str">
        <f>IF('P07'!$G32&lt;&gt;"", 'P07'!$G32, "non")</f>
        <v>non</v>
      </c>
      <c r="BH36" s="10" t="str">
        <f>IF('P08'!$G32&lt;&gt;"", 'P08'!$G32, "non")</f>
        <v>non</v>
      </c>
      <c r="BI36" s="10" t="str">
        <f>IF('P09'!$G32&lt;&gt;"", 'P09'!$G32, "non")</f>
        <v>non</v>
      </c>
      <c r="BJ36" s="10" t="str">
        <f>IF('P10'!$G32&lt;&gt;"", 'P10'!$G32, "non")</f>
        <v>non</v>
      </c>
      <c r="BK36" s="10" t="str">
        <f>IF('P11'!$G32&lt;&gt;"", 'P11'!$G32, "non")</f>
        <v>non</v>
      </c>
      <c r="BL36" s="10" t="str">
        <f>IF('P12'!$G32&lt;&gt;"", 'P12'!$G32, "non")</f>
        <v>non</v>
      </c>
      <c r="BM36" s="10" t="str">
        <f>IF('P13'!$G32&lt;&gt;"", 'P13'!$G32, "non")</f>
        <v>non</v>
      </c>
      <c r="BN36" s="10" t="str">
        <f>IF('P14'!$G32&lt;&gt;"", 'P14'!$G32, "non")</f>
        <v>non</v>
      </c>
      <c r="BO36" s="10" t="str">
        <f>IF('P15'!$G32&lt;&gt;"", 'P15'!$G32, "non")</f>
        <v>non</v>
      </c>
      <c r="BP36" s="10" t="str">
        <f>IF('P16'!$G32&lt;&gt;"", 'P16'!$G32, "non")</f>
        <v>non</v>
      </c>
      <c r="BQ36" s="10" t="str">
        <f>IF('P17'!$G32&lt;&gt;"", 'P17'!$G32, "non")</f>
        <v>non</v>
      </c>
      <c r="BR36" s="10" t="str">
        <f>IF('P18'!$G32&lt;&gt;"", 'P18'!$G32, "non")</f>
        <v>non</v>
      </c>
      <c r="BS36" s="10" t="str">
        <f>IF('P19'!$G32&lt;&gt;"", 'P19'!$G32, "non")</f>
        <v>non</v>
      </c>
      <c r="BT36" s="11" t="str">
        <f>IF('P20'!$G32&lt;&gt;"", 'P20'!$G32, "non")</f>
        <v>non</v>
      </c>
      <c r="BU36" s="10" t="str">
        <f>IF('P21'!$G32&lt;&gt;"", 'P21'!$G32, "non")</f>
        <v>non</v>
      </c>
      <c r="BV36" s="11" t="str">
        <f>IF('P22'!$G32&lt;&gt;"", 'P22'!$G32, "non")</f>
        <v>non</v>
      </c>
      <c r="BW36" s="10" t="str">
        <f>IF('P23'!$G32&lt;&gt;"", 'P23'!$G32, "non")</f>
        <v>non</v>
      </c>
      <c r="BX36" s="11" t="str">
        <f>IF('P24'!$G32&lt;&gt;"", 'P24'!$G32, "non")</f>
        <v>non</v>
      </c>
      <c r="BY36" s="10" t="str">
        <f>IF('P25'!$G32&lt;&gt;"", 'P25'!$G32, "non")</f>
        <v>non</v>
      </c>
      <c r="BZ36" s="11" t="str">
        <f>IF('P26'!$G32&lt;&gt;"", 'P26'!$G32, "non")</f>
        <v>non</v>
      </c>
      <c r="CA36" s="10" t="str">
        <f>IF('P27'!$G32&lt;&gt;"", 'P27'!$G32, "non")</f>
        <v>non</v>
      </c>
      <c r="CB36" s="11" t="str">
        <f>IF('P28'!$G32&lt;&gt;"", 'P28'!$G32, "non")</f>
        <v>non</v>
      </c>
      <c r="CC36" s="10" t="str">
        <f>IF('P29'!$G32&lt;&gt;"", 'P29'!$G32, "non")</f>
        <v>non</v>
      </c>
      <c r="CD36" s="11" t="str">
        <f>IF('P30'!$G32&lt;&gt;"", 'P30'!$G32, "non")</f>
        <v>non</v>
      </c>
      <c r="CE36" s="10" t="str">
        <f>IF('P31'!$G32&lt;&gt;"", 'P31'!$G32, "non")</f>
        <v>non</v>
      </c>
      <c r="CF36" s="11" t="str">
        <f>IF('P32'!$G32&lt;&gt;"", 'P32'!$G32, "non")</f>
        <v>non</v>
      </c>
      <c r="CG36" s="10" t="str">
        <f>IF('P33'!$G32&lt;&gt;"", 'P33'!$G32, "non")</f>
        <v>non</v>
      </c>
      <c r="CH36" s="10" t="str">
        <f>IF('P34'!$G32&lt;&gt;"", 'P34'!$G32, "non")</f>
        <v>non</v>
      </c>
      <c r="CI36" s="11" t="str">
        <f>IF('P35'!$G32&lt;&gt;"", 'P35'!$G32, "non")</f>
        <v>non</v>
      </c>
      <c r="CJ36" s="10" t="str">
        <f>IF('P36'!$G32&lt;&gt;"", 'P36'!$G32, "non")</f>
        <v>non</v>
      </c>
      <c r="CK36" s="11" t="str">
        <f>IF('P37'!$G32&lt;&gt;"", 'P37'!$G32, "non")</f>
        <v>non</v>
      </c>
      <c r="CL36" s="10" t="str">
        <f>IF('P38'!$G32&lt;&gt;"", 'P38'!$G32, "non")</f>
        <v>non</v>
      </c>
      <c r="CM36" s="11" t="str">
        <f>IF('P39'!$G32&lt;&gt;"", 'P39'!$G32, "non")</f>
        <v>non</v>
      </c>
      <c r="CN36" s="10" t="str">
        <f>IF('P40'!$G32&lt;&gt;"", 'P40'!$G32, "non")</f>
        <v>non</v>
      </c>
    </row>
    <row r="37" spans="1:92" ht="39.75" customHeight="1">
      <c r="A37" s="122" t="str">
        <f>'Critères et tests'!B32</f>
        <v>TABLEAUX</v>
      </c>
      <c r="B37" s="124" t="str">
        <f>'Critères et tests'!$A32</f>
        <v>5.3</v>
      </c>
      <c r="C37" s="192" t="str">
        <f>VLOOKUP(B37,'Critères et tests'!$1:$1048576,5,FALSE)</f>
        <v>Pour chaque tableau de mise en forme, le contenu linéarisé reste-t-il compréhensible ?</v>
      </c>
      <c r="D37" s="124" t="str">
        <f>'Critères et tests'!$C32</f>
        <v>A</v>
      </c>
      <c r="E37" s="156" t="s">
        <v>460</v>
      </c>
      <c r="F37" s="88">
        <f>IF('P01'!$E33&gt;"",'P01'!$E33&amp;" "&amp;CHAR(10)&amp;'P01'!$F33,'P01'!$E33)</f>
        <v>0</v>
      </c>
      <c r="G37" s="89">
        <f>IF('P02'!$E33&gt;"",'P02'!$E33&amp;" "&amp;CHAR(10)&amp;'P02'!$F33,'P02'!$E33)</f>
        <v>0</v>
      </c>
      <c r="H37" s="89">
        <f>IF('P03'!$E33&gt;"",'P03'!$E33&amp;" "&amp;CHAR(10)&amp;'P03'!$F33,'P03'!$E33)</f>
        <v>0</v>
      </c>
      <c r="I37" s="89">
        <f>IF('P04'!$E33&gt;"",'P04'!$E33&amp;" "&amp;CHAR(10)&amp;'P04'!$F33,'P04'!$E33)</f>
        <v>0</v>
      </c>
      <c r="J37" s="89">
        <f>IF('P05'!$E33&gt;"",'P05'!$E33&amp;" "&amp;CHAR(10)&amp;'P05'!$F33,'P05'!$E33)</f>
        <v>0</v>
      </c>
      <c r="K37" s="89">
        <f>IF('P06'!$E33&gt;"",'P06'!$E33&amp;" "&amp;CHAR(10)&amp;'P06'!$F33,'P06'!$E33)</f>
        <v>0</v>
      </c>
      <c r="L37" s="89">
        <f>IF('P07'!$E33&gt;"",'P07'!$E33&amp;" "&amp;CHAR(10)&amp;'P07'!$F33,'P07'!$E33)</f>
        <v>0</v>
      </c>
      <c r="M37" s="89">
        <f>IF('P08'!$E33&gt;"",'P08'!$E33&amp;" "&amp;CHAR(10)&amp;'P08'!$F33,'P08'!$E33)</f>
        <v>0</v>
      </c>
      <c r="N37" s="89">
        <f>IF('P09'!$E33&gt;"",'P09'!$E33&amp;" "&amp;CHAR(10)&amp;'P09'!$F33,'P09'!$E33)</f>
        <v>0</v>
      </c>
      <c r="O37" s="89">
        <f>IF('P10'!$E33&gt;"",'P10'!$E33&amp;" "&amp;CHAR(10)&amp;'P10'!$F33,'P10'!$E33)</f>
        <v>0</v>
      </c>
      <c r="P37" s="89">
        <f>IF('P11'!$E33&gt;"",'P11'!$E33&amp;" "&amp;CHAR(10)&amp;'P11'!$F33,'P11'!$E33)</f>
        <v>0</v>
      </c>
      <c r="Q37" s="89">
        <f>IF('P12'!$E33&gt;"",'P12'!$E33&amp;" "&amp;CHAR(10)&amp;'P12'!$F33,'P12'!$E33)</f>
        <v>0</v>
      </c>
      <c r="R37" s="89">
        <f>IF('P13'!$E33&gt;"",'P13'!$E33&amp;" "&amp;CHAR(10)&amp;'P13'!$F33,'P13'!$E33)</f>
        <v>0</v>
      </c>
      <c r="S37" s="89">
        <f>IF('P14'!$E33&gt;"",'P14'!$E33&amp;" "&amp;CHAR(10)&amp;'P14'!$F33,'P14'!$E33)</f>
        <v>0</v>
      </c>
      <c r="T37" s="89">
        <f>IF('P15'!$E33&gt;"",'P15'!$E33&amp;" "&amp;CHAR(10)&amp;'P15'!$F33,'P15'!$E33)</f>
        <v>0</v>
      </c>
      <c r="U37" s="89">
        <f>IF('P16'!$E33&gt;"",'P16'!$E33&amp;" "&amp;CHAR(10)&amp;'P16'!$F33,'P16'!$E33)</f>
        <v>0</v>
      </c>
      <c r="V37" s="89">
        <f>IF('P17'!$E33&gt;"",'P17'!$E33&amp;" "&amp;CHAR(10)&amp;'P17'!$F33,'P17'!$E33)</f>
        <v>0</v>
      </c>
      <c r="W37" s="89">
        <f>IF('P18'!$E33&gt;"",'P18'!$E33&amp;" "&amp;CHAR(10)&amp;'P18'!$F33,'P18'!$E33)</f>
        <v>0</v>
      </c>
      <c r="X37" s="89">
        <f>IF('P19'!$E33&gt;"",'P19'!$E33&amp;" "&amp;CHAR(10)&amp;'P19'!$F33,'P19'!$E33)</f>
        <v>0</v>
      </c>
      <c r="Y37" s="89">
        <f>IF('P20'!$E33&gt;"",'P20'!$E33&amp;" "&amp;CHAR(10)&amp;'P20'!$F33,'P20'!$E33)</f>
        <v>0</v>
      </c>
      <c r="Z37" s="89">
        <f>IF('P21'!$E33&gt;"",'P21'!$E33&amp;" "&amp;CHAR(10)&amp;'P21'!$F33,'P21'!$E33)</f>
        <v>0</v>
      </c>
      <c r="AA37" s="89">
        <f>IF('P22'!$E33&gt;"",'P22'!$E33&amp;" "&amp;CHAR(10)&amp;'P22'!$F33,'P22'!$E33)</f>
        <v>0</v>
      </c>
      <c r="AB37" s="89">
        <f>IF('P23'!$E33&gt;"",'P23'!$E33&amp;" "&amp;CHAR(10)&amp;'P23'!$F33,'P23'!$E33)</f>
        <v>0</v>
      </c>
      <c r="AC37" s="89">
        <f>IF('P24'!$E33&gt;"",'P24'!$E33&amp;" "&amp;CHAR(10)&amp;'P24'!$F33,'P24'!$E33)</f>
        <v>0</v>
      </c>
      <c r="AD37" s="89">
        <f>IF('P25'!$E33&gt;"",'P25'!$E33&amp;" "&amp;CHAR(10)&amp;'P25'!$F33,'P25'!$E33)</f>
        <v>0</v>
      </c>
      <c r="AE37" s="89">
        <f>IF('P26'!$E33&gt;"",'P26'!$E33&amp;" "&amp;CHAR(10)&amp;'P26'!$F33,'P26'!$E33)</f>
        <v>0</v>
      </c>
      <c r="AF37" s="89">
        <f>IF('P27'!$E33&gt;"",'P27'!$E33&amp;" "&amp;CHAR(10)&amp;'P27'!$F33,'P27'!$E33)</f>
        <v>0</v>
      </c>
      <c r="AG37" s="89">
        <f>IF('P28'!$E33&gt;"",'P28'!$E33&amp;" "&amp;CHAR(10)&amp;'P28'!$F33,'P28'!$E33)</f>
        <v>0</v>
      </c>
      <c r="AH37" s="89">
        <f>IF('P29'!$E33&gt;"",'P29'!$E33&amp;" "&amp;CHAR(10)&amp;'P29'!$F33,'P29'!$E33)</f>
        <v>0</v>
      </c>
      <c r="AI37" s="89">
        <f>IF('P30'!$E33&gt;"",'P30'!$E33&amp;" "&amp;CHAR(10)&amp;'P30'!$F33,'P30'!$E33)</f>
        <v>0</v>
      </c>
      <c r="AJ37" s="89">
        <f>IF('P31'!$E33&gt;"",'P31'!$E33&amp;" "&amp;CHAR(10)&amp;'P31'!$F33,'P31'!$E33)</f>
        <v>0</v>
      </c>
      <c r="AK37" s="89">
        <f>IF('P32'!$E33&gt;"",'P32'!$E33&amp;" "&amp;CHAR(10)&amp;'P32'!$F33,'P32'!$E33)</f>
        <v>0</v>
      </c>
      <c r="AL37" s="89">
        <f>IF('P33'!$E33&gt;"",'P33'!$E33&amp;" "&amp;CHAR(10)&amp;'P33'!$F33,'P33'!$E33)</f>
        <v>0</v>
      </c>
      <c r="AM37" s="89">
        <f>IF('P34'!$E33&gt;"",'P34'!$E33&amp;" "&amp;CHAR(10)&amp;'P34'!$F33,'P34'!$E33)</f>
        <v>0</v>
      </c>
      <c r="AN37" s="89">
        <f>IF('P35'!$E33&gt;"",'P35'!$E33&amp;" "&amp;CHAR(10)&amp;'P35'!$F33,'P35'!$E33)</f>
        <v>0</v>
      </c>
      <c r="AO37" s="89">
        <f>IF('P36'!$E33&gt;"",'P36'!$E33&amp;" "&amp;CHAR(10)&amp;'P36'!$F33,'P36'!$E33)</f>
        <v>0</v>
      </c>
      <c r="AP37" s="89">
        <f>IF('P37'!$E33&gt;"",'P37'!$E33&amp;" "&amp;CHAR(10)&amp;'P37'!$F33,'P37'!$E33)</f>
        <v>0</v>
      </c>
      <c r="AQ37" s="89">
        <f>IF('P38'!$E33&gt;"",'P38'!$E33&amp;" "&amp;CHAR(10)&amp;'P38'!$F33,'P38'!$E33)</f>
        <v>0</v>
      </c>
      <c r="AR37" s="89">
        <f>IF('P39'!$E33&gt;"",'P39'!$E33&amp;" "&amp;CHAR(10)&amp;'P39'!$F33,'P39'!$E33)</f>
        <v>0</v>
      </c>
      <c r="AS37" s="89">
        <f>IF('P40'!$E33&gt;"",'P40'!$E33&amp;" "&amp;CHAR(10)&amp;'P40'!$F33,'P40'!$E33)</f>
        <v>0</v>
      </c>
      <c r="AT37" s="55">
        <f t="shared" si="5"/>
        <v>0</v>
      </c>
      <c r="AU37" s="9">
        <f t="shared" si="6"/>
        <v>0</v>
      </c>
      <c r="AV37" s="55">
        <f t="shared" si="7"/>
        <v>0</v>
      </c>
      <c r="AW37" s="38" t="str">
        <f t="shared" si="8"/>
        <v>NT</v>
      </c>
      <c r="AX37" s="12"/>
      <c r="AY37" s="10"/>
      <c r="AZ37" s="10"/>
      <c r="BA37" s="10" t="str">
        <f>IF('P01'!$G33&lt;&gt;"", 'P01'!$G33, "non")</f>
        <v>non</v>
      </c>
      <c r="BB37" s="10" t="str">
        <f>IF('P02'!$G33&lt;&gt;"", 'P02'!$G33, "non")</f>
        <v>non</v>
      </c>
      <c r="BC37" s="10" t="str">
        <f>IF('P03'!$G33&lt;&gt;"", 'P03'!$G33, "non")</f>
        <v>non</v>
      </c>
      <c r="BD37" s="10" t="str">
        <f>IF('P04'!$G33&lt;&gt;"", 'P04'!$G33, "non")</f>
        <v>non</v>
      </c>
      <c r="BE37" s="10" t="str">
        <f>IF('P05'!$G33&lt;&gt;"", 'P05'!$G33, "non")</f>
        <v>non</v>
      </c>
      <c r="BF37" s="10" t="str">
        <f>IF('P06'!$G33&lt;&gt;"", 'P06'!$G33, "non")</f>
        <v>non</v>
      </c>
      <c r="BG37" s="10" t="str">
        <f>IF('P07'!$G33&lt;&gt;"", 'P07'!$G33, "non")</f>
        <v>non</v>
      </c>
      <c r="BH37" s="10" t="str">
        <f>IF('P08'!$G33&lt;&gt;"", 'P08'!$G33, "non")</f>
        <v>non</v>
      </c>
      <c r="BI37" s="10" t="str">
        <f>IF('P09'!$G33&lt;&gt;"", 'P09'!$G33, "non")</f>
        <v>non</v>
      </c>
      <c r="BJ37" s="10" t="str">
        <f>IF('P10'!$G33&lt;&gt;"", 'P10'!$G33, "non")</f>
        <v>non</v>
      </c>
      <c r="BK37" s="10" t="str">
        <f>IF('P11'!$G33&lt;&gt;"", 'P11'!$G33, "non")</f>
        <v>non</v>
      </c>
      <c r="BL37" s="10" t="str">
        <f>IF('P12'!$G33&lt;&gt;"", 'P12'!$G33, "non")</f>
        <v>non</v>
      </c>
      <c r="BM37" s="10" t="str">
        <f>IF('P13'!$G33&lt;&gt;"", 'P13'!$G33, "non")</f>
        <v>non</v>
      </c>
      <c r="BN37" s="10" t="str">
        <f>IF('P14'!$G33&lt;&gt;"", 'P14'!$G33, "non")</f>
        <v>non</v>
      </c>
      <c r="BO37" s="10" t="str">
        <f>IF('P15'!$G33&lt;&gt;"", 'P15'!$G33, "non")</f>
        <v>non</v>
      </c>
      <c r="BP37" s="10" t="str">
        <f>IF('P16'!$G33&lt;&gt;"", 'P16'!$G33, "non")</f>
        <v>non</v>
      </c>
      <c r="BQ37" s="10" t="str">
        <f>IF('P17'!$G33&lt;&gt;"", 'P17'!$G33, "non")</f>
        <v>non</v>
      </c>
      <c r="BR37" s="10" t="str">
        <f>IF('P18'!$G33&lt;&gt;"", 'P18'!$G33, "non")</f>
        <v>non</v>
      </c>
      <c r="BS37" s="10" t="str">
        <f>IF('P19'!$G33&lt;&gt;"", 'P19'!$G33, "non")</f>
        <v>non</v>
      </c>
      <c r="BT37" s="11" t="str">
        <f>IF('P20'!$G33&lt;&gt;"", 'P20'!$G33, "non")</f>
        <v>non</v>
      </c>
      <c r="BU37" s="10" t="str">
        <f>IF('P21'!$G33&lt;&gt;"", 'P21'!$G33, "non")</f>
        <v>non</v>
      </c>
      <c r="BV37" s="11" t="str">
        <f>IF('P22'!$G33&lt;&gt;"", 'P22'!$G33, "non")</f>
        <v>non</v>
      </c>
      <c r="BW37" s="10" t="str">
        <f>IF('P23'!$G33&lt;&gt;"", 'P23'!$G33, "non")</f>
        <v>non</v>
      </c>
      <c r="BX37" s="11" t="str">
        <f>IF('P24'!$G33&lt;&gt;"", 'P24'!$G33, "non")</f>
        <v>non</v>
      </c>
      <c r="BY37" s="10" t="str">
        <f>IF('P25'!$G33&lt;&gt;"", 'P25'!$G33, "non")</f>
        <v>non</v>
      </c>
      <c r="BZ37" s="11" t="str">
        <f>IF('P26'!$G33&lt;&gt;"", 'P26'!$G33, "non")</f>
        <v>non</v>
      </c>
      <c r="CA37" s="10" t="str">
        <f>IF('P27'!$G33&lt;&gt;"", 'P27'!$G33, "non")</f>
        <v>non</v>
      </c>
      <c r="CB37" s="11" t="str">
        <f>IF('P28'!$G33&lt;&gt;"", 'P28'!$G33, "non")</f>
        <v>non</v>
      </c>
      <c r="CC37" s="10" t="str">
        <f>IF('P29'!$G33&lt;&gt;"", 'P29'!$G33, "non")</f>
        <v>non</v>
      </c>
      <c r="CD37" s="11" t="str">
        <f>IF('P30'!$G33&lt;&gt;"", 'P30'!$G33, "non")</f>
        <v>non</v>
      </c>
      <c r="CE37" s="10" t="str">
        <f>IF('P31'!$G33&lt;&gt;"", 'P31'!$G33, "non")</f>
        <v>non</v>
      </c>
      <c r="CF37" s="11" t="str">
        <f>IF('P32'!$G33&lt;&gt;"", 'P32'!$G33, "non")</f>
        <v>non</v>
      </c>
      <c r="CG37" s="10" t="str">
        <f>IF('P33'!$G33&lt;&gt;"", 'P33'!$G33, "non")</f>
        <v>non</v>
      </c>
      <c r="CH37" s="10" t="str">
        <f>IF('P34'!$G33&lt;&gt;"", 'P34'!$G33, "non")</f>
        <v>non</v>
      </c>
      <c r="CI37" s="11" t="str">
        <f>IF('P35'!$G33&lt;&gt;"", 'P35'!$G33, "non")</f>
        <v>non</v>
      </c>
      <c r="CJ37" s="10" t="str">
        <f>IF('P36'!$G33&lt;&gt;"", 'P36'!$G33, "non")</f>
        <v>non</v>
      </c>
      <c r="CK37" s="11" t="str">
        <f>IF('P37'!$G33&lt;&gt;"", 'P37'!$G33, "non")</f>
        <v>non</v>
      </c>
      <c r="CL37" s="10" t="str">
        <f>IF('P38'!$G33&lt;&gt;"", 'P38'!$G33, "non")</f>
        <v>non</v>
      </c>
      <c r="CM37" s="11" t="str">
        <f>IF('P39'!$G33&lt;&gt;"", 'P39'!$G33, "non")</f>
        <v>non</v>
      </c>
      <c r="CN37" s="10" t="str">
        <f>IF('P40'!$G33&lt;&gt;"", 'P40'!$G33, "non")</f>
        <v>non</v>
      </c>
    </row>
    <row r="38" spans="1:92" ht="39.75" customHeight="1">
      <c r="A38" s="122" t="str">
        <f>'Critères et tests'!B33</f>
        <v>TABLEAUX</v>
      </c>
      <c r="B38" s="124" t="str">
        <f>'Critères et tests'!$A33</f>
        <v>5.4</v>
      </c>
      <c r="C38" s="192" t="str">
        <f>VLOOKUP(B38,'Critères et tests'!$1:$1048576,5,FALSE)</f>
        <v>Pour chaque tableau de données ayant un titre, le titre est-il correctement associé au tableau de données ?</v>
      </c>
      <c r="D38" s="124" t="str">
        <f>'Critères et tests'!$C33</f>
        <v>A</v>
      </c>
      <c r="E38" s="156" t="s">
        <v>460</v>
      </c>
      <c r="F38" s="88">
        <f>IF('P01'!$E34&gt;"",'P01'!$E34&amp;" "&amp;CHAR(10)&amp;'P01'!$F34,'P01'!$E34)</f>
        <v>0</v>
      </c>
      <c r="G38" s="89">
        <f>IF('P02'!$E34&gt;"",'P02'!$E34&amp;" "&amp;CHAR(10)&amp;'P02'!$F34,'P02'!$E34)</f>
        <v>0</v>
      </c>
      <c r="H38" s="89">
        <f>IF('P03'!$E34&gt;"",'P03'!$E34&amp;" "&amp;CHAR(10)&amp;'P03'!$F34,'P03'!$E34)</f>
        <v>0</v>
      </c>
      <c r="I38" s="89">
        <f>IF('P04'!$E34&gt;"",'P04'!$E34&amp;" "&amp;CHAR(10)&amp;'P04'!$F34,'P04'!$E34)</f>
        <v>0</v>
      </c>
      <c r="J38" s="89">
        <f>IF('P05'!$E34&gt;"",'P05'!$E34&amp;" "&amp;CHAR(10)&amp;'P05'!$F34,'P05'!$E34)</f>
        <v>0</v>
      </c>
      <c r="K38" s="89">
        <f>IF('P06'!$E34&gt;"",'P06'!$E34&amp;" "&amp;CHAR(10)&amp;'P06'!$F34,'P06'!$E34)</f>
        <v>0</v>
      </c>
      <c r="L38" s="89">
        <f>IF('P07'!$E34&gt;"",'P07'!$E34&amp;" "&amp;CHAR(10)&amp;'P07'!$F34,'P07'!$E34)</f>
        <v>0</v>
      </c>
      <c r="M38" s="89">
        <f>IF('P08'!$E34&gt;"",'P08'!$E34&amp;" "&amp;CHAR(10)&amp;'P08'!$F34,'P08'!$E34)</f>
        <v>0</v>
      </c>
      <c r="N38" s="89">
        <f>IF('P09'!$E34&gt;"",'P09'!$E34&amp;" "&amp;CHAR(10)&amp;'P09'!$F34,'P09'!$E34)</f>
        <v>0</v>
      </c>
      <c r="O38" s="89">
        <f>IF('P10'!$E34&gt;"",'P10'!$E34&amp;" "&amp;CHAR(10)&amp;'P10'!$F34,'P10'!$E34)</f>
        <v>0</v>
      </c>
      <c r="P38" s="89">
        <f>IF('P11'!$E34&gt;"",'P11'!$E34&amp;" "&amp;CHAR(10)&amp;'P11'!$F34,'P11'!$E34)</f>
        <v>0</v>
      </c>
      <c r="Q38" s="89">
        <f>IF('P12'!$E34&gt;"",'P12'!$E34&amp;" "&amp;CHAR(10)&amp;'P12'!$F34,'P12'!$E34)</f>
        <v>0</v>
      </c>
      <c r="R38" s="89">
        <f>IF('P13'!$E34&gt;"",'P13'!$E34&amp;" "&amp;CHAR(10)&amp;'P13'!$F34,'P13'!$E34)</f>
        <v>0</v>
      </c>
      <c r="S38" s="89">
        <f>IF('P14'!$E34&gt;"",'P14'!$E34&amp;" "&amp;CHAR(10)&amp;'P14'!$F34,'P14'!$E34)</f>
        <v>0</v>
      </c>
      <c r="T38" s="89">
        <f>IF('P15'!$E34&gt;"",'P15'!$E34&amp;" "&amp;CHAR(10)&amp;'P15'!$F34,'P15'!$E34)</f>
        <v>0</v>
      </c>
      <c r="U38" s="89">
        <f>IF('P16'!$E34&gt;"",'P16'!$E34&amp;" "&amp;CHAR(10)&amp;'P16'!$F34,'P16'!$E34)</f>
        <v>0</v>
      </c>
      <c r="V38" s="89">
        <f>IF('P17'!$E34&gt;"",'P17'!$E34&amp;" "&amp;CHAR(10)&amp;'P17'!$F34,'P17'!$E34)</f>
        <v>0</v>
      </c>
      <c r="W38" s="89">
        <f>IF('P18'!$E34&gt;"",'P18'!$E34&amp;" "&amp;CHAR(10)&amp;'P18'!$F34,'P18'!$E34)</f>
        <v>0</v>
      </c>
      <c r="X38" s="89">
        <f>IF('P19'!$E34&gt;"",'P19'!$E34&amp;" "&amp;CHAR(10)&amp;'P19'!$F34,'P19'!$E34)</f>
        <v>0</v>
      </c>
      <c r="Y38" s="89">
        <f>IF('P20'!$E34&gt;"",'P20'!$E34&amp;" "&amp;CHAR(10)&amp;'P20'!$F34,'P20'!$E34)</f>
        <v>0</v>
      </c>
      <c r="Z38" s="89">
        <f>IF('P21'!$E34&gt;"",'P21'!$E34&amp;" "&amp;CHAR(10)&amp;'P21'!$F34,'P21'!$E34)</f>
        <v>0</v>
      </c>
      <c r="AA38" s="89">
        <f>IF('P22'!$E34&gt;"",'P22'!$E34&amp;" "&amp;CHAR(10)&amp;'P22'!$F34,'P22'!$E34)</f>
        <v>0</v>
      </c>
      <c r="AB38" s="89">
        <f>IF('P23'!$E34&gt;"",'P23'!$E34&amp;" "&amp;CHAR(10)&amp;'P23'!$F34,'P23'!$E34)</f>
        <v>0</v>
      </c>
      <c r="AC38" s="89">
        <f>IF('P24'!$E34&gt;"",'P24'!$E34&amp;" "&amp;CHAR(10)&amp;'P24'!$F34,'P24'!$E34)</f>
        <v>0</v>
      </c>
      <c r="AD38" s="89">
        <f>IF('P25'!$E34&gt;"",'P25'!$E34&amp;" "&amp;CHAR(10)&amp;'P25'!$F34,'P25'!$E34)</f>
        <v>0</v>
      </c>
      <c r="AE38" s="89">
        <f>IF('P26'!$E34&gt;"",'P26'!$E34&amp;" "&amp;CHAR(10)&amp;'P26'!$F34,'P26'!$E34)</f>
        <v>0</v>
      </c>
      <c r="AF38" s="89">
        <f>IF('P27'!$E34&gt;"",'P27'!$E34&amp;" "&amp;CHAR(10)&amp;'P27'!$F34,'P27'!$E34)</f>
        <v>0</v>
      </c>
      <c r="AG38" s="89">
        <f>IF('P28'!$E34&gt;"",'P28'!$E34&amp;" "&amp;CHAR(10)&amp;'P28'!$F34,'P28'!$E34)</f>
        <v>0</v>
      </c>
      <c r="AH38" s="89">
        <f>IF('P29'!$E34&gt;"",'P29'!$E34&amp;" "&amp;CHAR(10)&amp;'P29'!$F34,'P29'!$E34)</f>
        <v>0</v>
      </c>
      <c r="AI38" s="89">
        <f>IF('P30'!$E34&gt;"",'P30'!$E34&amp;" "&amp;CHAR(10)&amp;'P30'!$F34,'P30'!$E34)</f>
        <v>0</v>
      </c>
      <c r="AJ38" s="89">
        <f>IF('P31'!$E34&gt;"",'P31'!$E34&amp;" "&amp;CHAR(10)&amp;'P31'!$F34,'P31'!$E34)</f>
        <v>0</v>
      </c>
      <c r="AK38" s="89">
        <f>IF('P32'!$E34&gt;"",'P32'!$E34&amp;" "&amp;CHAR(10)&amp;'P32'!$F34,'P32'!$E34)</f>
        <v>0</v>
      </c>
      <c r="AL38" s="89">
        <f>IF('P33'!$E34&gt;"",'P33'!$E34&amp;" "&amp;CHAR(10)&amp;'P33'!$F34,'P33'!$E34)</f>
        <v>0</v>
      </c>
      <c r="AM38" s="89">
        <f>IF('P34'!$E34&gt;"",'P34'!$E34&amp;" "&amp;CHAR(10)&amp;'P34'!$F34,'P34'!$E34)</f>
        <v>0</v>
      </c>
      <c r="AN38" s="89">
        <f>IF('P35'!$E34&gt;"",'P35'!$E34&amp;" "&amp;CHAR(10)&amp;'P35'!$F34,'P35'!$E34)</f>
        <v>0</v>
      </c>
      <c r="AO38" s="89">
        <f>IF('P36'!$E34&gt;"",'P36'!$E34&amp;" "&amp;CHAR(10)&amp;'P36'!$F34,'P36'!$E34)</f>
        <v>0</v>
      </c>
      <c r="AP38" s="89">
        <f>IF('P37'!$E34&gt;"",'P37'!$E34&amp;" "&amp;CHAR(10)&amp;'P37'!$F34,'P37'!$E34)</f>
        <v>0</v>
      </c>
      <c r="AQ38" s="89">
        <f>IF('P38'!$E34&gt;"",'P38'!$E34&amp;" "&amp;CHAR(10)&amp;'P38'!$F34,'P38'!$E34)</f>
        <v>0</v>
      </c>
      <c r="AR38" s="89">
        <f>IF('P39'!$E34&gt;"",'P39'!$E34&amp;" "&amp;CHAR(10)&amp;'P39'!$F34,'P39'!$E34)</f>
        <v>0</v>
      </c>
      <c r="AS38" s="89">
        <f>IF('P40'!$E34&gt;"",'P40'!$E34&amp;" "&amp;CHAR(10)&amp;'P40'!$F34,'P40'!$E34)</f>
        <v>0</v>
      </c>
      <c r="AT38" s="55">
        <f t="shared" si="5"/>
        <v>0</v>
      </c>
      <c r="AU38" s="9">
        <f t="shared" si="6"/>
        <v>0</v>
      </c>
      <c r="AV38" s="55">
        <f t="shared" si="7"/>
        <v>0</v>
      </c>
      <c r="AW38" s="38" t="str">
        <f t="shared" si="8"/>
        <v>NT</v>
      </c>
      <c r="AX38" s="12"/>
      <c r="AY38" s="10"/>
      <c r="AZ38" s="10"/>
      <c r="BA38" s="10" t="str">
        <f>IF('P01'!$G34&lt;&gt;"", 'P01'!$G34, "non")</f>
        <v>non</v>
      </c>
      <c r="BB38" s="10" t="str">
        <f>IF('P02'!$G34&lt;&gt;"", 'P02'!$G34, "non")</f>
        <v>non</v>
      </c>
      <c r="BC38" s="10" t="str">
        <f>IF('P03'!$G34&lt;&gt;"", 'P03'!$G34, "non")</f>
        <v>non</v>
      </c>
      <c r="BD38" s="10" t="str">
        <f>IF('P04'!$G34&lt;&gt;"", 'P04'!$G34, "non")</f>
        <v>non</v>
      </c>
      <c r="BE38" s="10" t="str">
        <f>IF('P05'!$G34&lt;&gt;"", 'P05'!$G34, "non")</f>
        <v>non</v>
      </c>
      <c r="BF38" s="10" t="str">
        <f>IF('P06'!$G34&lt;&gt;"", 'P06'!$G34, "non")</f>
        <v>non</v>
      </c>
      <c r="BG38" s="10" t="str">
        <f>IF('P07'!$G34&lt;&gt;"", 'P07'!$G34, "non")</f>
        <v>non</v>
      </c>
      <c r="BH38" s="10" t="str">
        <f>IF('P08'!$G34&lt;&gt;"", 'P08'!$G34, "non")</f>
        <v>non</v>
      </c>
      <c r="BI38" s="10" t="str">
        <f>IF('P09'!$G34&lt;&gt;"", 'P09'!$G34, "non")</f>
        <v>non</v>
      </c>
      <c r="BJ38" s="10" t="str">
        <f>IF('P10'!$G34&lt;&gt;"", 'P10'!$G34, "non")</f>
        <v>non</v>
      </c>
      <c r="BK38" s="10" t="str">
        <f>IF('P11'!$G34&lt;&gt;"", 'P11'!$G34, "non")</f>
        <v>non</v>
      </c>
      <c r="BL38" s="10" t="str">
        <f>IF('P12'!$G34&lt;&gt;"", 'P12'!$G34, "non")</f>
        <v>non</v>
      </c>
      <c r="BM38" s="10" t="str">
        <f>IF('P13'!$G34&lt;&gt;"", 'P13'!$G34, "non")</f>
        <v>non</v>
      </c>
      <c r="BN38" s="10" t="str">
        <f>IF('P14'!$G34&lt;&gt;"", 'P14'!$G34, "non")</f>
        <v>non</v>
      </c>
      <c r="BO38" s="10" t="str">
        <f>IF('P15'!$G34&lt;&gt;"", 'P15'!$G34, "non")</f>
        <v>non</v>
      </c>
      <c r="BP38" s="10" t="str">
        <f>IF('P16'!$G34&lt;&gt;"", 'P16'!$G34, "non")</f>
        <v>non</v>
      </c>
      <c r="BQ38" s="10" t="str">
        <f>IF('P17'!$G34&lt;&gt;"", 'P17'!$G34, "non")</f>
        <v>non</v>
      </c>
      <c r="BR38" s="10" t="str">
        <f>IF('P18'!$G34&lt;&gt;"", 'P18'!$G34, "non")</f>
        <v>non</v>
      </c>
      <c r="BS38" s="10" t="str">
        <f>IF('P19'!$G34&lt;&gt;"", 'P19'!$G34, "non")</f>
        <v>non</v>
      </c>
      <c r="BT38" s="11" t="str">
        <f>IF('P20'!$G34&lt;&gt;"", 'P20'!$G34, "non")</f>
        <v>non</v>
      </c>
      <c r="BU38" s="10" t="str">
        <f>IF('P21'!$G34&lt;&gt;"", 'P21'!$G34, "non")</f>
        <v>non</v>
      </c>
      <c r="BV38" s="11" t="str">
        <f>IF('P22'!$G34&lt;&gt;"", 'P22'!$G34, "non")</f>
        <v>non</v>
      </c>
      <c r="BW38" s="10" t="str">
        <f>IF('P23'!$G34&lt;&gt;"", 'P23'!$G34, "non")</f>
        <v>non</v>
      </c>
      <c r="BX38" s="11" t="str">
        <f>IF('P24'!$G34&lt;&gt;"", 'P24'!$G34, "non")</f>
        <v>non</v>
      </c>
      <c r="BY38" s="10" t="str">
        <f>IF('P25'!$G34&lt;&gt;"", 'P25'!$G34, "non")</f>
        <v>non</v>
      </c>
      <c r="BZ38" s="11" t="str">
        <f>IF('P26'!$G34&lt;&gt;"", 'P26'!$G34, "non")</f>
        <v>non</v>
      </c>
      <c r="CA38" s="10" t="str">
        <f>IF('P27'!$G34&lt;&gt;"", 'P27'!$G34, "non")</f>
        <v>non</v>
      </c>
      <c r="CB38" s="11" t="str">
        <f>IF('P28'!$G34&lt;&gt;"", 'P28'!$G34, "non")</f>
        <v>non</v>
      </c>
      <c r="CC38" s="10" t="str">
        <f>IF('P29'!$G34&lt;&gt;"", 'P29'!$G34, "non")</f>
        <v>non</v>
      </c>
      <c r="CD38" s="11" t="str">
        <f>IF('P30'!$G34&lt;&gt;"", 'P30'!$G34, "non")</f>
        <v>non</v>
      </c>
      <c r="CE38" s="10" t="str">
        <f>IF('P31'!$G34&lt;&gt;"", 'P31'!$G34, "non")</f>
        <v>non</v>
      </c>
      <c r="CF38" s="11" t="str">
        <f>IF('P32'!$G34&lt;&gt;"", 'P32'!$G34, "non")</f>
        <v>non</v>
      </c>
      <c r="CG38" s="10" t="str">
        <f>IF('P33'!$G34&lt;&gt;"", 'P33'!$G34, "non")</f>
        <v>non</v>
      </c>
      <c r="CH38" s="10" t="str">
        <f>IF('P34'!$G34&lt;&gt;"", 'P34'!$G34, "non")</f>
        <v>non</v>
      </c>
      <c r="CI38" s="11" t="str">
        <f>IF('P35'!$G34&lt;&gt;"", 'P35'!$G34, "non")</f>
        <v>non</v>
      </c>
      <c r="CJ38" s="10" t="str">
        <f>IF('P36'!$G34&lt;&gt;"", 'P36'!$G34, "non")</f>
        <v>non</v>
      </c>
      <c r="CK38" s="11" t="str">
        <f>IF('P37'!$G34&lt;&gt;"", 'P37'!$G34, "non")</f>
        <v>non</v>
      </c>
      <c r="CL38" s="10" t="str">
        <f>IF('P38'!$G34&lt;&gt;"", 'P38'!$G34, "non")</f>
        <v>non</v>
      </c>
      <c r="CM38" s="11" t="str">
        <f>IF('P39'!$G34&lt;&gt;"", 'P39'!$G34, "non")</f>
        <v>non</v>
      </c>
      <c r="CN38" s="10" t="str">
        <f>IF('P40'!$G34&lt;&gt;"", 'P40'!$G34, "non")</f>
        <v>non</v>
      </c>
    </row>
    <row r="39" spans="1:92" ht="39.75" customHeight="1">
      <c r="A39" s="122" t="str">
        <f>'Critères et tests'!B34</f>
        <v>TABLEAUX</v>
      </c>
      <c r="B39" s="124" t="str">
        <f>'Critères et tests'!$A34</f>
        <v>5.5</v>
      </c>
      <c r="C39" s="192" t="str">
        <f>VLOOKUP(B39,'Critères et tests'!$1:$1048576,5,FALSE)</f>
        <v>Pour chaque tableau de données ayant un titre, celui-ci est-il pertinent ?</v>
      </c>
      <c r="D39" s="124" t="str">
        <f>'Critères et tests'!$C34</f>
        <v>A</v>
      </c>
      <c r="E39" s="156" t="s">
        <v>460</v>
      </c>
      <c r="F39" s="88">
        <f>IF('P01'!$E35&gt;"",'P01'!$E35&amp;" "&amp;CHAR(10)&amp;'P01'!$F35,'P01'!$E35)</f>
        <v>0</v>
      </c>
      <c r="G39" s="89">
        <f>IF('P02'!$E35&gt;"",'P02'!$E35&amp;" "&amp;CHAR(10)&amp;'P02'!$F35,'P02'!$E35)</f>
        <v>0</v>
      </c>
      <c r="H39" s="89">
        <f>IF('P03'!$E35&gt;"",'P03'!$E35&amp;" "&amp;CHAR(10)&amp;'P03'!$F35,'P03'!$E35)</f>
        <v>0</v>
      </c>
      <c r="I39" s="89">
        <f>IF('P04'!$E35&gt;"",'P04'!$E35&amp;" "&amp;CHAR(10)&amp;'P04'!$F35,'P04'!$E35)</f>
        <v>0</v>
      </c>
      <c r="J39" s="89">
        <f>IF('P05'!$E35&gt;"",'P05'!$E35&amp;" "&amp;CHAR(10)&amp;'P05'!$F35,'P05'!$E35)</f>
        <v>0</v>
      </c>
      <c r="K39" s="89">
        <f>IF('P06'!$E35&gt;"",'P06'!$E35&amp;" "&amp;CHAR(10)&amp;'P06'!$F35,'P06'!$E35)</f>
        <v>0</v>
      </c>
      <c r="L39" s="89">
        <f>IF('P07'!$E35&gt;"",'P07'!$E35&amp;" "&amp;CHAR(10)&amp;'P07'!$F35,'P07'!$E35)</f>
        <v>0</v>
      </c>
      <c r="M39" s="89">
        <f>IF('P08'!$E35&gt;"",'P08'!$E35&amp;" "&amp;CHAR(10)&amp;'P08'!$F35,'P08'!$E35)</f>
        <v>0</v>
      </c>
      <c r="N39" s="89">
        <f>IF('P09'!$E35&gt;"",'P09'!$E35&amp;" "&amp;CHAR(10)&amp;'P09'!$F35,'P09'!$E35)</f>
        <v>0</v>
      </c>
      <c r="O39" s="89">
        <f>IF('P10'!$E35&gt;"",'P10'!$E35&amp;" "&amp;CHAR(10)&amp;'P10'!$F35,'P10'!$E35)</f>
        <v>0</v>
      </c>
      <c r="P39" s="89">
        <f>IF('P11'!$E35&gt;"",'P11'!$E35&amp;" "&amp;CHAR(10)&amp;'P11'!$F35,'P11'!$E35)</f>
        <v>0</v>
      </c>
      <c r="Q39" s="89">
        <f>IF('P12'!$E35&gt;"",'P12'!$E35&amp;" "&amp;CHAR(10)&amp;'P12'!$F35,'P12'!$E35)</f>
        <v>0</v>
      </c>
      <c r="R39" s="89">
        <f>IF('P13'!$E35&gt;"",'P13'!$E35&amp;" "&amp;CHAR(10)&amp;'P13'!$F35,'P13'!$E35)</f>
        <v>0</v>
      </c>
      <c r="S39" s="89">
        <f>IF('P14'!$E35&gt;"",'P14'!$E35&amp;" "&amp;CHAR(10)&amp;'P14'!$F35,'P14'!$E35)</f>
        <v>0</v>
      </c>
      <c r="T39" s="89">
        <f>IF('P15'!$E35&gt;"",'P15'!$E35&amp;" "&amp;CHAR(10)&amp;'P15'!$F35,'P15'!$E35)</f>
        <v>0</v>
      </c>
      <c r="U39" s="89">
        <f>IF('P16'!$E35&gt;"",'P16'!$E35&amp;" "&amp;CHAR(10)&amp;'P16'!$F35,'P16'!$E35)</f>
        <v>0</v>
      </c>
      <c r="V39" s="89">
        <f>IF('P17'!$E35&gt;"",'P17'!$E35&amp;" "&amp;CHAR(10)&amp;'P17'!$F35,'P17'!$E35)</f>
        <v>0</v>
      </c>
      <c r="W39" s="89">
        <f>IF('P18'!$E35&gt;"",'P18'!$E35&amp;" "&amp;CHAR(10)&amp;'P18'!$F35,'P18'!$E35)</f>
        <v>0</v>
      </c>
      <c r="X39" s="89">
        <f>IF('P19'!$E35&gt;"",'P19'!$E35&amp;" "&amp;CHAR(10)&amp;'P19'!$F35,'P19'!$E35)</f>
        <v>0</v>
      </c>
      <c r="Y39" s="89">
        <f>IF('P20'!$E35&gt;"",'P20'!$E35&amp;" "&amp;CHAR(10)&amp;'P20'!$F35,'P20'!$E35)</f>
        <v>0</v>
      </c>
      <c r="Z39" s="89">
        <f>IF('P21'!$E35&gt;"",'P21'!$E35&amp;" "&amp;CHAR(10)&amp;'P21'!$F35,'P21'!$E35)</f>
        <v>0</v>
      </c>
      <c r="AA39" s="89">
        <f>IF('P22'!$E35&gt;"",'P22'!$E35&amp;" "&amp;CHAR(10)&amp;'P22'!$F35,'P22'!$E35)</f>
        <v>0</v>
      </c>
      <c r="AB39" s="89">
        <f>IF('P23'!$E35&gt;"",'P23'!$E35&amp;" "&amp;CHAR(10)&amp;'P23'!$F35,'P23'!$E35)</f>
        <v>0</v>
      </c>
      <c r="AC39" s="89">
        <f>IF('P24'!$E35&gt;"",'P24'!$E35&amp;" "&amp;CHAR(10)&amp;'P24'!$F35,'P24'!$E35)</f>
        <v>0</v>
      </c>
      <c r="AD39" s="89">
        <f>IF('P25'!$E35&gt;"",'P25'!$E35&amp;" "&amp;CHAR(10)&amp;'P25'!$F35,'P25'!$E35)</f>
        <v>0</v>
      </c>
      <c r="AE39" s="89">
        <f>IF('P26'!$E35&gt;"",'P26'!$E35&amp;" "&amp;CHAR(10)&amp;'P26'!$F35,'P26'!$E35)</f>
        <v>0</v>
      </c>
      <c r="AF39" s="89">
        <f>IF('P27'!$E35&gt;"",'P27'!$E35&amp;" "&amp;CHAR(10)&amp;'P27'!$F35,'P27'!$E35)</f>
        <v>0</v>
      </c>
      <c r="AG39" s="89">
        <f>IF('P28'!$E35&gt;"",'P28'!$E35&amp;" "&amp;CHAR(10)&amp;'P28'!$F35,'P28'!$E35)</f>
        <v>0</v>
      </c>
      <c r="AH39" s="89">
        <f>IF('P29'!$E35&gt;"",'P29'!$E35&amp;" "&amp;CHAR(10)&amp;'P29'!$F35,'P29'!$E35)</f>
        <v>0</v>
      </c>
      <c r="AI39" s="89">
        <f>IF('P30'!$E35&gt;"",'P30'!$E35&amp;" "&amp;CHAR(10)&amp;'P30'!$F35,'P30'!$E35)</f>
        <v>0</v>
      </c>
      <c r="AJ39" s="89">
        <f>IF('P31'!$E35&gt;"",'P31'!$E35&amp;" "&amp;CHAR(10)&amp;'P31'!$F35,'P31'!$E35)</f>
        <v>0</v>
      </c>
      <c r="AK39" s="89">
        <f>IF('P32'!$E35&gt;"",'P32'!$E35&amp;" "&amp;CHAR(10)&amp;'P32'!$F35,'P32'!$E35)</f>
        <v>0</v>
      </c>
      <c r="AL39" s="89">
        <f>IF('P33'!$E35&gt;"",'P33'!$E35&amp;" "&amp;CHAR(10)&amp;'P33'!$F35,'P33'!$E35)</f>
        <v>0</v>
      </c>
      <c r="AM39" s="89">
        <f>IF('P34'!$E35&gt;"",'P34'!$E35&amp;" "&amp;CHAR(10)&amp;'P34'!$F35,'P34'!$E35)</f>
        <v>0</v>
      </c>
      <c r="AN39" s="89">
        <f>IF('P35'!$E35&gt;"",'P35'!$E35&amp;" "&amp;CHAR(10)&amp;'P35'!$F35,'P35'!$E35)</f>
        <v>0</v>
      </c>
      <c r="AO39" s="89">
        <f>IF('P36'!$E35&gt;"",'P36'!$E35&amp;" "&amp;CHAR(10)&amp;'P36'!$F35,'P36'!$E35)</f>
        <v>0</v>
      </c>
      <c r="AP39" s="89">
        <f>IF('P37'!$E35&gt;"",'P37'!$E35&amp;" "&amp;CHAR(10)&amp;'P37'!$F35,'P37'!$E35)</f>
        <v>0</v>
      </c>
      <c r="AQ39" s="89">
        <f>IF('P38'!$E35&gt;"",'P38'!$E35&amp;" "&amp;CHAR(10)&amp;'P38'!$F35,'P38'!$E35)</f>
        <v>0</v>
      </c>
      <c r="AR39" s="89">
        <f>IF('P39'!$E35&gt;"",'P39'!$E35&amp;" "&amp;CHAR(10)&amp;'P39'!$F35,'P39'!$E35)</f>
        <v>0</v>
      </c>
      <c r="AS39" s="89">
        <f>IF('P40'!$E35&gt;"",'P40'!$E35&amp;" "&amp;CHAR(10)&amp;'P40'!$F35,'P40'!$E35)</f>
        <v>0</v>
      </c>
      <c r="AT39" s="55">
        <f t="shared" si="5"/>
        <v>0</v>
      </c>
      <c r="AU39" s="9">
        <f t="shared" si="6"/>
        <v>0</v>
      </c>
      <c r="AV39" s="55">
        <f t="shared" si="7"/>
        <v>0</v>
      </c>
      <c r="AW39" s="38" t="str">
        <f t="shared" si="8"/>
        <v>NT</v>
      </c>
      <c r="AX39" s="12"/>
      <c r="AY39" s="10"/>
      <c r="AZ39" s="10"/>
      <c r="BA39" s="10" t="str">
        <f>IF('P01'!$G35&lt;&gt;"", 'P01'!$G35, "non")</f>
        <v>non</v>
      </c>
      <c r="BB39" s="10" t="str">
        <f>IF('P02'!$G35&lt;&gt;"", 'P02'!$G35, "non")</f>
        <v>non</v>
      </c>
      <c r="BC39" s="10" t="str">
        <f>IF('P03'!$G35&lt;&gt;"", 'P03'!$G35, "non")</f>
        <v>non</v>
      </c>
      <c r="BD39" s="10" t="str">
        <f>IF('P04'!$G35&lt;&gt;"", 'P04'!$G35, "non")</f>
        <v>non</v>
      </c>
      <c r="BE39" s="10" t="str">
        <f>IF('P05'!$G35&lt;&gt;"", 'P05'!$G35, "non")</f>
        <v>non</v>
      </c>
      <c r="BF39" s="10" t="str">
        <f>IF('P06'!$G35&lt;&gt;"", 'P06'!$G35, "non")</f>
        <v>non</v>
      </c>
      <c r="BG39" s="10" t="str">
        <f>IF('P07'!$G35&lt;&gt;"", 'P07'!$G35, "non")</f>
        <v>non</v>
      </c>
      <c r="BH39" s="10" t="str">
        <f>IF('P08'!$G35&lt;&gt;"", 'P08'!$G35, "non")</f>
        <v>non</v>
      </c>
      <c r="BI39" s="10" t="str">
        <f>IF('P09'!$G35&lt;&gt;"", 'P09'!$G35, "non")</f>
        <v>non</v>
      </c>
      <c r="BJ39" s="10" t="str">
        <f>IF('P10'!$G35&lt;&gt;"", 'P10'!$G35, "non")</f>
        <v>non</v>
      </c>
      <c r="BK39" s="10" t="str">
        <f>IF('P11'!$G35&lt;&gt;"", 'P11'!$G35, "non")</f>
        <v>non</v>
      </c>
      <c r="BL39" s="10" t="str">
        <f>IF('P12'!$G35&lt;&gt;"", 'P12'!$G35, "non")</f>
        <v>non</v>
      </c>
      <c r="BM39" s="10" t="str">
        <f>IF('P13'!$G35&lt;&gt;"", 'P13'!$G35, "non")</f>
        <v>non</v>
      </c>
      <c r="BN39" s="10" t="str">
        <f>IF('P14'!$G35&lt;&gt;"", 'P14'!$G35, "non")</f>
        <v>non</v>
      </c>
      <c r="BO39" s="10" t="str">
        <f>IF('P15'!$G35&lt;&gt;"", 'P15'!$G35, "non")</f>
        <v>non</v>
      </c>
      <c r="BP39" s="10" t="str">
        <f>IF('P16'!$G35&lt;&gt;"", 'P16'!$G35, "non")</f>
        <v>non</v>
      </c>
      <c r="BQ39" s="10" t="str">
        <f>IF('P17'!$G35&lt;&gt;"", 'P17'!$G35, "non")</f>
        <v>non</v>
      </c>
      <c r="BR39" s="10" t="str">
        <f>IF('P18'!$G35&lt;&gt;"", 'P18'!$G35, "non")</f>
        <v>non</v>
      </c>
      <c r="BS39" s="10" t="str">
        <f>IF('P19'!$G35&lt;&gt;"", 'P19'!$G35, "non")</f>
        <v>non</v>
      </c>
      <c r="BT39" s="11" t="str">
        <f>IF('P20'!$G35&lt;&gt;"", 'P20'!$G35, "non")</f>
        <v>non</v>
      </c>
      <c r="BU39" s="10" t="str">
        <f>IF('P21'!$G35&lt;&gt;"", 'P21'!$G35, "non")</f>
        <v>non</v>
      </c>
      <c r="BV39" s="11" t="str">
        <f>IF('P22'!$G35&lt;&gt;"", 'P22'!$G35, "non")</f>
        <v>non</v>
      </c>
      <c r="BW39" s="10" t="str">
        <f>IF('P23'!$G35&lt;&gt;"", 'P23'!$G35, "non")</f>
        <v>non</v>
      </c>
      <c r="BX39" s="11" t="str">
        <f>IF('P24'!$G35&lt;&gt;"", 'P24'!$G35, "non")</f>
        <v>non</v>
      </c>
      <c r="BY39" s="10" t="str">
        <f>IF('P25'!$G35&lt;&gt;"", 'P25'!$G35, "non")</f>
        <v>non</v>
      </c>
      <c r="BZ39" s="11" t="str">
        <f>IF('P26'!$G35&lt;&gt;"", 'P26'!$G35, "non")</f>
        <v>non</v>
      </c>
      <c r="CA39" s="10" t="str">
        <f>IF('P27'!$G35&lt;&gt;"", 'P27'!$G35, "non")</f>
        <v>non</v>
      </c>
      <c r="CB39" s="11" t="str">
        <f>IF('P28'!$G35&lt;&gt;"", 'P28'!$G35, "non")</f>
        <v>non</v>
      </c>
      <c r="CC39" s="10" t="str">
        <f>IF('P29'!$G35&lt;&gt;"", 'P29'!$G35, "non")</f>
        <v>non</v>
      </c>
      <c r="CD39" s="11" t="str">
        <f>IF('P30'!$G35&lt;&gt;"", 'P30'!$G35, "non")</f>
        <v>non</v>
      </c>
      <c r="CE39" s="10" t="str">
        <f>IF('P31'!$G35&lt;&gt;"", 'P31'!$G35, "non")</f>
        <v>non</v>
      </c>
      <c r="CF39" s="11" t="str">
        <f>IF('P32'!$G35&lt;&gt;"", 'P32'!$G35, "non")</f>
        <v>non</v>
      </c>
      <c r="CG39" s="10" t="str">
        <f>IF('P33'!$G35&lt;&gt;"", 'P33'!$G35, "non")</f>
        <v>non</v>
      </c>
      <c r="CH39" s="10" t="str">
        <f>IF('P34'!$G35&lt;&gt;"", 'P34'!$G35, "non")</f>
        <v>non</v>
      </c>
      <c r="CI39" s="11" t="str">
        <f>IF('P35'!$G35&lt;&gt;"", 'P35'!$G35, "non")</f>
        <v>non</v>
      </c>
      <c r="CJ39" s="10" t="str">
        <f>IF('P36'!$G35&lt;&gt;"", 'P36'!$G35, "non")</f>
        <v>non</v>
      </c>
      <c r="CK39" s="11" t="str">
        <f>IF('P37'!$G35&lt;&gt;"", 'P37'!$G35, "non")</f>
        <v>non</v>
      </c>
      <c r="CL39" s="10" t="str">
        <f>IF('P38'!$G35&lt;&gt;"", 'P38'!$G35, "non")</f>
        <v>non</v>
      </c>
      <c r="CM39" s="11" t="str">
        <f>IF('P39'!$G35&lt;&gt;"", 'P39'!$G35, "non")</f>
        <v>non</v>
      </c>
      <c r="CN39" s="10" t="str">
        <f>IF('P40'!$G35&lt;&gt;"", 'P40'!$G35, "non")</f>
        <v>non</v>
      </c>
    </row>
    <row r="40" spans="1:92" ht="39.75" customHeight="1">
      <c r="A40" s="122" t="str">
        <f>'Critères et tests'!B35</f>
        <v>TABLEAUX</v>
      </c>
      <c r="B40" s="124" t="str">
        <f>'Critères et tests'!$A35</f>
        <v>5.6</v>
      </c>
      <c r="C40" s="192" t="str">
        <f>VLOOKUP(B40,'Critères et tests'!$1:$1048576,5,FALSE)</f>
        <v>Pour chaque tableau de données, chaque en-tête de colonnes et chaque en-tête de lignes sont-ils correctement déclarés ?</v>
      </c>
      <c r="D40" s="124" t="str">
        <f>'Critères et tests'!$C35</f>
        <v>A</v>
      </c>
      <c r="E40" s="156" t="s">
        <v>460</v>
      </c>
      <c r="F40" s="88">
        <f>IF('P01'!$E36&gt;"",'P01'!$E36&amp;" "&amp;CHAR(10)&amp;'P01'!$F36,'P01'!$E36)</f>
        <v>0</v>
      </c>
      <c r="G40" s="89">
        <f>IF('P02'!$E36&gt;"",'P02'!$E36&amp;" "&amp;CHAR(10)&amp;'P02'!$F36,'P02'!$E36)</f>
        <v>0</v>
      </c>
      <c r="H40" s="89">
        <f>IF('P03'!$E36&gt;"",'P03'!$E36&amp;" "&amp;CHAR(10)&amp;'P03'!$F36,'P03'!$E36)</f>
        <v>0</v>
      </c>
      <c r="I40" s="89">
        <f>IF('P04'!$E36&gt;"",'P04'!$E36&amp;" "&amp;CHAR(10)&amp;'P04'!$F36,'P04'!$E36)</f>
        <v>0</v>
      </c>
      <c r="J40" s="89">
        <f>IF('P05'!$E36&gt;"",'P05'!$E36&amp;" "&amp;CHAR(10)&amp;'P05'!$F36,'P05'!$E36)</f>
        <v>0</v>
      </c>
      <c r="K40" s="89">
        <f>IF('P06'!$E36&gt;"",'P06'!$E36&amp;" "&amp;CHAR(10)&amp;'P06'!$F36,'P06'!$E36)</f>
        <v>0</v>
      </c>
      <c r="L40" s="89">
        <f>IF('P07'!$E36&gt;"",'P07'!$E36&amp;" "&amp;CHAR(10)&amp;'P07'!$F36,'P07'!$E36)</f>
        <v>0</v>
      </c>
      <c r="M40" s="89">
        <f>IF('P08'!$E36&gt;"",'P08'!$E36&amp;" "&amp;CHAR(10)&amp;'P08'!$F36,'P08'!$E36)</f>
        <v>0</v>
      </c>
      <c r="N40" s="89">
        <f>IF('P09'!$E36&gt;"",'P09'!$E36&amp;" "&amp;CHAR(10)&amp;'P09'!$F36,'P09'!$E36)</f>
        <v>0</v>
      </c>
      <c r="O40" s="89">
        <f>IF('P10'!$E36&gt;"",'P10'!$E36&amp;" "&amp;CHAR(10)&amp;'P10'!$F36,'P10'!$E36)</f>
        <v>0</v>
      </c>
      <c r="P40" s="89">
        <f>IF('P11'!$E36&gt;"",'P11'!$E36&amp;" "&amp;CHAR(10)&amp;'P11'!$F36,'P11'!$E36)</f>
        <v>0</v>
      </c>
      <c r="Q40" s="89">
        <f>IF('P12'!$E36&gt;"",'P12'!$E36&amp;" "&amp;CHAR(10)&amp;'P12'!$F36,'P12'!$E36)</f>
        <v>0</v>
      </c>
      <c r="R40" s="89">
        <f>IF('P13'!$E36&gt;"",'P13'!$E36&amp;" "&amp;CHAR(10)&amp;'P13'!$F36,'P13'!$E36)</f>
        <v>0</v>
      </c>
      <c r="S40" s="89">
        <f>IF('P14'!$E36&gt;"",'P14'!$E36&amp;" "&amp;CHAR(10)&amp;'P14'!$F36,'P14'!$E36)</f>
        <v>0</v>
      </c>
      <c r="T40" s="89">
        <f>IF('P15'!$E36&gt;"",'P15'!$E36&amp;" "&amp;CHAR(10)&amp;'P15'!$F36,'P15'!$E36)</f>
        <v>0</v>
      </c>
      <c r="U40" s="89">
        <f>IF('P16'!$E36&gt;"",'P16'!$E36&amp;" "&amp;CHAR(10)&amp;'P16'!$F36,'P16'!$E36)</f>
        <v>0</v>
      </c>
      <c r="V40" s="89">
        <f>IF('P17'!$E36&gt;"",'P17'!$E36&amp;" "&amp;CHAR(10)&amp;'P17'!$F36,'P17'!$E36)</f>
        <v>0</v>
      </c>
      <c r="W40" s="89">
        <f>IF('P18'!$E36&gt;"",'P18'!$E36&amp;" "&amp;CHAR(10)&amp;'P18'!$F36,'P18'!$E36)</f>
        <v>0</v>
      </c>
      <c r="X40" s="89">
        <f>IF('P19'!$E36&gt;"",'P19'!$E36&amp;" "&amp;CHAR(10)&amp;'P19'!$F36,'P19'!$E36)</f>
        <v>0</v>
      </c>
      <c r="Y40" s="89">
        <f>IF('P20'!$E36&gt;"",'P20'!$E36&amp;" "&amp;CHAR(10)&amp;'P20'!$F36,'P20'!$E36)</f>
        <v>0</v>
      </c>
      <c r="Z40" s="89">
        <f>IF('P21'!$E36&gt;"",'P21'!$E36&amp;" "&amp;CHAR(10)&amp;'P21'!$F36,'P21'!$E36)</f>
        <v>0</v>
      </c>
      <c r="AA40" s="89">
        <f>IF('P22'!$E36&gt;"",'P22'!$E36&amp;" "&amp;CHAR(10)&amp;'P22'!$F36,'P22'!$E36)</f>
        <v>0</v>
      </c>
      <c r="AB40" s="89">
        <f>IF('P23'!$E36&gt;"",'P23'!$E36&amp;" "&amp;CHAR(10)&amp;'P23'!$F36,'P23'!$E36)</f>
        <v>0</v>
      </c>
      <c r="AC40" s="89">
        <f>IF('P24'!$E36&gt;"",'P24'!$E36&amp;" "&amp;CHAR(10)&amp;'P24'!$F36,'P24'!$E36)</f>
        <v>0</v>
      </c>
      <c r="AD40" s="89">
        <f>IF('P25'!$E36&gt;"",'P25'!$E36&amp;" "&amp;CHAR(10)&amp;'P25'!$F36,'P25'!$E36)</f>
        <v>0</v>
      </c>
      <c r="AE40" s="89">
        <f>IF('P26'!$E36&gt;"",'P26'!$E36&amp;" "&amp;CHAR(10)&amp;'P26'!$F36,'P26'!$E36)</f>
        <v>0</v>
      </c>
      <c r="AF40" s="89">
        <f>IF('P27'!$E36&gt;"",'P27'!$E36&amp;" "&amp;CHAR(10)&amp;'P27'!$F36,'P27'!$E36)</f>
        <v>0</v>
      </c>
      <c r="AG40" s="89">
        <f>IF('P28'!$E36&gt;"",'P28'!$E36&amp;" "&amp;CHAR(10)&amp;'P28'!$F36,'P28'!$E36)</f>
        <v>0</v>
      </c>
      <c r="AH40" s="89">
        <f>IF('P29'!$E36&gt;"",'P29'!$E36&amp;" "&amp;CHAR(10)&amp;'P29'!$F36,'P29'!$E36)</f>
        <v>0</v>
      </c>
      <c r="AI40" s="89">
        <f>IF('P30'!$E36&gt;"",'P30'!$E36&amp;" "&amp;CHAR(10)&amp;'P30'!$F36,'P30'!$E36)</f>
        <v>0</v>
      </c>
      <c r="AJ40" s="89">
        <f>IF('P31'!$E36&gt;"",'P31'!$E36&amp;" "&amp;CHAR(10)&amp;'P31'!$F36,'P31'!$E36)</f>
        <v>0</v>
      </c>
      <c r="AK40" s="89">
        <f>IF('P32'!$E36&gt;"",'P32'!$E36&amp;" "&amp;CHAR(10)&amp;'P32'!$F36,'P32'!$E36)</f>
        <v>0</v>
      </c>
      <c r="AL40" s="89">
        <f>IF('P33'!$E36&gt;"",'P33'!$E36&amp;" "&amp;CHAR(10)&amp;'P33'!$F36,'P33'!$E36)</f>
        <v>0</v>
      </c>
      <c r="AM40" s="89">
        <f>IF('P34'!$E36&gt;"",'P34'!$E36&amp;" "&amp;CHAR(10)&amp;'P34'!$F36,'P34'!$E36)</f>
        <v>0</v>
      </c>
      <c r="AN40" s="89">
        <f>IF('P35'!$E36&gt;"",'P35'!$E36&amp;" "&amp;CHAR(10)&amp;'P35'!$F36,'P35'!$E36)</f>
        <v>0</v>
      </c>
      <c r="AO40" s="89">
        <f>IF('P36'!$E36&gt;"",'P36'!$E36&amp;" "&amp;CHAR(10)&amp;'P36'!$F36,'P36'!$E36)</f>
        <v>0</v>
      </c>
      <c r="AP40" s="89">
        <f>IF('P37'!$E36&gt;"",'P37'!$E36&amp;" "&amp;CHAR(10)&amp;'P37'!$F36,'P37'!$E36)</f>
        <v>0</v>
      </c>
      <c r="AQ40" s="89">
        <f>IF('P38'!$E36&gt;"",'P38'!$E36&amp;" "&amp;CHAR(10)&amp;'P38'!$F36,'P38'!$E36)</f>
        <v>0</v>
      </c>
      <c r="AR40" s="89">
        <f>IF('P39'!$E36&gt;"",'P39'!$E36&amp;" "&amp;CHAR(10)&amp;'P39'!$F36,'P39'!$E36)</f>
        <v>0</v>
      </c>
      <c r="AS40" s="89">
        <f>IF('P40'!$E36&gt;"",'P40'!$E36&amp;" "&amp;CHAR(10)&amp;'P40'!$F36,'P40'!$E36)</f>
        <v>0</v>
      </c>
      <c r="AT40" s="55">
        <f t="shared" si="5"/>
        <v>0</v>
      </c>
      <c r="AU40" s="9">
        <f t="shared" si="6"/>
        <v>0</v>
      </c>
      <c r="AV40" s="55">
        <f t="shared" si="7"/>
        <v>0</v>
      </c>
      <c r="AW40" s="38" t="str">
        <f t="shared" si="8"/>
        <v>NT</v>
      </c>
      <c r="AX40" s="12"/>
      <c r="AY40" s="10"/>
      <c r="AZ40" s="10"/>
      <c r="BA40" s="10" t="str">
        <f>IF('P01'!$G36&lt;&gt;"", 'P01'!$G36, "non")</f>
        <v>non</v>
      </c>
      <c r="BB40" s="10" t="str">
        <f>IF('P02'!$G36&lt;&gt;"", 'P02'!$G36, "non")</f>
        <v>non</v>
      </c>
      <c r="BC40" s="10" t="str">
        <f>IF('P03'!$G36&lt;&gt;"", 'P03'!$G36, "non")</f>
        <v>non</v>
      </c>
      <c r="BD40" s="10" t="str">
        <f>IF('P04'!$G36&lt;&gt;"", 'P04'!$G36, "non")</f>
        <v>non</v>
      </c>
      <c r="BE40" s="10" t="str">
        <f>IF('P05'!$G36&lt;&gt;"", 'P05'!$G36, "non")</f>
        <v>non</v>
      </c>
      <c r="BF40" s="10" t="str">
        <f>IF('P06'!$G36&lt;&gt;"", 'P06'!$G36, "non")</f>
        <v>non</v>
      </c>
      <c r="BG40" s="10" t="str">
        <f>IF('P07'!$G36&lt;&gt;"", 'P07'!$G36, "non")</f>
        <v>non</v>
      </c>
      <c r="BH40" s="10" t="str">
        <f>IF('P08'!$G36&lt;&gt;"", 'P08'!$G36, "non")</f>
        <v>non</v>
      </c>
      <c r="BI40" s="10" t="str">
        <f>IF('P09'!$G36&lt;&gt;"", 'P09'!$G36, "non")</f>
        <v>non</v>
      </c>
      <c r="BJ40" s="10" t="str">
        <f>IF('P10'!$G36&lt;&gt;"", 'P10'!$G36, "non")</f>
        <v>non</v>
      </c>
      <c r="BK40" s="10" t="str">
        <f>IF('P11'!$G36&lt;&gt;"", 'P11'!$G36, "non")</f>
        <v>non</v>
      </c>
      <c r="BL40" s="10" t="str">
        <f>IF('P12'!$G36&lt;&gt;"", 'P12'!$G36, "non")</f>
        <v>non</v>
      </c>
      <c r="BM40" s="10" t="str">
        <f>IF('P13'!$G36&lt;&gt;"", 'P13'!$G36, "non")</f>
        <v>non</v>
      </c>
      <c r="BN40" s="10" t="str">
        <f>IF('P14'!$G36&lt;&gt;"", 'P14'!$G36, "non")</f>
        <v>non</v>
      </c>
      <c r="BO40" s="10" t="str">
        <f>IF('P15'!$G36&lt;&gt;"", 'P15'!$G36, "non")</f>
        <v>non</v>
      </c>
      <c r="BP40" s="10" t="str">
        <f>IF('P16'!$G36&lt;&gt;"", 'P16'!$G36, "non")</f>
        <v>non</v>
      </c>
      <c r="BQ40" s="10" t="str">
        <f>IF('P17'!$G36&lt;&gt;"", 'P17'!$G36, "non")</f>
        <v>non</v>
      </c>
      <c r="BR40" s="10" t="str">
        <f>IF('P18'!$G36&lt;&gt;"", 'P18'!$G36, "non")</f>
        <v>non</v>
      </c>
      <c r="BS40" s="10" t="str">
        <f>IF('P19'!$G36&lt;&gt;"", 'P19'!$G36, "non")</f>
        <v>non</v>
      </c>
      <c r="BT40" s="11" t="str">
        <f>IF('P20'!$G36&lt;&gt;"", 'P20'!$G36, "non")</f>
        <v>non</v>
      </c>
      <c r="BU40" s="10" t="str">
        <f>IF('P21'!$G36&lt;&gt;"", 'P21'!$G36, "non")</f>
        <v>non</v>
      </c>
      <c r="BV40" s="11" t="str">
        <f>IF('P22'!$G36&lt;&gt;"", 'P22'!$G36, "non")</f>
        <v>non</v>
      </c>
      <c r="BW40" s="10" t="str">
        <f>IF('P23'!$G36&lt;&gt;"", 'P23'!$G36, "non")</f>
        <v>non</v>
      </c>
      <c r="BX40" s="11" t="str">
        <f>IF('P24'!$G36&lt;&gt;"", 'P24'!$G36, "non")</f>
        <v>non</v>
      </c>
      <c r="BY40" s="10" t="str">
        <f>IF('P25'!$G36&lt;&gt;"", 'P25'!$G36, "non")</f>
        <v>non</v>
      </c>
      <c r="BZ40" s="11" t="str">
        <f>IF('P26'!$G36&lt;&gt;"", 'P26'!$G36, "non")</f>
        <v>non</v>
      </c>
      <c r="CA40" s="10" t="str">
        <f>IF('P27'!$G36&lt;&gt;"", 'P27'!$G36, "non")</f>
        <v>non</v>
      </c>
      <c r="CB40" s="11" t="str">
        <f>IF('P28'!$G36&lt;&gt;"", 'P28'!$G36, "non")</f>
        <v>non</v>
      </c>
      <c r="CC40" s="10" t="str">
        <f>IF('P29'!$G36&lt;&gt;"", 'P29'!$G36, "non")</f>
        <v>non</v>
      </c>
      <c r="CD40" s="11" t="str">
        <f>IF('P30'!$G36&lt;&gt;"", 'P30'!$G36, "non")</f>
        <v>non</v>
      </c>
      <c r="CE40" s="10" t="str">
        <f>IF('P31'!$G36&lt;&gt;"", 'P31'!$G36, "non")</f>
        <v>non</v>
      </c>
      <c r="CF40" s="11" t="str">
        <f>IF('P32'!$G36&lt;&gt;"", 'P32'!$G36, "non")</f>
        <v>non</v>
      </c>
      <c r="CG40" s="10" t="str">
        <f>IF('P33'!$G36&lt;&gt;"", 'P33'!$G36, "non")</f>
        <v>non</v>
      </c>
      <c r="CH40" s="10" t="str">
        <f>IF('P34'!$G36&lt;&gt;"", 'P34'!$G36, "non")</f>
        <v>non</v>
      </c>
      <c r="CI40" s="11" t="str">
        <f>IF('P35'!$G36&lt;&gt;"", 'P35'!$G36, "non")</f>
        <v>non</v>
      </c>
      <c r="CJ40" s="10" t="str">
        <f>IF('P36'!$G36&lt;&gt;"", 'P36'!$G36, "non")</f>
        <v>non</v>
      </c>
      <c r="CK40" s="11" t="str">
        <f>IF('P37'!$G36&lt;&gt;"", 'P37'!$G36, "non")</f>
        <v>non</v>
      </c>
      <c r="CL40" s="10" t="str">
        <f>IF('P38'!$G36&lt;&gt;"", 'P38'!$G36, "non")</f>
        <v>non</v>
      </c>
      <c r="CM40" s="11" t="str">
        <f>IF('P39'!$G36&lt;&gt;"", 'P39'!$G36, "non")</f>
        <v>non</v>
      </c>
      <c r="CN40" s="10" t="str">
        <f>IF('P40'!$G36&lt;&gt;"", 'P40'!$G36, "non")</f>
        <v>non</v>
      </c>
    </row>
    <row r="41" spans="1:92" ht="39.75" customHeight="1">
      <c r="A41" s="122" t="str">
        <f>'Critères et tests'!B36</f>
        <v>TABLEAUX</v>
      </c>
      <c r="B41" s="124" t="str">
        <f>'Critères et tests'!$A36</f>
        <v>5.7</v>
      </c>
      <c r="C41" s="192" t="str">
        <f>VLOOKUP(B41,'Critères et tests'!$1:$1048576,5,FALSE)</f>
        <v>Pour chaque tableau de données, la technique appropriée permettant d’associer chaque cellule avec ses en-têtes est-elle utilisée (hors cas particuliers) ?</v>
      </c>
      <c r="D41" s="124" t="str">
        <f>'Critères et tests'!$C36</f>
        <v>A</v>
      </c>
      <c r="E41" s="156" t="s">
        <v>460</v>
      </c>
      <c r="F41" s="88">
        <f>IF('P01'!$E37&gt;"",'P01'!$E37&amp;" "&amp;CHAR(10)&amp;'P01'!$F37,'P01'!$E37)</f>
        <v>0</v>
      </c>
      <c r="G41" s="89">
        <f>IF('P02'!$E37&gt;"",'P02'!$E37&amp;" "&amp;CHAR(10)&amp;'P02'!$F37,'P02'!$E37)</f>
        <v>0</v>
      </c>
      <c r="H41" s="89">
        <f>IF('P03'!$E37&gt;"",'P03'!$E37&amp;" "&amp;CHAR(10)&amp;'P03'!$F37,'P03'!$E37)</f>
        <v>0</v>
      </c>
      <c r="I41" s="89">
        <f>IF('P04'!$E37&gt;"",'P04'!$E37&amp;" "&amp;CHAR(10)&amp;'P04'!$F37,'P04'!$E37)</f>
        <v>0</v>
      </c>
      <c r="J41" s="89">
        <f>IF('P05'!$E37&gt;"",'P05'!$E37&amp;" "&amp;CHAR(10)&amp;'P05'!$F37,'P05'!$E37)</f>
        <v>0</v>
      </c>
      <c r="K41" s="89">
        <f>IF('P06'!$E37&gt;"",'P06'!$E37&amp;" "&amp;CHAR(10)&amp;'P06'!$F37,'P06'!$E37)</f>
        <v>0</v>
      </c>
      <c r="L41" s="89">
        <f>IF('P07'!$E37&gt;"",'P07'!$E37&amp;" "&amp;CHAR(10)&amp;'P07'!$F37,'P07'!$E37)</f>
        <v>0</v>
      </c>
      <c r="M41" s="89">
        <f>IF('P08'!$E37&gt;"",'P08'!$E37&amp;" "&amp;CHAR(10)&amp;'P08'!$F37,'P08'!$E37)</f>
        <v>0</v>
      </c>
      <c r="N41" s="89">
        <f>IF('P09'!$E37&gt;"",'P09'!$E37&amp;" "&amp;CHAR(10)&amp;'P09'!$F37,'P09'!$E37)</f>
        <v>0</v>
      </c>
      <c r="O41" s="89">
        <f>IF('P10'!$E37&gt;"",'P10'!$E37&amp;" "&amp;CHAR(10)&amp;'P10'!$F37,'P10'!$E37)</f>
        <v>0</v>
      </c>
      <c r="P41" s="89">
        <f>IF('P11'!$E37&gt;"",'P11'!$E37&amp;" "&amp;CHAR(10)&amp;'P11'!$F37,'P11'!$E37)</f>
        <v>0</v>
      </c>
      <c r="Q41" s="89">
        <f>IF('P12'!$E37&gt;"",'P12'!$E37&amp;" "&amp;CHAR(10)&amp;'P12'!$F37,'P12'!$E37)</f>
        <v>0</v>
      </c>
      <c r="R41" s="89">
        <f>IF('P13'!$E37&gt;"",'P13'!$E37&amp;" "&amp;CHAR(10)&amp;'P13'!$F37,'P13'!$E37)</f>
        <v>0</v>
      </c>
      <c r="S41" s="89">
        <f>IF('P14'!$E37&gt;"",'P14'!$E37&amp;" "&amp;CHAR(10)&amp;'P14'!$F37,'P14'!$E37)</f>
        <v>0</v>
      </c>
      <c r="T41" s="89">
        <f>IF('P15'!$E37&gt;"",'P15'!$E37&amp;" "&amp;CHAR(10)&amp;'P15'!$F37,'P15'!$E37)</f>
        <v>0</v>
      </c>
      <c r="U41" s="89">
        <f>IF('P16'!$E37&gt;"",'P16'!$E37&amp;" "&amp;CHAR(10)&amp;'P16'!$F37,'P16'!$E37)</f>
        <v>0</v>
      </c>
      <c r="V41" s="89">
        <f>IF('P17'!$E37&gt;"",'P17'!$E37&amp;" "&amp;CHAR(10)&amp;'P17'!$F37,'P17'!$E37)</f>
        <v>0</v>
      </c>
      <c r="W41" s="89">
        <f>IF('P18'!$E37&gt;"",'P18'!$E37&amp;" "&amp;CHAR(10)&amp;'P18'!$F37,'P18'!$E37)</f>
        <v>0</v>
      </c>
      <c r="X41" s="89">
        <f>IF('P19'!$E37&gt;"",'P19'!$E37&amp;" "&amp;CHAR(10)&amp;'P19'!$F37,'P19'!$E37)</f>
        <v>0</v>
      </c>
      <c r="Y41" s="89">
        <f>IF('P20'!$E37&gt;"",'P20'!$E37&amp;" "&amp;CHAR(10)&amp;'P20'!$F37,'P20'!$E37)</f>
        <v>0</v>
      </c>
      <c r="Z41" s="89">
        <f>IF('P21'!$E37&gt;"",'P21'!$E37&amp;" "&amp;CHAR(10)&amp;'P21'!$F37,'P21'!$E37)</f>
        <v>0</v>
      </c>
      <c r="AA41" s="89">
        <f>IF('P22'!$E37&gt;"",'P22'!$E37&amp;" "&amp;CHAR(10)&amp;'P22'!$F37,'P22'!$E37)</f>
        <v>0</v>
      </c>
      <c r="AB41" s="89">
        <f>IF('P23'!$E37&gt;"",'P23'!$E37&amp;" "&amp;CHAR(10)&amp;'P23'!$F37,'P23'!$E37)</f>
        <v>0</v>
      </c>
      <c r="AC41" s="89">
        <f>IF('P24'!$E37&gt;"",'P24'!$E37&amp;" "&amp;CHAR(10)&amp;'P24'!$F37,'P24'!$E37)</f>
        <v>0</v>
      </c>
      <c r="AD41" s="89">
        <f>IF('P25'!$E37&gt;"",'P25'!$E37&amp;" "&amp;CHAR(10)&amp;'P25'!$F37,'P25'!$E37)</f>
        <v>0</v>
      </c>
      <c r="AE41" s="89">
        <f>IF('P26'!$E37&gt;"",'P26'!$E37&amp;" "&amp;CHAR(10)&amp;'P26'!$F37,'P26'!$E37)</f>
        <v>0</v>
      </c>
      <c r="AF41" s="89">
        <f>IF('P27'!$E37&gt;"",'P27'!$E37&amp;" "&amp;CHAR(10)&amp;'P27'!$F37,'P27'!$E37)</f>
        <v>0</v>
      </c>
      <c r="AG41" s="89">
        <f>IF('P28'!$E37&gt;"",'P28'!$E37&amp;" "&amp;CHAR(10)&amp;'P28'!$F37,'P28'!$E37)</f>
        <v>0</v>
      </c>
      <c r="AH41" s="89">
        <f>IF('P29'!$E37&gt;"",'P29'!$E37&amp;" "&amp;CHAR(10)&amp;'P29'!$F37,'P29'!$E37)</f>
        <v>0</v>
      </c>
      <c r="AI41" s="89">
        <f>IF('P30'!$E37&gt;"",'P30'!$E37&amp;" "&amp;CHAR(10)&amp;'P30'!$F37,'P30'!$E37)</f>
        <v>0</v>
      </c>
      <c r="AJ41" s="89">
        <f>IF('P31'!$E37&gt;"",'P31'!$E37&amp;" "&amp;CHAR(10)&amp;'P31'!$F37,'P31'!$E37)</f>
        <v>0</v>
      </c>
      <c r="AK41" s="89">
        <f>IF('P32'!$E37&gt;"",'P32'!$E37&amp;" "&amp;CHAR(10)&amp;'P32'!$F37,'P32'!$E37)</f>
        <v>0</v>
      </c>
      <c r="AL41" s="89">
        <f>IF('P33'!$E37&gt;"",'P33'!$E37&amp;" "&amp;CHAR(10)&amp;'P33'!$F37,'P33'!$E37)</f>
        <v>0</v>
      </c>
      <c r="AM41" s="89">
        <f>IF('P34'!$E37&gt;"",'P34'!$E37&amp;" "&amp;CHAR(10)&amp;'P34'!$F37,'P34'!$E37)</f>
        <v>0</v>
      </c>
      <c r="AN41" s="89">
        <f>IF('P35'!$E37&gt;"",'P35'!$E37&amp;" "&amp;CHAR(10)&amp;'P35'!$F37,'P35'!$E37)</f>
        <v>0</v>
      </c>
      <c r="AO41" s="89">
        <f>IF('P36'!$E37&gt;"",'P36'!$E37&amp;" "&amp;CHAR(10)&amp;'P36'!$F37,'P36'!$E37)</f>
        <v>0</v>
      </c>
      <c r="AP41" s="89">
        <f>IF('P37'!$E37&gt;"",'P37'!$E37&amp;" "&amp;CHAR(10)&amp;'P37'!$F37,'P37'!$E37)</f>
        <v>0</v>
      </c>
      <c r="AQ41" s="89">
        <f>IF('P38'!$E37&gt;"",'P38'!$E37&amp;" "&amp;CHAR(10)&amp;'P38'!$F37,'P38'!$E37)</f>
        <v>0</v>
      </c>
      <c r="AR41" s="89">
        <f>IF('P39'!$E37&gt;"",'P39'!$E37&amp;" "&amp;CHAR(10)&amp;'P39'!$F37,'P39'!$E37)</f>
        <v>0</v>
      </c>
      <c r="AS41" s="89">
        <f>IF('P40'!$E37&gt;"",'P40'!$E37&amp;" "&amp;CHAR(10)&amp;'P40'!$F37,'P40'!$E37)</f>
        <v>0</v>
      </c>
      <c r="AT41" s="55">
        <f t="shared" si="5"/>
        <v>0</v>
      </c>
      <c r="AU41" s="9">
        <f t="shared" si="6"/>
        <v>0</v>
      </c>
      <c r="AV41" s="55">
        <f t="shared" si="7"/>
        <v>0</v>
      </c>
      <c r="AW41" s="38" t="str">
        <f t="shared" si="8"/>
        <v>NT</v>
      </c>
      <c r="AX41" s="12"/>
      <c r="AY41" s="10"/>
      <c r="AZ41" s="10"/>
      <c r="BA41" s="10" t="str">
        <f>IF('P01'!$G37&lt;&gt;"", 'P01'!$G37, "non")</f>
        <v>non</v>
      </c>
      <c r="BB41" s="10" t="str">
        <f>IF('P02'!$G37&lt;&gt;"", 'P02'!$G37, "non")</f>
        <v>non</v>
      </c>
      <c r="BC41" s="10" t="str">
        <f>IF('P03'!$G37&lt;&gt;"", 'P03'!$G37, "non")</f>
        <v>non</v>
      </c>
      <c r="BD41" s="10" t="str">
        <f>IF('P04'!$G37&lt;&gt;"", 'P04'!$G37, "non")</f>
        <v>non</v>
      </c>
      <c r="BE41" s="10" t="str">
        <f>IF('P05'!$G37&lt;&gt;"", 'P05'!$G37, "non")</f>
        <v>non</v>
      </c>
      <c r="BF41" s="10" t="str">
        <f>IF('P06'!$G37&lt;&gt;"", 'P06'!$G37, "non")</f>
        <v>non</v>
      </c>
      <c r="BG41" s="10" t="str">
        <f>IF('P07'!$G37&lt;&gt;"", 'P07'!$G37, "non")</f>
        <v>non</v>
      </c>
      <c r="BH41" s="10" t="str">
        <f>IF('P08'!$G37&lt;&gt;"", 'P08'!$G37, "non")</f>
        <v>non</v>
      </c>
      <c r="BI41" s="10" t="str">
        <f>IF('P09'!$G37&lt;&gt;"", 'P09'!$G37, "non")</f>
        <v>non</v>
      </c>
      <c r="BJ41" s="10" t="str">
        <f>IF('P10'!$G37&lt;&gt;"", 'P10'!$G37, "non")</f>
        <v>non</v>
      </c>
      <c r="BK41" s="10" t="str">
        <f>IF('P11'!$G37&lt;&gt;"", 'P11'!$G37, "non")</f>
        <v>non</v>
      </c>
      <c r="BL41" s="10" t="str">
        <f>IF('P12'!$G37&lt;&gt;"", 'P12'!$G37, "non")</f>
        <v>non</v>
      </c>
      <c r="BM41" s="10" t="str">
        <f>IF('P13'!$G37&lt;&gt;"", 'P13'!$G37, "non")</f>
        <v>non</v>
      </c>
      <c r="BN41" s="10" t="str">
        <f>IF('P14'!$G37&lt;&gt;"", 'P14'!$G37, "non")</f>
        <v>non</v>
      </c>
      <c r="BO41" s="10" t="str">
        <f>IF('P15'!$G37&lt;&gt;"", 'P15'!$G37, "non")</f>
        <v>non</v>
      </c>
      <c r="BP41" s="10" t="str">
        <f>IF('P16'!$G37&lt;&gt;"", 'P16'!$G37, "non")</f>
        <v>non</v>
      </c>
      <c r="BQ41" s="10" t="str">
        <f>IF('P17'!$G37&lt;&gt;"", 'P17'!$G37, "non")</f>
        <v>non</v>
      </c>
      <c r="BR41" s="10" t="str">
        <f>IF('P18'!$G37&lt;&gt;"", 'P18'!$G37, "non")</f>
        <v>non</v>
      </c>
      <c r="BS41" s="10" t="str">
        <f>IF('P19'!$G37&lt;&gt;"", 'P19'!$G37, "non")</f>
        <v>non</v>
      </c>
      <c r="BT41" s="11" t="str">
        <f>IF('P20'!$G37&lt;&gt;"", 'P20'!$G37, "non")</f>
        <v>non</v>
      </c>
      <c r="BU41" s="10" t="str">
        <f>IF('P21'!$G37&lt;&gt;"", 'P21'!$G37, "non")</f>
        <v>non</v>
      </c>
      <c r="BV41" s="11" t="str">
        <f>IF('P22'!$G37&lt;&gt;"", 'P22'!$G37, "non")</f>
        <v>non</v>
      </c>
      <c r="BW41" s="10" t="str">
        <f>IF('P23'!$G37&lt;&gt;"", 'P23'!$G37, "non")</f>
        <v>non</v>
      </c>
      <c r="BX41" s="11" t="str">
        <f>IF('P24'!$G37&lt;&gt;"", 'P24'!$G37, "non")</f>
        <v>non</v>
      </c>
      <c r="BY41" s="10" t="str">
        <f>IF('P25'!$G37&lt;&gt;"", 'P25'!$G37, "non")</f>
        <v>non</v>
      </c>
      <c r="BZ41" s="11" t="str">
        <f>IF('P26'!$G37&lt;&gt;"", 'P26'!$G37, "non")</f>
        <v>non</v>
      </c>
      <c r="CA41" s="10" t="str">
        <f>IF('P27'!$G37&lt;&gt;"", 'P27'!$G37, "non")</f>
        <v>non</v>
      </c>
      <c r="CB41" s="11" t="str">
        <f>IF('P28'!$G37&lt;&gt;"", 'P28'!$G37, "non")</f>
        <v>non</v>
      </c>
      <c r="CC41" s="10" t="str">
        <f>IF('P29'!$G37&lt;&gt;"", 'P29'!$G37, "non")</f>
        <v>non</v>
      </c>
      <c r="CD41" s="11" t="str">
        <f>IF('P30'!$G37&lt;&gt;"", 'P30'!$G37, "non")</f>
        <v>non</v>
      </c>
      <c r="CE41" s="10" t="str">
        <f>IF('P31'!$G37&lt;&gt;"", 'P31'!$G37, "non")</f>
        <v>non</v>
      </c>
      <c r="CF41" s="11" t="str">
        <f>IF('P32'!$G37&lt;&gt;"", 'P32'!$G37, "non")</f>
        <v>non</v>
      </c>
      <c r="CG41" s="10" t="str">
        <f>IF('P33'!$G37&lt;&gt;"", 'P33'!$G37, "non")</f>
        <v>non</v>
      </c>
      <c r="CH41" s="10" t="str">
        <f>IF('P34'!$G37&lt;&gt;"", 'P34'!$G37, "non")</f>
        <v>non</v>
      </c>
      <c r="CI41" s="11" t="str">
        <f>IF('P35'!$G37&lt;&gt;"", 'P35'!$G37, "non")</f>
        <v>non</v>
      </c>
      <c r="CJ41" s="10" t="str">
        <f>IF('P36'!$G37&lt;&gt;"", 'P36'!$G37, "non")</f>
        <v>non</v>
      </c>
      <c r="CK41" s="11" t="str">
        <f>IF('P37'!$G37&lt;&gt;"", 'P37'!$G37, "non")</f>
        <v>non</v>
      </c>
      <c r="CL41" s="10" t="str">
        <f>IF('P38'!$G37&lt;&gt;"", 'P38'!$G37, "non")</f>
        <v>non</v>
      </c>
      <c r="CM41" s="11" t="str">
        <f>IF('P39'!$G37&lt;&gt;"", 'P39'!$G37, "non")</f>
        <v>non</v>
      </c>
      <c r="CN41" s="10" t="str">
        <f>IF('P40'!$G37&lt;&gt;"", 'P40'!$G37, "non")</f>
        <v>non</v>
      </c>
    </row>
    <row r="42" spans="1:92" ht="39.75" customHeight="1">
      <c r="A42" s="122" t="str">
        <f>'Critères et tests'!B37</f>
        <v>TABLEAUX</v>
      </c>
      <c r="B42" s="124" t="str">
        <f>'Critères et tests'!$A37</f>
        <v>5.8</v>
      </c>
      <c r="C42" s="192" t="str">
        <f>VLOOKUP(B42,'Critères et tests'!$1:$1048576,5,FALSE)</f>
        <v>Chaque tableau de mise en forme ne doit pas utiliser d’éléments propres aux tableaux de données. Cette règle est-elle respectée ?</v>
      </c>
      <c r="D42" s="124" t="str">
        <f>'Critères et tests'!$C37</f>
        <v>A</v>
      </c>
      <c r="E42" s="156" t="s">
        <v>460</v>
      </c>
      <c r="F42" s="88">
        <f>IF('P01'!$E38&gt;"",'P01'!$E38&amp;" "&amp;CHAR(10)&amp;'P01'!$F38,'P01'!$E38)</f>
        <v>0</v>
      </c>
      <c r="G42" s="89">
        <f>IF('P02'!$E38&gt;"",'P02'!$E38&amp;" "&amp;CHAR(10)&amp;'P02'!$F38,'P02'!$E38)</f>
        <v>0</v>
      </c>
      <c r="H42" s="89">
        <f>IF('P03'!$E38&gt;"",'P03'!$E38&amp;" "&amp;CHAR(10)&amp;'P03'!$F38,'P03'!$E38)</f>
        <v>0</v>
      </c>
      <c r="I42" s="89">
        <f>IF('P04'!$E38&gt;"",'P04'!$E38&amp;" "&amp;CHAR(10)&amp;'P04'!$F38,'P04'!$E38)</f>
        <v>0</v>
      </c>
      <c r="J42" s="89">
        <f>IF('P05'!$E38&gt;"",'P05'!$E38&amp;" "&amp;CHAR(10)&amp;'P05'!$F38,'P05'!$E38)</f>
        <v>0</v>
      </c>
      <c r="K42" s="89">
        <f>IF('P06'!$E38&gt;"",'P06'!$E38&amp;" "&amp;CHAR(10)&amp;'P06'!$F38,'P06'!$E38)</f>
        <v>0</v>
      </c>
      <c r="L42" s="89">
        <f>IF('P07'!$E38&gt;"",'P07'!$E38&amp;" "&amp;CHAR(10)&amp;'P07'!$F38,'P07'!$E38)</f>
        <v>0</v>
      </c>
      <c r="M42" s="89">
        <f>IF('P08'!$E38&gt;"",'P08'!$E38&amp;" "&amp;CHAR(10)&amp;'P08'!$F38,'P08'!$E38)</f>
        <v>0</v>
      </c>
      <c r="N42" s="89">
        <f>IF('P09'!$E38&gt;"",'P09'!$E38&amp;" "&amp;CHAR(10)&amp;'P09'!$F38,'P09'!$E38)</f>
        <v>0</v>
      </c>
      <c r="O42" s="89">
        <f>IF('P10'!$E38&gt;"",'P10'!$E38&amp;" "&amp;CHAR(10)&amp;'P10'!$F38,'P10'!$E38)</f>
        <v>0</v>
      </c>
      <c r="P42" s="89">
        <f>IF('P11'!$E38&gt;"",'P11'!$E38&amp;" "&amp;CHAR(10)&amp;'P11'!$F38,'P11'!$E38)</f>
        <v>0</v>
      </c>
      <c r="Q42" s="89">
        <f>IF('P12'!$E38&gt;"",'P12'!$E38&amp;" "&amp;CHAR(10)&amp;'P12'!$F38,'P12'!$E38)</f>
        <v>0</v>
      </c>
      <c r="R42" s="89">
        <f>IF('P13'!$E38&gt;"",'P13'!$E38&amp;" "&amp;CHAR(10)&amp;'P13'!$F38,'P13'!$E38)</f>
        <v>0</v>
      </c>
      <c r="S42" s="89">
        <f>IF('P14'!$E38&gt;"",'P14'!$E38&amp;" "&amp;CHAR(10)&amp;'P14'!$F38,'P14'!$E38)</f>
        <v>0</v>
      </c>
      <c r="T42" s="89">
        <f>IF('P15'!$E38&gt;"",'P15'!$E38&amp;" "&amp;CHAR(10)&amp;'P15'!$F38,'P15'!$E38)</f>
        <v>0</v>
      </c>
      <c r="U42" s="89">
        <f>IF('P16'!$E38&gt;"",'P16'!$E38&amp;" "&amp;CHAR(10)&amp;'P16'!$F38,'P16'!$E38)</f>
        <v>0</v>
      </c>
      <c r="V42" s="89">
        <f>IF('P17'!$E38&gt;"",'P17'!$E38&amp;" "&amp;CHAR(10)&amp;'P17'!$F38,'P17'!$E38)</f>
        <v>0</v>
      </c>
      <c r="W42" s="89">
        <f>IF('P18'!$E38&gt;"",'P18'!$E38&amp;" "&amp;CHAR(10)&amp;'P18'!$F38,'P18'!$E38)</f>
        <v>0</v>
      </c>
      <c r="X42" s="89">
        <f>IF('P19'!$E38&gt;"",'P19'!$E38&amp;" "&amp;CHAR(10)&amp;'P19'!$F38,'P19'!$E38)</f>
        <v>0</v>
      </c>
      <c r="Y42" s="89">
        <f>IF('P20'!$E38&gt;"",'P20'!$E38&amp;" "&amp;CHAR(10)&amp;'P20'!$F38,'P20'!$E38)</f>
        <v>0</v>
      </c>
      <c r="Z42" s="89">
        <f>IF('P21'!$E38&gt;"",'P21'!$E38&amp;" "&amp;CHAR(10)&amp;'P21'!$F38,'P21'!$E38)</f>
        <v>0</v>
      </c>
      <c r="AA42" s="89">
        <f>IF('P22'!$E38&gt;"",'P22'!$E38&amp;" "&amp;CHAR(10)&amp;'P22'!$F38,'P22'!$E38)</f>
        <v>0</v>
      </c>
      <c r="AB42" s="89">
        <f>IF('P23'!$E38&gt;"",'P23'!$E38&amp;" "&amp;CHAR(10)&amp;'P23'!$F38,'P23'!$E38)</f>
        <v>0</v>
      </c>
      <c r="AC42" s="89">
        <f>IF('P24'!$E38&gt;"",'P24'!$E38&amp;" "&amp;CHAR(10)&amp;'P24'!$F38,'P24'!$E38)</f>
        <v>0</v>
      </c>
      <c r="AD42" s="89">
        <f>IF('P25'!$E38&gt;"",'P25'!$E38&amp;" "&amp;CHAR(10)&amp;'P25'!$F38,'P25'!$E38)</f>
        <v>0</v>
      </c>
      <c r="AE42" s="89">
        <f>IF('P26'!$E38&gt;"",'P26'!$E38&amp;" "&amp;CHAR(10)&amp;'P26'!$F38,'P26'!$E38)</f>
        <v>0</v>
      </c>
      <c r="AF42" s="89">
        <f>IF('P27'!$E38&gt;"",'P27'!$E38&amp;" "&amp;CHAR(10)&amp;'P27'!$F38,'P27'!$E38)</f>
        <v>0</v>
      </c>
      <c r="AG42" s="89">
        <f>IF('P28'!$E38&gt;"",'P28'!$E38&amp;" "&amp;CHAR(10)&amp;'P28'!$F38,'P28'!$E38)</f>
        <v>0</v>
      </c>
      <c r="AH42" s="89">
        <f>IF('P29'!$E38&gt;"",'P29'!$E38&amp;" "&amp;CHAR(10)&amp;'P29'!$F38,'P29'!$E38)</f>
        <v>0</v>
      </c>
      <c r="AI42" s="89">
        <f>IF('P30'!$E38&gt;"",'P30'!$E38&amp;" "&amp;CHAR(10)&amp;'P30'!$F38,'P30'!$E38)</f>
        <v>0</v>
      </c>
      <c r="AJ42" s="89">
        <f>IF('P31'!$E38&gt;"",'P31'!$E38&amp;" "&amp;CHAR(10)&amp;'P31'!$F38,'P31'!$E38)</f>
        <v>0</v>
      </c>
      <c r="AK42" s="89">
        <f>IF('P32'!$E38&gt;"",'P32'!$E38&amp;" "&amp;CHAR(10)&amp;'P32'!$F38,'P32'!$E38)</f>
        <v>0</v>
      </c>
      <c r="AL42" s="89">
        <f>IF('P33'!$E38&gt;"",'P33'!$E38&amp;" "&amp;CHAR(10)&amp;'P33'!$F38,'P33'!$E38)</f>
        <v>0</v>
      </c>
      <c r="AM42" s="89">
        <f>IF('P34'!$E38&gt;"",'P34'!$E38&amp;" "&amp;CHAR(10)&amp;'P34'!$F38,'P34'!$E38)</f>
        <v>0</v>
      </c>
      <c r="AN42" s="89">
        <f>IF('P35'!$E38&gt;"",'P35'!$E38&amp;" "&amp;CHAR(10)&amp;'P35'!$F38,'P35'!$E38)</f>
        <v>0</v>
      </c>
      <c r="AO42" s="89">
        <f>IF('P36'!$E38&gt;"",'P36'!$E38&amp;" "&amp;CHAR(10)&amp;'P36'!$F38,'P36'!$E38)</f>
        <v>0</v>
      </c>
      <c r="AP42" s="89">
        <f>IF('P37'!$E38&gt;"",'P37'!$E38&amp;" "&amp;CHAR(10)&amp;'P37'!$F38,'P37'!$E38)</f>
        <v>0</v>
      </c>
      <c r="AQ42" s="89">
        <f>IF('P38'!$E38&gt;"",'P38'!$E38&amp;" "&amp;CHAR(10)&amp;'P38'!$F38,'P38'!$E38)</f>
        <v>0</v>
      </c>
      <c r="AR42" s="89">
        <f>IF('P39'!$E38&gt;"",'P39'!$E38&amp;" "&amp;CHAR(10)&amp;'P39'!$F38,'P39'!$E38)</f>
        <v>0</v>
      </c>
      <c r="AS42" s="89">
        <f>IF('P40'!$E38&gt;"",'P40'!$E38&amp;" "&amp;CHAR(10)&amp;'P40'!$F38,'P40'!$E38)</f>
        <v>0</v>
      </c>
      <c r="AT42" s="55">
        <f t="shared" si="5"/>
        <v>0</v>
      </c>
      <c r="AU42" s="9">
        <f t="shared" si="6"/>
        <v>0</v>
      </c>
      <c r="AV42" s="55">
        <f t="shared" si="7"/>
        <v>0</v>
      </c>
      <c r="AW42" s="38" t="str">
        <f t="shared" si="8"/>
        <v>NT</v>
      </c>
      <c r="AX42" s="12"/>
      <c r="AY42" s="10"/>
      <c r="AZ42" s="10"/>
      <c r="BA42" s="10" t="str">
        <f>IF('P01'!$G38&lt;&gt;"", 'P01'!$G38, "non")</f>
        <v>non</v>
      </c>
      <c r="BB42" s="10" t="str">
        <f>IF('P02'!$G38&lt;&gt;"", 'P02'!$G38, "non")</f>
        <v>non</v>
      </c>
      <c r="BC42" s="10" t="str">
        <f>IF('P03'!$G38&lt;&gt;"", 'P03'!$G38, "non")</f>
        <v>non</v>
      </c>
      <c r="BD42" s="10" t="str">
        <f>IF('P04'!$G38&lt;&gt;"", 'P04'!$G38, "non")</f>
        <v>non</v>
      </c>
      <c r="BE42" s="10" t="str">
        <f>IF('P05'!$G38&lt;&gt;"", 'P05'!$G38, "non")</f>
        <v>non</v>
      </c>
      <c r="BF42" s="10" t="str">
        <f>IF('P06'!$G38&lt;&gt;"", 'P06'!$G38, "non")</f>
        <v>non</v>
      </c>
      <c r="BG42" s="10" t="str">
        <f>IF('P07'!$G38&lt;&gt;"", 'P07'!$G38, "non")</f>
        <v>non</v>
      </c>
      <c r="BH42" s="10" t="str">
        <f>IF('P08'!$G38&lt;&gt;"", 'P08'!$G38, "non")</f>
        <v>non</v>
      </c>
      <c r="BI42" s="10" t="str">
        <f>IF('P09'!$G38&lt;&gt;"", 'P09'!$G38, "non")</f>
        <v>non</v>
      </c>
      <c r="BJ42" s="10" t="str">
        <f>IF('P10'!$G38&lt;&gt;"", 'P10'!$G38, "non")</f>
        <v>non</v>
      </c>
      <c r="BK42" s="10" t="str">
        <f>IF('P11'!$G38&lt;&gt;"", 'P11'!$G38, "non")</f>
        <v>non</v>
      </c>
      <c r="BL42" s="10" t="str">
        <f>IF('P12'!$G38&lt;&gt;"", 'P12'!$G38, "non")</f>
        <v>non</v>
      </c>
      <c r="BM42" s="10" t="str">
        <f>IF('P13'!$G38&lt;&gt;"", 'P13'!$G38, "non")</f>
        <v>non</v>
      </c>
      <c r="BN42" s="10" t="str">
        <f>IF('P14'!$G38&lt;&gt;"", 'P14'!$G38, "non")</f>
        <v>non</v>
      </c>
      <c r="BO42" s="10" t="str">
        <f>IF('P15'!$G38&lt;&gt;"", 'P15'!$G38, "non")</f>
        <v>non</v>
      </c>
      <c r="BP42" s="10" t="str">
        <f>IF('P16'!$G38&lt;&gt;"", 'P16'!$G38, "non")</f>
        <v>non</v>
      </c>
      <c r="BQ42" s="10" t="str">
        <f>IF('P17'!$G38&lt;&gt;"", 'P17'!$G38, "non")</f>
        <v>non</v>
      </c>
      <c r="BR42" s="10" t="str">
        <f>IF('P18'!$G38&lt;&gt;"", 'P18'!$G38, "non")</f>
        <v>non</v>
      </c>
      <c r="BS42" s="10" t="str">
        <f>IF('P19'!$G38&lt;&gt;"", 'P19'!$G38, "non")</f>
        <v>non</v>
      </c>
      <c r="BT42" s="11" t="str">
        <f>IF('P20'!$G38&lt;&gt;"", 'P20'!$G38, "non")</f>
        <v>non</v>
      </c>
      <c r="BU42" s="10" t="str">
        <f>IF('P21'!$G38&lt;&gt;"", 'P21'!$G38, "non")</f>
        <v>non</v>
      </c>
      <c r="BV42" s="11" t="str">
        <f>IF('P22'!$G38&lt;&gt;"", 'P22'!$G38, "non")</f>
        <v>non</v>
      </c>
      <c r="BW42" s="10" t="str">
        <f>IF('P23'!$G38&lt;&gt;"", 'P23'!$G38, "non")</f>
        <v>non</v>
      </c>
      <c r="BX42" s="11" t="str">
        <f>IF('P24'!$G38&lt;&gt;"", 'P24'!$G38, "non")</f>
        <v>non</v>
      </c>
      <c r="BY42" s="10" t="str">
        <f>IF('P25'!$G38&lt;&gt;"", 'P25'!$G38, "non")</f>
        <v>non</v>
      </c>
      <c r="BZ42" s="11" t="str">
        <f>IF('P26'!$G38&lt;&gt;"", 'P26'!$G38, "non")</f>
        <v>non</v>
      </c>
      <c r="CA42" s="10" t="str">
        <f>IF('P27'!$G38&lt;&gt;"", 'P27'!$G38, "non")</f>
        <v>non</v>
      </c>
      <c r="CB42" s="11" t="str">
        <f>IF('P28'!$G38&lt;&gt;"", 'P28'!$G38, "non")</f>
        <v>non</v>
      </c>
      <c r="CC42" s="10" t="str">
        <f>IF('P29'!$G38&lt;&gt;"", 'P29'!$G38, "non")</f>
        <v>non</v>
      </c>
      <c r="CD42" s="11" t="str">
        <f>IF('P30'!$G38&lt;&gt;"", 'P30'!$G38, "non")</f>
        <v>non</v>
      </c>
      <c r="CE42" s="10" t="str">
        <f>IF('P31'!$G38&lt;&gt;"", 'P31'!$G38, "non")</f>
        <v>non</v>
      </c>
      <c r="CF42" s="11" t="str">
        <f>IF('P32'!$G38&lt;&gt;"", 'P32'!$G38, "non")</f>
        <v>non</v>
      </c>
      <c r="CG42" s="10" t="str">
        <f>IF('P33'!$G38&lt;&gt;"", 'P33'!$G38, "non")</f>
        <v>non</v>
      </c>
      <c r="CH42" s="10" t="str">
        <f>IF('P34'!$G38&lt;&gt;"", 'P34'!$G38, "non")</f>
        <v>non</v>
      </c>
      <c r="CI42" s="11" t="str">
        <f>IF('P35'!$G38&lt;&gt;"", 'P35'!$G38, "non")</f>
        <v>non</v>
      </c>
      <c r="CJ42" s="10" t="str">
        <f>IF('P36'!$G38&lt;&gt;"", 'P36'!$G38, "non")</f>
        <v>non</v>
      </c>
      <c r="CK42" s="11" t="str">
        <f>IF('P37'!$G38&lt;&gt;"", 'P37'!$G38, "non")</f>
        <v>non</v>
      </c>
      <c r="CL42" s="10" t="str">
        <f>IF('P38'!$G38&lt;&gt;"", 'P38'!$G38, "non")</f>
        <v>non</v>
      </c>
      <c r="CM42" s="11" t="str">
        <f>IF('P39'!$G38&lt;&gt;"", 'P39'!$G38, "non")</f>
        <v>non</v>
      </c>
      <c r="CN42" s="10" t="str">
        <f>IF('P40'!$G38&lt;&gt;"", 'P40'!$G38, "non")</f>
        <v>non</v>
      </c>
    </row>
    <row r="43" spans="1:92" ht="39.75" customHeight="1">
      <c r="A43" s="122" t="str">
        <f>'Critères et tests'!B38</f>
        <v>LIENS</v>
      </c>
      <c r="B43" s="124" t="str">
        <f>'Critères et tests'!$A38</f>
        <v>6.1</v>
      </c>
      <c r="C43" s="192" t="str">
        <f>VLOOKUP(B43,'Critères et tests'!$1:$1048576,5,FALSE)</f>
        <v>Chaque lien est-il explicite (hors cas particuliers) ?</v>
      </c>
      <c r="D43" s="124" t="str">
        <f>'Critères et tests'!$C38</f>
        <v>A</v>
      </c>
      <c r="E43" s="156" t="s">
        <v>460</v>
      </c>
      <c r="F43" s="88">
        <f>IF('P01'!$E39&gt;"",'P01'!$E39&amp;" "&amp;CHAR(10)&amp;'P01'!$F39,'P01'!$E39)</f>
        <v>0</v>
      </c>
      <c r="G43" s="89">
        <f>IF('P02'!$E39&gt;"",'P02'!$E39&amp;" "&amp;CHAR(10)&amp;'P02'!$F39,'P02'!$E39)</f>
        <v>0</v>
      </c>
      <c r="H43" s="89">
        <f>IF('P03'!$E39&gt;"",'P03'!$E39&amp;" "&amp;CHAR(10)&amp;'P03'!$F39,'P03'!$E39)</f>
        <v>0</v>
      </c>
      <c r="I43" s="89">
        <f>IF('P04'!$E39&gt;"",'P04'!$E39&amp;" "&amp;CHAR(10)&amp;'P04'!$F39,'P04'!$E39)</f>
        <v>0</v>
      </c>
      <c r="J43" s="89">
        <f>IF('P05'!$E39&gt;"",'P05'!$E39&amp;" "&amp;CHAR(10)&amp;'P05'!$F39,'P05'!$E39)</f>
        <v>0</v>
      </c>
      <c r="K43" s="89">
        <f>IF('P06'!$E39&gt;"",'P06'!$E39&amp;" "&amp;CHAR(10)&amp;'P06'!$F39,'P06'!$E39)</f>
        <v>0</v>
      </c>
      <c r="L43" s="89">
        <f>IF('P07'!$E39&gt;"",'P07'!$E39&amp;" "&amp;CHAR(10)&amp;'P07'!$F39,'P07'!$E39)</f>
        <v>0</v>
      </c>
      <c r="M43" s="89">
        <f>IF('P08'!$E39&gt;"",'P08'!$E39&amp;" "&amp;CHAR(10)&amp;'P08'!$F39,'P08'!$E39)</f>
        <v>0</v>
      </c>
      <c r="N43" s="89">
        <f>IF('P09'!$E39&gt;"",'P09'!$E39&amp;" "&amp;CHAR(10)&amp;'P09'!$F39,'P09'!$E39)</f>
        <v>0</v>
      </c>
      <c r="O43" s="89">
        <f>IF('P10'!$E39&gt;"",'P10'!$E39&amp;" "&amp;CHAR(10)&amp;'P10'!$F39,'P10'!$E39)</f>
        <v>0</v>
      </c>
      <c r="P43" s="89">
        <f>IF('P11'!$E39&gt;"",'P11'!$E39&amp;" "&amp;CHAR(10)&amp;'P11'!$F39,'P11'!$E39)</f>
        <v>0</v>
      </c>
      <c r="Q43" s="89">
        <f>IF('P12'!$E39&gt;"",'P12'!$E39&amp;" "&amp;CHAR(10)&amp;'P12'!$F39,'P12'!$E39)</f>
        <v>0</v>
      </c>
      <c r="R43" s="89">
        <f>IF('P13'!$E39&gt;"",'P13'!$E39&amp;" "&amp;CHAR(10)&amp;'P13'!$F39,'P13'!$E39)</f>
        <v>0</v>
      </c>
      <c r="S43" s="89">
        <f>IF('P14'!$E39&gt;"",'P14'!$E39&amp;" "&amp;CHAR(10)&amp;'P14'!$F39,'P14'!$E39)</f>
        <v>0</v>
      </c>
      <c r="T43" s="89">
        <f>IF('P15'!$E39&gt;"",'P15'!$E39&amp;" "&amp;CHAR(10)&amp;'P15'!$F39,'P15'!$E39)</f>
        <v>0</v>
      </c>
      <c r="U43" s="89">
        <f>IF('P16'!$E39&gt;"",'P16'!$E39&amp;" "&amp;CHAR(10)&amp;'P16'!$F39,'P16'!$E39)</f>
        <v>0</v>
      </c>
      <c r="V43" s="89">
        <f>IF('P17'!$E39&gt;"",'P17'!$E39&amp;" "&amp;CHAR(10)&amp;'P17'!$F39,'P17'!$E39)</f>
        <v>0</v>
      </c>
      <c r="W43" s="89">
        <f>IF('P18'!$E39&gt;"",'P18'!$E39&amp;" "&amp;CHAR(10)&amp;'P18'!$F39,'P18'!$E39)</f>
        <v>0</v>
      </c>
      <c r="X43" s="89">
        <f>IF('P19'!$E39&gt;"",'P19'!$E39&amp;" "&amp;CHAR(10)&amp;'P19'!$F39,'P19'!$E39)</f>
        <v>0</v>
      </c>
      <c r="Y43" s="89">
        <f>IF('P20'!$E39&gt;"",'P20'!$E39&amp;" "&amp;CHAR(10)&amp;'P20'!$F39,'P20'!$E39)</f>
        <v>0</v>
      </c>
      <c r="Z43" s="89">
        <f>IF('P21'!$E39&gt;"",'P21'!$E39&amp;" "&amp;CHAR(10)&amp;'P21'!$F39,'P21'!$E39)</f>
        <v>0</v>
      </c>
      <c r="AA43" s="89">
        <f>IF('P22'!$E39&gt;"",'P22'!$E39&amp;" "&amp;CHAR(10)&amp;'P22'!$F39,'P22'!$E39)</f>
        <v>0</v>
      </c>
      <c r="AB43" s="89">
        <f>IF('P23'!$E39&gt;"",'P23'!$E39&amp;" "&amp;CHAR(10)&amp;'P23'!$F39,'P23'!$E39)</f>
        <v>0</v>
      </c>
      <c r="AC43" s="89">
        <f>IF('P24'!$E39&gt;"",'P24'!$E39&amp;" "&amp;CHAR(10)&amp;'P24'!$F39,'P24'!$E39)</f>
        <v>0</v>
      </c>
      <c r="AD43" s="89">
        <f>IF('P25'!$E39&gt;"",'P25'!$E39&amp;" "&amp;CHAR(10)&amp;'P25'!$F39,'P25'!$E39)</f>
        <v>0</v>
      </c>
      <c r="AE43" s="89">
        <f>IF('P26'!$E39&gt;"",'P26'!$E39&amp;" "&amp;CHAR(10)&amp;'P26'!$F39,'P26'!$E39)</f>
        <v>0</v>
      </c>
      <c r="AF43" s="89">
        <f>IF('P27'!$E39&gt;"",'P27'!$E39&amp;" "&amp;CHAR(10)&amp;'P27'!$F39,'P27'!$E39)</f>
        <v>0</v>
      </c>
      <c r="AG43" s="89">
        <f>IF('P28'!$E39&gt;"",'P28'!$E39&amp;" "&amp;CHAR(10)&amp;'P28'!$F39,'P28'!$E39)</f>
        <v>0</v>
      </c>
      <c r="AH43" s="89">
        <f>IF('P29'!$E39&gt;"",'P29'!$E39&amp;" "&amp;CHAR(10)&amp;'P29'!$F39,'P29'!$E39)</f>
        <v>0</v>
      </c>
      <c r="AI43" s="89">
        <f>IF('P30'!$E39&gt;"",'P30'!$E39&amp;" "&amp;CHAR(10)&amp;'P30'!$F39,'P30'!$E39)</f>
        <v>0</v>
      </c>
      <c r="AJ43" s="89">
        <f>IF('P31'!$E39&gt;"",'P31'!$E39&amp;" "&amp;CHAR(10)&amp;'P31'!$F39,'P31'!$E39)</f>
        <v>0</v>
      </c>
      <c r="AK43" s="89">
        <f>IF('P32'!$E39&gt;"",'P32'!$E39&amp;" "&amp;CHAR(10)&amp;'P32'!$F39,'P32'!$E39)</f>
        <v>0</v>
      </c>
      <c r="AL43" s="89">
        <f>IF('P33'!$E39&gt;"",'P33'!$E39&amp;" "&amp;CHAR(10)&amp;'P33'!$F39,'P33'!$E39)</f>
        <v>0</v>
      </c>
      <c r="AM43" s="89">
        <f>IF('P34'!$E39&gt;"",'P34'!$E39&amp;" "&amp;CHAR(10)&amp;'P34'!$F39,'P34'!$E39)</f>
        <v>0</v>
      </c>
      <c r="AN43" s="89">
        <f>IF('P35'!$E39&gt;"",'P35'!$E39&amp;" "&amp;CHAR(10)&amp;'P35'!$F39,'P35'!$E39)</f>
        <v>0</v>
      </c>
      <c r="AO43" s="89">
        <f>IF('P36'!$E39&gt;"",'P36'!$E39&amp;" "&amp;CHAR(10)&amp;'P36'!$F39,'P36'!$E39)</f>
        <v>0</v>
      </c>
      <c r="AP43" s="89">
        <f>IF('P37'!$E39&gt;"",'P37'!$E39&amp;" "&amp;CHAR(10)&amp;'P37'!$F39,'P37'!$E39)</f>
        <v>0</v>
      </c>
      <c r="AQ43" s="89">
        <f>IF('P38'!$E39&gt;"",'P38'!$E39&amp;" "&amp;CHAR(10)&amp;'P38'!$F39,'P38'!$E39)</f>
        <v>0</v>
      </c>
      <c r="AR43" s="89">
        <f>IF('P39'!$E39&gt;"",'P39'!$E39&amp;" "&amp;CHAR(10)&amp;'P39'!$F39,'P39'!$E39)</f>
        <v>0</v>
      </c>
      <c r="AS43" s="89">
        <f>IF('P40'!$E39&gt;"",'P40'!$E39&amp;" "&amp;CHAR(10)&amp;'P40'!$F39,'P40'!$E39)</f>
        <v>0</v>
      </c>
      <c r="AT43" s="55">
        <f t="shared" si="5"/>
        <v>0</v>
      </c>
      <c r="AU43" s="9">
        <f t="shared" si="6"/>
        <v>0</v>
      </c>
      <c r="AV43" s="55">
        <f t="shared" si="7"/>
        <v>0</v>
      </c>
      <c r="AW43" s="38" t="str">
        <f t="shared" si="8"/>
        <v>NT</v>
      </c>
      <c r="AX43" s="12"/>
      <c r="AY43" s="10"/>
      <c r="AZ43" s="10"/>
      <c r="BA43" s="10" t="str">
        <f>IF('P01'!$G39&lt;&gt;"", 'P01'!$G39, "non")</f>
        <v>non</v>
      </c>
      <c r="BB43" s="10" t="str">
        <f>IF('P02'!$G39&lt;&gt;"", 'P02'!$G39, "non")</f>
        <v>non</v>
      </c>
      <c r="BC43" s="10" t="str">
        <f>IF('P03'!$G39&lt;&gt;"", 'P03'!$G39, "non")</f>
        <v>non</v>
      </c>
      <c r="BD43" s="10" t="str">
        <f>IF('P04'!$G39&lt;&gt;"", 'P04'!$G39, "non")</f>
        <v>non</v>
      </c>
      <c r="BE43" s="10" t="str">
        <f>IF('P05'!$G39&lt;&gt;"", 'P05'!$G39, "non")</f>
        <v>non</v>
      </c>
      <c r="BF43" s="10" t="str">
        <f>IF('P06'!$G39&lt;&gt;"", 'P06'!$G39, "non")</f>
        <v>non</v>
      </c>
      <c r="BG43" s="10" t="str">
        <f>IF('P07'!$G39&lt;&gt;"", 'P07'!$G39, "non")</f>
        <v>non</v>
      </c>
      <c r="BH43" s="10" t="str">
        <f>IF('P08'!$G39&lt;&gt;"", 'P08'!$G39, "non")</f>
        <v>non</v>
      </c>
      <c r="BI43" s="10" t="str">
        <f>IF('P09'!$G39&lt;&gt;"", 'P09'!$G39, "non")</f>
        <v>non</v>
      </c>
      <c r="BJ43" s="10" t="str">
        <f>IF('P10'!$G39&lt;&gt;"", 'P10'!$G39, "non")</f>
        <v>non</v>
      </c>
      <c r="BK43" s="10" t="str">
        <f>IF('P11'!$G39&lt;&gt;"", 'P11'!$G39, "non")</f>
        <v>non</v>
      </c>
      <c r="BL43" s="10" t="str">
        <f>IF('P12'!$G39&lt;&gt;"", 'P12'!$G39, "non")</f>
        <v>non</v>
      </c>
      <c r="BM43" s="10" t="str">
        <f>IF('P13'!$G39&lt;&gt;"", 'P13'!$G39, "non")</f>
        <v>non</v>
      </c>
      <c r="BN43" s="10" t="str">
        <f>IF('P14'!$G39&lt;&gt;"", 'P14'!$G39, "non")</f>
        <v>non</v>
      </c>
      <c r="BO43" s="10" t="str">
        <f>IF('P15'!$G39&lt;&gt;"", 'P15'!$G39, "non")</f>
        <v>non</v>
      </c>
      <c r="BP43" s="10" t="str">
        <f>IF('P16'!$G39&lt;&gt;"", 'P16'!$G39, "non")</f>
        <v>non</v>
      </c>
      <c r="BQ43" s="10" t="str">
        <f>IF('P17'!$G39&lt;&gt;"", 'P17'!$G39, "non")</f>
        <v>non</v>
      </c>
      <c r="BR43" s="10" t="str">
        <f>IF('P18'!$G39&lt;&gt;"", 'P18'!$G39, "non")</f>
        <v>non</v>
      </c>
      <c r="BS43" s="10" t="str">
        <f>IF('P19'!$G39&lt;&gt;"", 'P19'!$G39, "non")</f>
        <v>non</v>
      </c>
      <c r="BT43" s="11" t="str">
        <f>IF('P20'!$G39&lt;&gt;"", 'P20'!$G39, "non")</f>
        <v>non</v>
      </c>
      <c r="BU43" s="10" t="str">
        <f>IF('P21'!$G39&lt;&gt;"", 'P21'!$G39, "non")</f>
        <v>non</v>
      </c>
      <c r="BV43" s="11" t="str">
        <f>IF('P22'!$G39&lt;&gt;"", 'P22'!$G39, "non")</f>
        <v>non</v>
      </c>
      <c r="BW43" s="10" t="str">
        <f>IF('P23'!$G39&lt;&gt;"", 'P23'!$G39, "non")</f>
        <v>non</v>
      </c>
      <c r="BX43" s="11" t="str">
        <f>IF('P24'!$G39&lt;&gt;"", 'P24'!$G39, "non")</f>
        <v>non</v>
      </c>
      <c r="BY43" s="10" t="str">
        <f>IF('P25'!$G39&lt;&gt;"", 'P25'!$G39, "non")</f>
        <v>non</v>
      </c>
      <c r="BZ43" s="11" t="str">
        <f>IF('P26'!$G39&lt;&gt;"", 'P26'!$G39, "non")</f>
        <v>non</v>
      </c>
      <c r="CA43" s="10" t="str">
        <f>IF('P27'!$G39&lt;&gt;"", 'P27'!$G39, "non")</f>
        <v>non</v>
      </c>
      <c r="CB43" s="11" t="str">
        <f>IF('P28'!$G39&lt;&gt;"", 'P28'!$G39, "non")</f>
        <v>non</v>
      </c>
      <c r="CC43" s="10" t="str">
        <f>IF('P29'!$G39&lt;&gt;"", 'P29'!$G39, "non")</f>
        <v>non</v>
      </c>
      <c r="CD43" s="11" t="str">
        <f>IF('P30'!$G39&lt;&gt;"", 'P30'!$G39, "non")</f>
        <v>non</v>
      </c>
      <c r="CE43" s="10" t="str">
        <f>IF('P31'!$G39&lt;&gt;"", 'P31'!$G39, "non")</f>
        <v>non</v>
      </c>
      <c r="CF43" s="11" t="str">
        <f>IF('P32'!$G39&lt;&gt;"", 'P32'!$G39, "non")</f>
        <v>non</v>
      </c>
      <c r="CG43" s="10" t="str">
        <f>IF('P33'!$G39&lt;&gt;"", 'P33'!$G39, "non")</f>
        <v>non</v>
      </c>
      <c r="CH43" s="10" t="str">
        <f>IF('P34'!$G39&lt;&gt;"", 'P34'!$G39, "non")</f>
        <v>non</v>
      </c>
      <c r="CI43" s="11" t="str">
        <f>IF('P35'!$G39&lt;&gt;"", 'P35'!$G39, "non")</f>
        <v>non</v>
      </c>
      <c r="CJ43" s="10" t="str">
        <f>IF('P36'!$G39&lt;&gt;"", 'P36'!$G39, "non")</f>
        <v>non</v>
      </c>
      <c r="CK43" s="11" t="str">
        <f>IF('P37'!$G39&lt;&gt;"", 'P37'!$G39, "non")</f>
        <v>non</v>
      </c>
      <c r="CL43" s="10" t="str">
        <f>IF('P38'!$G39&lt;&gt;"", 'P38'!$G39, "non")</f>
        <v>non</v>
      </c>
      <c r="CM43" s="11" t="str">
        <f>IF('P39'!$G39&lt;&gt;"", 'P39'!$G39, "non")</f>
        <v>non</v>
      </c>
      <c r="CN43" s="10" t="str">
        <f>IF('P40'!$G39&lt;&gt;"", 'P40'!$G39, "non")</f>
        <v>non</v>
      </c>
    </row>
    <row r="44" spans="1:92" ht="39.75" customHeight="1">
      <c r="A44" s="122" t="str">
        <f>'Critères et tests'!B39</f>
        <v>LIENS</v>
      </c>
      <c r="B44" s="124" t="str">
        <f>'Critères et tests'!$A39</f>
        <v>6.2</v>
      </c>
      <c r="C44" s="192" t="str">
        <f>VLOOKUP(B44,'Critères et tests'!$1:$1048576,5,FALSE)</f>
        <v>Dans chaque page web, chaque lien a-t-il un intitulé ?</v>
      </c>
      <c r="D44" s="124" t="str">
        <f>'Critères et tests'!$C39</f>
        <v>A</v>
      </c>
      <c r="E44" s="156" t="s">
        <v>460</v>
      </c>
      <c r="F44" s="88">
        <f>IF('P01'!$E40&gt;"",'P01'!$E40&amp;" "&amp;CHAR(10)&amp;'P01'!$F40,'P01'!$E40)</f>
        <v>0</v>
      </c>
      <c r="G44" s="89">
        <f>IF('P02'!$E40&gt;"",'P02'!$E40&amp;" "&amp;CHAR(10)&amp;'P02'!$F40,'P02'!$E40)</f>
        <v>0</v>
      </c>
      <c r="H44" s="89">
        <f>IF('P03'!$E40&gt;"",'P03'!$E40&amp;" "&amp;CHAR(10)&amp;'P03'!$F40,'P03'!$E40)</f>
        <v>0</v>
      </c>
      <c r="I44" s="89">
        <f>IF('P04'!$E40&gt;"",'P04'!$E40&amp;" "&amp;CHAR(10)&amp;'P04'!$F40,'P04'!$E40)</f>
        <v>0</v>
      </c>
      <c r="J44" s="89">
        <f>IF('P05'!$E40&gt;"",'P05'!$E40&amp;" "&amp;CHAR(10)&amp;'P05'!$F40,'P05'!$E40)</f>
        <v>0</v>
      </c>
      <c r="K44" s="89">
        <f>IF('P06'!$E40&gt;"",'P06'!$E40&amp;" "&amp;CHAR(10)&amp;'P06'!$F40,'P06'!$E40)</f>
        <v>0</v>
      </c>
      <c r="L44" s="89">
        <f>IF('P07'!$E40&gt;"",'P07'!$E40&amp;" "&amp;CHAR(10)&amp;'P07'!$F40,'P07'!$E40)</f>
        <v>0</v>
      </c>
      <c r="M44" s="89">
        <f>IF('P08'!$E40&gt;"",'P08'!$E40&amp;" "&amp;CHAR(10)&amp;'P08'!$F40,'P08'!$E40)</f>
        <v>0</v>
      </c>
      <c r="N44" s="89">
        <f>IF('P09'!$E40&gt;"",'P09'!$E40&amp;" "&amp;CHAR(10)&amp;'P09'!$F40,'P09'!$E40)</f>
        <v>0</v>
      </c>
      <c r="O44" s="89">
        <f>IF('P10'!$E40&gt;"",'P10'!$E40&amp;" "&amp;CHAR(10)&amp;'P10'!$F40,'P10'!$E40)</f>
        <v>0</v>
      </c>
      <c r="P44" s="89">
        <f>IF('P11'!$E40&gt;"",'P11'!$E40&amp;" "&amp;CHAR(10)&amp;'P11'!$F40,'P11'!$E40)</f>
        <v>0</v>
      </c>
      <c r="Q44" s="89">
        <f>IF('P12'!$E40&gt;"",'P12'!$E40&amp;" "&amp;CHAR(10)&amp;'P12'!$F40,'P12'!$E40)</f>
        <v>0</v>
      </c>
      <c r="R44" s="89">
        <f>IF('P13'!$E40&gt;"",'P13'!$E40&amp;" "&amp;CHAR(10)&amp;'P13'!$F40,'P13'!$E40)</f>
        <v>0</v>
      </c>
      <c r="S44" s="89">
        <f>IF('P14'!$E40&gt;"",'P14'!$E40&amp;" "&amp;CHAR(10)&amp;'P14'!$F40,'P14'!$E40)</f>
        <v>0</v>
      </c>
      <c r="T44" s="89">
        <f>IF('P15'!$E40&gt;"",'P15'!$E40&amp;" "&amp;CHAR(10)&amp;'P15'!$F40,'P15'!$E40)</f>
        <v>0</v>
      </c>
      <c r="U44" s="89">
        <f>IF('P16'!$E40&gt;"",'P16'!$E40&amp;" "&amp;CHAR(10)&amp;'P16'!$F40,'P16'!$E40)</f>
        <v>0</v>
      </c>
      <c r="V44" s="89">
        <f>IF('P17'!$E40&gt;"",'P17'!$E40&amp;" "&amp;CHAR(10)&amp;'P17'!$F40,'P17'!$E40)</f>
        <v>0</v>
      </c>
      <c r="W44" s="89">
        <f>IF('P18'!$E40&gt;"",'P18'!$E40&amp;" "&amp;CHAR(10)&amp;'P18'!$F40,'P18'!$E40)</f>
        <v>0</v>
      </c>
      <c r="X44" s="89">
        <f>IF('P19'!$E40&gt;"",'P19'!$E40&amp;" "&amp;CHAR(10)&amp;'P19'!$F40,'P19'!$E40)</f>
        <v>0</v>
      </c>
      <c r="Y44" s="89">
        <f>IF('P20'!$E40&gt;"",'P20'!$E40&amp;" "&amp;CHAR(10)&amp;'P20'!$F40,'P20'!$E40)</f>
        <v>0</v>
      </c>
      <c r="Z44" s="89">
        <f>IF('P21'!$E40&gt;"",'P21'!$E40&amp;" "&amp;CHAR(10)&amp;'P21'!$F40,'P21'!$E40)</f>
        <v>0</v>
      </c>
      <c r="AA44" s="89">
        <f>IF('P22'!$E40&gt;"",'P22'!$E40&amp;" "&amp;CHAR(10)&amp;'P22'!$F40,'P22'!$E40)</f>
        <v>0</v>
      </c>
      <c r="AB44" s="89">
        <f>IF('P23'!$E40&gt;"",'P23'!$E40&amp;" "&amp;CHAR(10)&amp;'P23'!$F40,'P23'!$E40)</f>
        <v>0</v>
      </c>
      <c r="AC44" s="89">
        <f>IF('P24'!$E40&gt;"",'P24'!$E40&amp;" "&amp;CHAR(10)&amp;'P24'!$F40,'P24'!$E40)</f>
        <v>0</v>
      </c>
      <c r="AD44" s="89">
        <f>IF('P25'!$E40&gt;"",'P25'!$E40&amp;" "&amp;CHAR(10)&amp;'P25'!$F40,'P25'!$E40)</f>
        <v>0</v>
      </c>
      <c r="AE44" s="89">
        <f>IF('P26'!$E40&gt;"",'P26'!$E40&amp;" "&amp;CHAR(10)&amp;'P26'!$F40,'P26'!$E40)</f>
        <v>0</v>
      </c>
      <c r="AF44" s="89">
        <f>IF('P27'!$E40&gt;"",'P27'!$E40&amp;" "&amp;CHAR(10)&amp;'P27'!$F40,'P27'!$E40)</f>
        <v>0</v>
      </c>
      <c r="AG44" s="89">
        <f>IF('P28'!$E40&gt;"",'P28'!$E40&amp;" "&amp;CHAR(10)&amp;'P28'!$F40,'P28'!$E40)</f>
        <v>0</v>
      </c>
      <c r="AH44" s="89">
        <f>IF('P29'!$E40&gt;"",'P29'!$E40&amp;" "&amp;CHAR(10)&amp;'P29'!$F40,'P29'!$E40)</f>
        <v>0</v>
      </c>
      <c r="AI44" s="89">
        <f>IF('P30'!$E40&gt;"",'P30'!$E40&amp;" "&amp;CHAR(10)&amp;'P30'!$F40,'P30'!$E40)</f>
        <v>0</v>
      </c>
      <c r="AJ44" s="89">
        <f>IF('P31'!$E40&gt;"",'P31'!$E40&amp;" "&amp;CHAR(10)&amp;'P31'!$F40,'P31'!$E40)</f>
        <v>0</v>
      </c>
      <c r="AK44" s="89">
        <f>IF('P32'!$E40&gt;"",'P32'!$E40&amp;" "&amp;CHAR(10)&amp;'P32'!$F40,'P32'!$E40)</f>
        <v>0</v>
      </c>
      <c r="AL44" s="89">
        <f>IF('P33'!$E40&gt;"",'P33'!$E40&amp;" "&amp;CHAR(10)&amp;'P33'!$F40,'P33'!$E40)</f>
        <v>0</v>
      </c>
      <c r="AM44" s="89">
        <f>IF('P34'!$E40&gt;"",'P34'!$E40&amp;" "&amp;CHAR(10)&amp;'P34'!$F40,'P34'!$E40)</f>
        <v>0</v>
      </c>
      <c r="AN44" s="89">
        <f>IF('P35'!$E40&gt;"",'P35'!$E40&amp;" "&amp;CHAR(10)&amp;'P35'!$F40,'P35'!$E40)</f>
        <v>0</v>
      </c>
      <c r="AO44" s="89">
        <f>IF('P36'!$E40&gt;"",'P36'!$E40&amp;" "&amp;CHAR(10)&amp;'P36'!$F40,'P36'!$E40)</f>
        <v>0</v>
      </c>
      <c r="AP44" s="89">
        <f>IF('P37'!$E40&gt;"",'P37'!$E40&amp;" "&amp;CHAR(10)&amp;'P37'!$F40,'P37'!$E40)</f>
        <v>0</v>
      </c>
      <c r="AQ44" s="89">
        <f>IF('P38'!$E40&gt;"",'P38'!$E40&amp;" "&amp;CHAR(10)&amp;'P38'!$F40,'P38'!$E40)</f>
        <v>0</v>
      </c>
      <c r="AR44" s="89">
        <f>IF('P39'!$E40&gt;"",'P39'!$E40&amp;" "&amp;CHAR(10)&amp;'P39'!$F40,'P39'!$E40)</f>
        <v>0</v>
      </c>
      <c r="AS44" s="89">
        <f>IF('P40'!$E40&gt;"",'P40'!$E40&amp;" "&amp;CHAR(10)&amp;'P40'!$F40,'P40'!$E40)</f>
        <v>0</v>
      </c>
      <c r="AT44" s="55">
        <f t="shared" si="5"/>
        <v>0</v>
      </c>
      <c r="AU44" s="9">
        <f t="shared" si="6"/>
        <v>0</v>
      </c>
      <c r="AV44" s="55">
        <f t="shared" si="7"/>
        <v>0</v>
      </c>
      <c r="AW44" s="38" t="str">
        <f t="shared" si="8"/>
        <v>NT</v>
      </c>
      <c r="AX44" s="12"/>
      <c r="AY44" s="10"/>
      <c r="AZ44" s="10"/>
      <c r="BA44" s="10" t="str">
        <f>IF('P01'!$G40&lt;&gt;"", 'P01'!$G40, "non")</f>
        <v>non</v>
      </c>
      <c r="BB44" s="10" t="str">
        <f>IF('P02'!$G40&lt;&gt;"", 'P02'!$G40, "non")</f>
        <v>non</v>
      </c>
      <c r="BC44" s="10" t="str">
        <f>IF('P03'!$G40&lt;&gt;"", 'P03'!$G40, "non")</f>
        <v>non</v>
      </c>
      <c r="BD44" s="10" t="str">
        <f>IF('P04'!$G40&lt;&gt;"", 'P04'!$G40, "non")</f>
        <v>non</v>
      </c>
      <c r="BE44" s="10" t="str">
        <f>IF('P05'!$G40&lt;&gt;"", 'P05'!$G40, "non")</f>
        <v>non</v>
      </c>
      <c r="BF44" s="10" t="str">
        <f>IF('P06'!$G40&lt;&gt;"", 'P06'!$G40, "non")</f>
        <v>non</v>
      </c>
      <c r="BG44" s="10" t="str">
        <f>IF('P07'!$G40&lt;&gt;"", 'P07'!$G40, "non")</f>
        <v>non</v>
      </c>
      <c r="BH44" s="10" t="str">
        <f>IF('P08'!$G40&lt;&gt;"", 'P08'!$G40, "non")</f>
        <v>non</v>
      </c>
      <c r="BI44" s="10" t="str">
        <f>IF('P09'!$G40&lt;&gt;"", 'P09'!$G40, "non")</f>
        <v>non</v>
      </c>
      <c r="BJ44" s="10" t="str">
        <f>IF('P10'!$G40&lt;&gt;"", 'P10'!$G40, "non")</f>
        <v>non</v>
      </c>
      <c r="BK44" s="10" t="str">
        <f>IF('P11'!$G40&lt;&gt;"", 'P11'!$G40, "non")</f>
        <v>non</v>
      </c>
      <c r="BL44" s="10" t="str">
        <f>IF('P12'!$G40&lt;&gt;"", 'P12'!$G40, "non")</f>
        <v>non</v>
      </c>
      <c r="BM44" s="10" t="str">
        <f>IF('P13'!$G40&lt;&gt;"", 'P13'!$G40, "non")</f>
        <v>non</v>
      </c>
      <c r="BN44" s="10" t="str">
        <f>IF('P14'!$G40&lt;&gt;"", 'P14'!$G40, "non")</f>
        <v>non</v>
      </c>
      <c r="BO44" s="10" t="str">
        <f>IF('P15'!$G40&lt;&gt;"", 'P15'!$G40, "non")</f>
        <v>non</v>
      </c>
      <c r="BP44" s="10" t="str">
        <f>IF('P16'!$G40&lt;&gt;"", 'P16'!$G40, "non")</f>
        <v>non</v>
      </c>
      <c r="BQ44" s="10" t="str">
        <f>IF('P17'!$G40&lt;&gt;"", 'P17'!$G40, "non")</f>
        <v>non</v>
      </c>
      <c r="BR44" s="10" t="str">
        <f>IF('P18'!$G40&lt;&gt;"", 'P18'!$G40, "non")</f>
        <v>non</v>
      </c>
      <c r="BS44" s="10" t="str">
        <f>IF('P19'!$G40&lt;&gt;"", 'P19'!$G40, "non")</f>
        <v>non</v>
      </c>
      <c r="BT44" s="11" t="str">
        <f>IF('P20'!$G40&lt;&gt;"", 'P20'!$G40, "non")</f>
        <v>non</v>
      </c>
      <c r="BU44" s="10" t="str">
        <f>IF('P21'!$G40&lt;&gt;"", 'P21'!$G40, "non")</f>
        <v>non</v>
      </c>
      <c r="BV44" s="11" t="str">
        <f>IF('P22'!$G40&lt;&gt;"", 'P22'!$G40, "non")</f>
        <v>non</v>
      </c>
      <c r="BW44" s="10" t="str">
        <f>IF('P23'!$G40&lt;&gt;"", 'P23'!$G40, "non")</f>
        <v>non</v>
      </c>
      <c r="BX44" s="11" t="str">
        <f>IF('P24'!$G40&lt;&gt;"", 'P24'!$G40, "non")</f>
        <v>non</v>
      </c>
      <c r="BY44" s="10" t="str">
        <f>IF('P25'!$G40&lt;&gt;"", 'P25'!$G40, "non")</f>
        <v>non</v>
      </c>
      <c r="BZ44" s="11" t="str">
        <f>IF('P26'!$G40&lt;&gt;"", 'P26'!$G40, "non")</f>
        <v>non</v>
      </c>
      <c r="CA44" s="10" t="str">
        <f>IF('P27'!$G40&lt;&gt;"", 'P27'!$G40, "non")</f>
        <v>non</v>
      </c>
      <c r="CB44" s="11" t="str">
        <f>IF('P28'!$G40&lt;&gt;"", 'P28'!$G40, "non")</f>
        <v>non</v>
      </c>
      <c r="CC44" s="10" t="str">
        <f>IF('P29'!$G40&lt;&gt;"", 'P29'!$G40, "non")</f>
        <v>non</v>
      </c>
      <c r="CD44" s="11" t="str">
        <f>IF('P30'!$G40&lt;&gt;"", 'P30'!$G40, "non")</f>
        <v>non</v>
      </c>
      <c r="CE44" s="10" t="str">
        <f>IF('P31'!$G40&lt;&gt;"", 'P31'!$G40, "non")</f>
        <v>non</v>
      </c>
      <c r="CF44" s="11" t="str">
        <f>IF('P32'!$G40&lt;&gt;"", 'P32'!$G40, "non")</f>
        <v>non</v>
      </c>
      <c r="CG44" s="10" t="str">
        <f>IF('P33'!$G40&lt;&gt;"", 'P33'!$G40, "non")</f>
        <v>non</v>
      </c>
      <c r="CH44" s="10" t="str">
        <f>IF('P34'!$G40&lt;&gt;"", 'P34'!$G40, "non")</f>
        <v>non</v>
      </c>
      <c r="CI44" s="11" t="str">
        <f>IF('P35'!$G40&lt;&gt;"", 'P35'!$G40, "non")</f>
        <v>non</v>
      </c>
      <c r="CJ44" s="10" t="str">
        <f>IF('P36'!$G40&lt;&gt;"", 'P36'!$G40, "non")</f>
        <v>non</v>
      </c>
      <c r="CK44" s="11" t="str">
        <f>IF('P37'!$G40&lt;&gt;"", 'P37'!$G40, "non")</f>
        <v>non</v>
      </c>
      <c r="CL44" s="10" t="str">
        <f>IF('P38'!$G40&lt;&gt;"", 'P38'!$G40, "non")</f>
        <v>non</v>
      </c>
      <c r="CM44" s="11" t="str">
        <f>IF('P39'!$G40&lt;&gt;"", 'P39'!$G40, "non")</f>
        <v>non</v>
      </c>
      <c r="CN44" s="10" t="str">
        <f>IF('P40'!$G40&lt;&gt;"", 'P40'!$G40, "non")</f>
        <v>non</v>
      </c>
    </row>
    <row r="45" spans="1:92" ht="39.75" customHeight="1">
      <c r="A45" s="122" t="str">
        <f>'Critères et tests'!B40</f>
        <v>SCRIPTS</v>
      </c>
      <c r="B45" s="124" t="str">
        <f>'Critères et tests'!$A40</f>
        <v>7.1</v>
      </c>
      <c r="C45" s="192" t="str">
        <f>VLOOKUP(B45,'Critères et tests'!$1:$1048576,5,FALSE)</f>
        <v>Chaque script est-il, si nécessaire, compatible avec les technologies d’assistance ?</v>
      </c>
      <c r="D45" s="124" t="str">
        <f>'Critères et tests'!$C40</f>
        <v>A</v>
      </c>
      <c r="E45" s="156" t="s">
        <v>460</v>
      </c>
      <c r="F45" s="88">
        <f>IF('P01'!$E41&gt;"",'P01'!$E41&amp;" "&amp;CHAR(10)&amp;'P01'!$F41,'P01'!$E41)</f>
        <v>0</v>
      </c>
      <c r="G45" s="89">
        <f>IF('P02'!$E41&gt;"",'P02'!$E41&amp;" "&amp;CHAR(10)&amp;'P02'!$F41,'P02'!$E41)</f>
        <v>0</v>
      </c>
      <c r="H45" s="89">
        <f>IF('P03'!$E41&gt;"",'P03'!$E41&amp;" "&amp;CHAR(10)&amp;'P03'!$F41,'P03'!$E41)</f>
        <v>0</v>
      </c>
      <c r="I45" s="89">
        <f>IF('P04'!$E41&gt;"",'P04'!$E41&amp;" "&amp;CHAR(10)&amp;'P04'!$F41,'P04'!$E41)</f>
        <v>0</v>
      </c>
      <c r="J45" s="89">
        <f>IF('P05'!$E41&gt;"",'P05'!$E41&amp;" "&amp;CHAR(10)&amp;'P05'!$F41,'P05'!$E41)</f>
        <v>0</v>
      </c>
      <c r="K45" s="89">
        <f>IF('P06'!$E41&gt;"",'P06'!$E41&amp;" "&amp;CHAR(10)&amp;'P06'!$F41,'P06'!$E41)</f>
        <v>0</v>
      </c>
      <c r="L45" s="89">
        <f>IF('P07'!$E41&gt;"",'P07'!$E41&amp;" "&amp;CHAR(10)&amp;'P07'!$F41,'P07'!$E41)</f>
        <v>0</v>
      </c>
      <c r="M45" s="89">
        <f>IF('P08'!$E41&gt;"",'P08'!$E41&amp;" "&amp;CHAR(10)&amp;'P08'!$F41,'P08'!$E41)</f>
        <v>0</v>
      </c>
      <c r="N45" s="89">
        <f>IF('P09'!$E41&gt;"",'P09'!$E41&amp;" "&amp;CHAR(10)&amp;'P09'!$F41,'P09'!$E41)</f>
        <v>0</v>
      </c>
      <c r="O45" s="89">
        <f>IF('P10'!$E41&gt;"",'P10'!$E41&amp;" "&amp;CHAR(10)&amp;'P10'!$F41,'P10'!$E41)</f>
        <v>0</v>
      </c>
      <c r="P45" s="89">
        <f>IF('P11'!$E41&gt;"",'P11'!$E41&amp;" "&amp;CHAR(10)&amp;'P11'!$F41,'P11'!$E41)</f>
        <v>0</v>
      </c>
      <c r="Q45" s="89">
        <f>IF('P12'!$E41&gt;"",'P12'!$E41&amp;" "&amp;CHAR(10)&amp;'P12'!$F41,'P12'!$E41)</f>
        <v>0</v>
      </c>
      <c r="R45" s="89">
        <f>IF('P13'!$E41&gt;"",'P13'!$E41&amp;" "&amp;CHAR(10)&amp;'P13'!$F41,'P13'!$E41)</f>
        <v>0</v>
      </c>
      <c r="S45" s="89">
        <f>IF('P14'!$E41&gt;"",'P14'!$E41&amp;" "&amp;CHAR(10)&amp;'P14'!$F41,'P14'!$E41)</f>
        <v>0</v>
      </c>
      <c r="T45" s="89">
        <f>IF('P15'!$E41&gt;"",'P15'!$E41&amp;" "&amp;CHAR(10)&amp;'P15'!$F41,'P15'!$E41)</f>
        <v>0</v>
      </c>
      <c r="U45" s="89">
        <f>IF('P16'!$E41&gt;"",'P16'!$E41&amp;" "&amp;CHAR(10)&amp;'P16'!$F41,'P16'!$E41)</f>
        <v>0</v>
      </c>
      <c r="V45" s="89">
        <f>IF('P17'!$E41&gt;"",'P17'!$E41&amp;" "&amp;CHAR(10)&amp;'P17'!$F41,'P17'!$E41)</f>
        <v>0</v>
      </c>
      <c r="W45" s="89">
        <f>IF('P18'!$E41&gt;"",'P18'!$E41&amp;" "&amp;CHAR(10)&amp;'P18'!$F41,'P18'!$E41)</f>
        <v>0</v>
      </c>
      <c r="X45" s="89">
        <f>IF('P19'!$E41&gt;"",'P19'!$E41&amp;" "&amp;CHAR(10)&amp;'P19'!$F41,'P19'!$E41)</f>
        <v>0</v>
      </c>
      <c r="Y45" s="89">
        <f>IF('P20'!$E41&gt;"",'P20'!$E41&amp;" "&amp;CHAR(10)&amp;'P20'!$F41,'P20'!$E41)</f>
        <v>0</v>
      </c>
      <c r="Z45" s="89">
        <f>IF('P21'!$E41&gt;"",'P21'!$E41&amp;" "&amp;CHAR(10)&amp;'P21'!$F41,'P21'!$E41)</f>
        <v>0</v>
      </c>
      <c r="AA45" s="89">
        <f>IF('P22'!$E41&gt;"",'P22'!$E41&amp;" "&amp;CHAR(10)&amp;'P22'!$F41,'P22'!$E41)</f>
        <v>0</v>
      </c>
      <c r="AB45" s="89">
        <f>IF('P23'!$E41&gt;"",'P23'!$E41&amp;" "&amp;CHAR(10)&amp;'P23'!$F41,'P23'!$E41)</f>
        <v>0</v>
      </c>
      <c r="AC45" s="89">
        <f>IF('P24'!$E41&gt;"",'P24'!$E41&amp;" "&amp;CHAR(10)&amp;'P24'!$F41,'P24'!$E41)</f>
        <v>0</v>
      </c>
      <c r="AD45" s="89">
        <f>IF('P25'!$E41&gt;"",'P25'!$E41&amp;" "&amp;CHAR(10)&amp;'P25'!$F41,'P25'!$E41)</f>
        <v>0</v>
      </c>
      <c r="AE45" s="89">
        <f>IF('P26'!$E41&gt;"",'P26'!$E41&amp;" "&amp;CHAR(10)&amp;'P26'!$F41,'P26'!$E41)</f>
        <v>0</v>
      </c>
      <c r="AF45" s="89">
        <f>IF('P27'!$E41&gt;"",'P27'!$E41&amp;" "&amp;CHAR(10)&amp;'P27'!$F41,'P27'!$E41)</f>
        <v>0</v>
      </c>
      <c r="AG45" s="89">
        <f>IF('P28'!$E41&gt;"",'P28'!$E41&amp;" "&amp;CHAR(10)&amp;'P28'!$F41,'P28'!$E41)</f>
        <v>0</v>
      </c>
      <c r="AH45" s="89">
        <f>IF('P29'!$E41&gt;"",'P29'!$E41&amp;" "&amp;CHAR(10)&amp;'P29'!$F41,'P29'!$E41)</f>
        <v>0</v>
      </c>
      <c r="AI45" s="89">
        <f>IF('P30'!$E41&gt;"",'P30'!$E41&amp;" "&amp;CHAR(10)&amp;'P30'!$F41,'P30'!$E41)</f>
        <v>0</v>
      </c>
      <c r="AJ45" s="89">
        <f>IF('P31'!$E41&gt;"",'P31'!$E41&amp;" "&amp;CHAR(10)&amp;'P31'!$F41,'P31'!$E41)</f>
        <v>0</v>
      </c>
      <c r="AK45" s="89">
        <f>IF('P32'!$E41&gt;"",'P32'!$E41&amp;" "&amp;CHAR(10)&amp;'P32'!$F41,'P32'!$E41)</f>
        <v>0</v>
      </c>
      <c r="AL45" s="89">
        <f>IF('P33'!$E41&gt;"",'P33'!$E41&amp;" "&amp;CHAR(10)&amp;'P33'!$F41,'P33'!$E41)</f>
        <v>0</v>
      </c>
      <c r="AM45" s="89">
        <f>IF('P34'!$E41&gt;"",'P34'!$E41&amp;" "&amp;CHAR(10)&amp;'P34'!$F41,'P34'!$E41)</f>
        <v>0</v>
      </c>
      <c r="AN45" s="89">
        <f>IF('P35'!$E41&gt;"",'P35'!$E41&amp;" "&amp;CHAR(10)&amp;'P35'!$F41,'P35'!$E41)</f>
        <v>0</v>
      </c>
      <c r="AO45" s="89">
        <f>IF('P36'!$E41&gt;"",'P36'!$E41&amp;" "&amp;CHAR(10)&amp;'P36'!$F41,'P36'!$E41)</f>
        <v>0</v>
      </c>
      <c r="AP45" s="89">
        <f>IF('P37'!$E41&gt;"",'P37'!$E41&amp;" "&amp;CHAR(10)&amp;'P37'!$F41,'P37'!$E41)</f>
        <v>0</v>
      </c>
      <c r="AQ45" s="89">
        <f>IF('P38'!$E41&gt;"",'P38'!$E41&amp;" "&amp;CHAR(10)&amp;'P38'!$F41,'P38'!$E41)</f>
        <v>0</v>
      </c>
      <c r="AR45" s="89">
        <f>IF('P39'!$E41&gt;"",'P39'!$E41&amp;" "&amp;CHAR(10)&amp;'P39'!$F41,'P39'!$E41)</f>
        <v>0</v>
      </c>
      <c r="AS45" s="89">
        <f>IF('P40'!$E41&gt;"",'P40'!$E41&amp;" "&amp;CHAR(10)&amp;'P40'!$F41,'P40'!$E41)</f>
        <v>0</v>
      </c>
      <c r="AT45" s="55">
        <f t="shared" si="5"/>
        <v>0</v>
      </c>
      <c r="AU45" s="9">
        <f t="shared" si="6"/>
        <v>0</v>
      </c>
      <c r="AV45" s="55">
        <f t="shared" si="7"/>
        <v>0</v>
      </c>
      <c r="AW45" s="38" t="str">
        <f t="shared" si="8"/>
        <v>NT</v>
      </c>
      <c r="AX45" s="12"/>
      <c r="AY45" s="10"/>
      <c r="AZ45" s="10"/>
      <c r="BA45" s="10" t="str">
        <f>IF('P01'!$G41&lt;&gt;"", 'P01'!$G41, "non")</f>
        <v>non</v>
      </c>
      <c r="BB45" s="10" t="str">
        <f>IF('P02'!$G41&lt;&gt;"", 'P02'!$G41, "non")</f>
        <v>non</v>
      </c>
      <c r="BC45" s="10" t="str">
        <f>IF('P03'!$G41&lt;&gt;"", 'P03'!$G41, "non")</f>
        <v>non</v>
      </c>
      <c r="BD45" s="10" t="str">
        <f>IF('P04'!$G41&lt;&gt;"", 'P04'!$G41, "non")</f>
        <v>non</v>
      </c>
      <c r="BE45" s="10" t="str">
        <f>IF('P05'!$G41&lt;&gt;"", 'P05'!$G41, "non")</f>
        <v>non</v>
      </c>
      <c r="BF45" s="10" t="str">
        <f>IF('P06'!$G41&lt;&gt;"", 'P06'!$G41, "non")</f>
        <v>non</v>
      </c>
      <c r="BG45" s="10" t="str">
        <f>IF('P07'!$G41&lt;&gt;"", 'P07'!$G41, "non")</f>
        <v>non</v>
      </c>
      <c r="BH45" s="10" t="str">
        <f>IF('P08'!$G41&lt;&gt;"", 'P08'!$G41, "non")</f>
        <v>non</v>
      </c>
      <c r="BI45" s="10" t="str">
        <f>IF('P09'!$G41&lt;&gt;"", 'P09'!$G41, "non")</f>
        <v>non</v>
      </c>
      <c r="BJ45" s="10" t="str">
        <f>IF('P10'!$G41&lt;&gt;"", 'P10'!$G41, "non")</f>
        <v>non</v>
      </c>
      <c r="BK45" s="10" t="str">
        <f>IF('P11'!$G41&lt;&gt;"", 'P11'!$G41, "non")</f>
        <v>non</v>
      </c>
      <c r="BL45" s="10" t="str">
        <f>IF('P12'!$G41&lt;&gt;"", 'P12'!$G41, "non")</f>
        <v>non</v>
      </c>
      <c r="BM45" s="10" t="str">
        <f>IF('P13'!$G41&lt;&gt;"", 'P13'!$G41, "non")</f>
        <v>non</v>
      </c>
      <c r="BN45" s="10" t="str">
        <f>IF('P14'!$G41&lt;&gt;"", 'P14'!$G41, "non")</f>
        <v>non</v>
      </c>
      <c r="BO45" s="10" t="str">
        <f>IF('P15'!$G41&lt;&gt;"", 'P15'!$G41, "non")</f>
        <v>non</v>
      </c>
      <c r="BP45" s="10" t="str">
        <f>IF('P16'!$G41&lt;&gt;"", 'P16'!$G41, "non")</f>
        <v>non</v>
      </c>
      <c r="BQ45" s="10" t="str">
        <f>IF('P17'!$G41&lt;&gt;"", 'P17'!$G41, "non")</f>
        <v>non</v>
      </c>
      <c r="BR45" s="10" t="str">
        <f>IF('P18'!$G41&lt;&gt;"", 'P18'!$G41, "non")</f>
        <v>non</v>
      </c>
      <c r="BS45" s="10" t="str">
        <f>IF('P19'!$G41&lt;&gt;"", 'P19'!$G41, "non")</f>
        <v>non</v>
      </c>
      <c r="BT45" s="11" t="str">
        <f>IF('P20'!$G41&lt;&gt;"", 'P20'!$G41, "non")</f>
        <v>non</v>
      </c>
      <c r="BU45" s="10" t="str">
        <f>IF('P21'!$G41&lt;&gt;"", 'P21'!$G41, "non")</f>
        <v>non</v>
      </c>
      <c r="BV45" s="11" t="str">
        <f>IF('P22'!$G41&lt;&gt;"", 'P22'!$G41, "non")</f>
        <v>non</v>
      </c>
      <c r="BW45" s="10" t="str">
        <f>IF('P23'!$G41&lt;&gt;"", 'P23'!$G41, "non")</f>
        <v>non</v>
      </c>
      <c r="BX45" s="11" t="str">
        <f>IF('P24'!$G41&lt;&gt;"", 'P24'!$G41, "non")</f>
        <v>non</v>
      </c>
      <c r="BY45" s="10" t="str">
        <f>IF('P25'!$G41&lt;&gt;"", 'P25'!$G41, "non")</f>
        <v>non</v>
      </c>
      <c r="BZ45" s="11" t="str">
        <f>IF('P26'!$G41&lt;&gt;"", 'P26'!$G41, "non")</f>
        <v>non</v>
      </c>
      <c r="CA45" s="10" t="str">
        <f>IF('P27'!$G41&lt;&gt;"", 'P27'!$G41, "non")</f>
        <v>non</v>
      </c>
      <c r="CB45" s="11" t="str">
        <f>IF('P28'!$G41&lt;&gt;"", 'P28'!$G41, "non")</f>
        <v>non</v>
      </c>
      <c r="CC45" s="10" t="str">
        <f>IF('P29'!$G41&lt;&gt;"", 'P29'!$G41, "non")</f>
        <v>non</v>
      </c>
      <c r="CD45" s="11" t="str">
        <f>IF('P30'!$G41&lt;&gt;"", 'P30'!$G41, "non")</f>
        <v>non</v>
      </c>
      <c r="CE45" s="10" t="str">
        <f>IF('P31'!$G41&lt;&gt;"", 'P31'!$G41, "non")</f>
        <v>non</v>
      </c>
      <c r="CF45" s="11" t="str">
        <f>IF('P32'!$G41&lt;&gt;"", 'P32'!$G41, "non")</f>
        <v>non</v>
      </c>
      <c r="CG45" s="10" t="str">
        <f>IF('P33'!$G41&lt;&gt;"", 'P33'!$G41, "non")</f>
        <v>non</v>
      </c>
      <c r="CH45" s="10" t="str">
        <f>IF('P34'!$G41&lt;&gt;"", 'P34'!$G41, "non")</f>
        <v>non</v>
      </c>
      <c r="CI45" s="11" t="str">
        <f>IF('P35'!$G41&lt;&gt;"", 'P35'!$G41, "non")</f>
        <v>non</v>
      </c>
      <c r="CJ45" s="10" t="str">
        <f>IF('P36'!$G41&lt;&gt;"", 'P36'!$G41, "non")</f>
        <v>non</v>
      </c>
      <c r="CK45" s="11" t="str">
        <f>IF('P37'!$G41&lt;&gt;"", 'P37'!$G41, "non")</f>
        <v>non</v>
      </c>
      <c r="CL45" s="10" t="str">
        <f>IF('P38'!$G41&lt;&gt;"", 'P38'!$G41, "non")</f>
        <v>non</v>
      </c>
      <c r="CM45" s="11" t="str">
        <f>IF('P39'!$G41&lt;&gt;"", 'P39'!$G41, "non")</f>
        <v>non</v>
      </c>
      <c r="CN45" s="10" t="str">
        <f>IF('P40'!$G41&lt;&gt;"", 'P40'!$G41, "non")</f>
        <v>non</v>
      </c>
    </row>
    <row r="46" spans="1:92" ht="39.75" customHeight="1">
      <c r="A46" s="122" t="str">
        <f>'Critères et tests'!B41</f>
        <v>SCRIPTS</v>
      </c>
      <c r="B46" s="124" t="str">
        <f>'Critères et tests'!$A41</f>
        <v>7.2</v>
      </c>
      <c r="C46" s="192" t="str">
        <f>VLOOKUP(B46,'Critères et tests'!$1:$1048576,5,FALSE)</f>
        <v>Pour chaque script ayant une alternative, cette alternative est-elle pertinente ?</v>
      </c>
      <c r="D46" s="124" t="str">
        <f>'Critères et tests'!$C41</f>
        <v>A</v>
      </c>
      <c r="E46" s="156" t="s">
        <v>460</v>
      </c>
      <c r="F46" s="88">
        <f>IF('P01'!$E42&gt;"",'P01'!$E42&amp;" "&amp;CHAR(10)&amp;'P01'!$F42,'P01'!$E42)</f>
        <v>0</v>
      </c>
      <c r="G46" s="89">
        <f>IF('P02'!$E42&gt;"",'P02'!$E42&amp;" "&amp;CHAR(10)&amp;'P02'!$F42,'P02'!$E42)</f>
        <v>0</v>
      </c>
      <c r="H46" s="89">
        <f>IF('P03'!$E42&gt;"",'P03'!$E42&amp;" "&amp;CHAR(10)&amp;'P03'!$F42,'P03'!$E42)</f>
        <v>0</v>
      </c>
      <c r="I46" s="89">
        <f>IF('P04'!$E42&gt;"",'P04'!$E42&amp;" "&amp;CHAR(10)&amp;'P04'!$F42,'P04'!$E42)</f>
        <v>0</v>
      </c>
      <c r="J46" s="89">
        <f>IF('P05'!$E42&gt;"",'P05'!$E42&amp;" "&amp;CHAR(10)&amp;'P05'!$F42,'P05'!$E42)</f>
        <v>0</v>
      </c>
      <c r="K46" s="89">
        <f>IF('P06'!$E42&gt;"",'P06'!$E42&amp;" "&amp;CHAR(10)&amp;'P06'!$F42,'P06'!$E42)</f>
        <v>0</v>
      </c>
      <c r="L46" s="89">
        <f>IF('P07'!$E42&gt;"",'P07'!$E42&amp;" "&amp;CHAR(10)&amp;'P07'!$F42,'P07'!$E42)</f>
        <v>0</v>
      </c>
      <c r="M46" s="89">
        <f>IF('P08'!$E42&gt;"",'P08'!$E42&amp;" "&amp;CHAR(10)&amp;'P08'!$F42,'P08'!$E42)</f>
        <v>0</v>
      </c>
      <c r="N46" s="89">
        <f>IF('P09'!$E42&gt;"",'P09'!$E42&amp;" "&amp;CHAR(10)&amp;'P09'!$F42,'P09'!$E42)</f>
        <v>0</v>
      </c>
      <c r="O46" s="89">
        <f>IF('P10'!$E42&gt;"",'P10'!$E42&amp;" "&amp;CHAR(10)&amp;'P10'!$F42,'P10'!$E42)</f>
        <v>0</v>
      </c>
      <c r="P46" s="89">
        <f>IF('P11'!$E42&gt;"",'P11'!$E42&amp;" "&amp;CHAR(10)&amp;'P11'!$F42,'P11'!$E42)</f>
        <v>0</v>
      </c>
      <c r="Q46" s="89">
        <f>IF('P12'!$E42&gt;"",'P12'!$E42&amp;" "&amp;CHAR(10)&amp;'P12'!$F42,'P12'!$E42)</f>
        <v>0</v>
      </c>
      <c r="R46" s="89">
        <f>IF('P13'!$E42&gt;"",'P13'!$E42&amp;" "&amp;CHAR(10)&amp;'P13'!$F42,'P13'!$E42)</f>
        <v>0</v>
      </c>
      <c r="S46" s="89">
        <f>IF('P14'!$E42&gt;"",'P14'!$E42&amp;" "&amp;CHAR(10)&amp;'P14'!$F42,'P14'!$E42)</f>
        <v>0</v>
      </c>
      <c r="T46" s="89">
        <f>IF('P15'!$E42&gt;"",'P15'!$E42&amp;" "&amp;CHAR(10)&amp;'P15'!$F42,'P15'!$E42)</f>
        <v>0</v>
      </c>
      <c r="U46" s="89">
        <f>IF('P16'!$E42&gt;"",'P16'!$E42&amp;" "&amp;CHAR(10)&amp;'P16'!$F42,'P16'!$E42)</f>
        <v>0</v>
      </c>
      <c r="V46" s="89">
        <f>IF('P17'!$E42&gt;"",'P17'!$E42&amp;" "&amp;CHAR(10)&amp;'P17'!$F42,'P17'!$E42)</f>
        <v>0</v>
      </c>
      <c r="W46" s="89">
        <f>IF('P18'!$E42&gt;"",'P18'!$E42&amp;" "&amp;CHAR(10)&amp;'P18'!$F42,'P18'!$E42)</f>
        <v>0</v>
      </c>
      <c r="X46" s="89">
        <f>IF('P19'!$E42&gt;"",'P19'!$E42&amp;" "&amp;CHAR(10)&amp;'P19'!$F42,'P19'!$E42)</f>
        <v>0</v>
      </c>
      <c r="Y46" s="89">
        <f>IF('P20'!$E42&gt;"",'P20'!$E42&amp;" "&amp;CHAR(10)&amp;'P20'!$F42,'P20'!$E42)</f>
        <v>0</v>
      </c>
      <c r="Z46" s="89">
        <f>IF('P21'!$E42&gt;"",'P21'!$E42&amp;" "&amp;CHAR(10)&amp;'P21'!$F42,'P21'!$E42)</f>
        <v>0</v>
      </c>
      <c r="AA46" s="89">
        <f>IF('P22'!$E42&gt;"",'P22'!$E42&amp;" "&amp;CHAR(10)&amp;'P22'!$F42,'P22'!$E42)</f>
        <v>0</v>
      </c>
      <c r="AB46" s="89">
        <f>IF('P23'!$E42&gt;"",'P23'!$E42&amp;" "&amp;CHAR(10)&amp;'P23'!$F42,'P23'!$E42)</f>
        <v>0</v>
      </c>
      <c r="AC46" s="89">
        <f>IF('P24'!$E42&gt;"",'P24'!$E42&amp;" "&amp;CHAR(10)&amp;'P24'!$F42,'P24'!$E42)</f>
        <v>0</v>
      </c>
      <c r="AD46" s="89">
        <f>IF('P25'!$E42&gt;"",'P25'!$E42&amp;" "&amp;CHAR(10)&amp;'P25'!$F42,'P25'!$E42)</f>
        <v>0</v>
      </c>
      <c r="AE46" s="89">
        <f>IF('P26'!$E42&gt;"",'P26'!$E42&amp;" "&amp;CHAR(10)&amp;'P26'!$F42,'P26'!$E42)</f>
        <v>0</v>
      </c>
      <c r="AF46" s="89">
        <f>IF('P27'!$E42&gt;"",'P27'!$E42&amp;" "&amp;CHAR(10)&amp;'P27'!$F42,'P27'!$E42)</f>
        <v>0</v>
      </c>
      <c r="AG46" s="89">
        <f>IF('P28'!$E42&gt;"",'P28'!$E42&amp;" "&amp;CHAR(10)&amp;'P28'!$F42,'P28'!$E42)</f>
        <v>0</v>
      </c>
      <c r="AH46" s="89">
        <f>IF('P29'!$E42&gt;"",'P29'!$E42&amp;" "&amp;CHAR(10)&amp;'P29'!$F42,'P29'!$E42)</f>
        <v>0</v>
      </c>
      <c r="AI46" s="89">
        <f>IF('P30'!$E42&gt;"",'P30'!$E42&amp;" "&amp;CHAR(10)&amp;'P30'!$F42,'P30'!$E42)</f>
        <v>0</v>
      </c>
      <c r="AJ46" s="89">
        <f>IF('P31'!$E42&gt;"",'P31'!$E42&amp;" "&amp;CHAR(10)&amp;'P31'!$F42,'P31'!$E42)</f>
        <v>0</v>
      </c>
      <c r="AK46" s="89">
        <f>IF('P32'!$E42&gt;"",'P32'!$E42&amp;" "&amp;CHAR(10)&amp;'P32'!$F42,'P32'!$E42)</f>
        <v>0</v>
      </c>
      <c r="AL46" s="89">
        <f>IF('P33'!$E42&gt;"",'P33'!$E42&amp;" "&amp;CHAR(10)&amp;'P33'!$F42,'P33'!$E42)</f>
        <v>0</v>
      </c>
      <c r="AM46" s="89">
        <f>IF('P34'!$E42&gt;"",'P34'!$E42&amp;" "&amp;CHAR(10)&amp;'P34'!$F42,'P34'!$E42)</f>
        <v>0</v>
      </c>
      <c r="AN46" s="89">
        <f>IF('P35'!$E42&gt;"",'P35'!$E42&amp;" "&amp;CHAR(10)&amp;'P35'!$F42,'P35'!$E42)</f>
        <v>0</v>
      </c>
      <c r="AO46" s="89">
        <f>IF('P36'!$E42&gt;"",'P36'!$E42&amp;" "&amp;CHAR(10)&amp;'P36'!$F42,'P36'!$E42)</f>
        <v>0</v>
      </c>
      <c r="AP46" s="89">
        <f>IF('P37'!$E42&gt;"",'P37'!$E42&amp;" "&amp;CHAR(10)&amp;'P37'!$F42,'P37'!$E42)</f>
        <v>0</v>
      </c>
      <c r="AQ46" s="89">
        <f>IF('P38'!$E42&gt;"",'P38'!$E42&amp;" "&amp;CHAR(10)&amp;'P38'!$F42,'P38'!$E42)</f>
        <v>0</v>
      </c>
      <c r="AR46" s="89">
        <f>IF('P39'!$E42&gt;"",'P39'!$E42&amp;" "&amp;CHAR(10)&amp;'P39'!$F42,'P39'!$E42)</f>
        <v>0</v>
      </c>
      <c r="AS46" s="89">
        <f>IF('P40'!$E42&gt;"",'P40'!$E42&amp;" "&amp;CHAR(10)&amp;'P40'!$F42,'P40'!$E42)</f>
        <v>0</v>
      </c>
      <c r="AT46" s="55">
        <f t="shared" si="5"/>
        <v>0</v>
      </c>
      <c r="AU46" s="9">
        <f t="shared" si="6"/>
        <v>0</v>
      </c>
      <c r="AV46" s="55">
        <f t="shared" si="7"/>
        <v>0</v>
      </c>
      <c r="AW46" s="38" t="str">
        <f t="shared" si="8"/>
        <v>NT</v>
      </c>
      <c r="AX46" s="12"/>
      <c r="AY46" s="10"/>
      <c r="AZ46" s="10"/>
      <c r="BA46" s="10" t="str">
        <f>IF('P01'!$G42&lt;&gt;"", 'P01'!$G42, "non")</f>
        <v>non</v>
      </c>
      <c r="BB46" s="10" t="str">
        <f>IF('P02'!$G42&lt;&gt;"", 'P02'!$G42, "non")</f>
        <v>non</v>
      </c>
      <c r="BC46" s="10" t="str">
        <f>IF('P03'!$G42&lt;&gt;"", 'P03'!$G42, "non")</f>
        <v>non</v>
      </c>
      <c r="BD46" s="10" t="str">
        <f>IF('P04'!$G42&lt;&gt;"", 'P04'!$G42, "non")</f>
        <v>non</v>
      </c>
      <c r="BE46" s="10" t="str">
        <f>IF('P05'!$G42&lt;&gt;"", 'P05'!$G42, "non")</f>
        <v>non</v>
      </c>
      <c r="BF46" s="10" t="str">
        <f>IF('P06'!$G42&lt;&gt;"", 'P06'!$G42, "non")</f>
        <v>non</v>
      </c>
      <c r="BG46" s="10" t="str">
        <f>IF('P07'!$G42&lt;&gt;"", 'P07'!$G42, "non")</f>
        <v>non</v>
      </c>
      <c r="BH46" s="10" t="str">
        <f>IF('P08'!$G42&lt;&gt;"", 'P08'!$G42, "non")</f>
        <v>non</v>
      </c>
      <c r="BI46" s="10" t="str">
        <f>IF('P09'!$G42&lt;&gt;"", 'P09'!$G42, "non")</f>
        <v>non</v>
      </c>
      <c r="BJ46" s="10" t="str">
        <f>IF('P10'!$G42&lt;&gt;"", 'P10'!$G42, "non")</f>
        <v>non</v>
      </c>
      <c r="BK46" s="10" t="str">
        <f>IF('P11'!$G42&lt;&gt;"", 'P11'!$G42, "non")</f>
        <v>non</v>
      </c>
      <c r="BL46" s="10" t="str">
        <f>IF('P12'!$G42&lt;&gt;"", 'P12'!$G42, "non")</f>
        <v>non</v>
      </c>
      <c r="BM46" s="10" t="str">
        <f>IF('P13'!$G42&lt;&gt;"", 'P13'!$G42, "non")</f>
        <v>non</v>
      </c>
      <c r="BN46" s="10" t="str">
        <f>IF('P14'!$G42&lt;&gt;"", 'P14'!$G42, "non")</f>
        <v>non</v>
      </c>
      <c r="BO46" s="10" t="str">
        <f>IF('P15'!$G42&lt;&gt;"", 'P15'!$G42, "non")</f>
        <v>non</v>
      </c>
      <c r="BP46" s="10" t="str">
        <f>IF('P16'!$G42&lt;&gt;"", 'P16'!$G42, "non")</f>
        <v>non</v>
      </c>
      <c r="BQ46" s="10" t="str">
        <f>IF('P17'!$G42&lt;&gt;"", 'P17'!$G42, "non")</f>
        <v>non</v>
      </c>
      <c r="BR46" s="10" t="str">
        <f>IF('P18'!$G42&lt;&gt;"", 'P18'!$G42, "non")</f>
        <v>non</v>
      </c>
      <c r="BS46" s="10" t="str">
        <f>IF('P19'!$G42&lt;&gt;"", 'P19'!$G42, "non")</f>
        <v>non</v>
      </c>
      <c r="BT46" s="11" t="str">
        <f>IF('P20'!$G42&lt;&gt;"", 'P20'!$G42, "non")</f>
        <v>non</v>
      </c>
      <c r="BU46" s="10" t="str">
        <f>IF('P21'!$G42&lt;&gt;"", 'P21'!$G42, "non")</f>
        <v>non</v>
      </c>
      <c r="BV46" s="11" t="str">
        <f>IF('P22'!$G42&lt;&gt;"", 'P22'!$G42, "non")</f>
        <v>non</v>
      </c>
      <c r="BW46" s="10" t="str">
        <f>IF('P23'!$G42&lt;&gt;"", 'P23'!$G42, "non")</f>
        <v>non</v>
      </c>
      <c r="BX46" s="11" t="str">
        <f>IF('P24'!$G42&lt;&gt;"", 'P24'!$G42, "non")</f>
        <v>non</v>
      </c>
      <c r="BY46" s="10" t="str">
        <f>IF('P25'!$G42&lt;&gt;"", 'P25'!$G42, "non")</f>
        <v>non</v>
      </c>
      <c r="BZ46" s="11" t="str">
        <f>IF('P26'!$G42&lt;&gt;"", 'P26'!$G42, "non")</f>
        <v>non</v>
      </c>
      <c r="CA46" s="10" t="str">
        <f>IF('P27'!$G42&lt;&gt;"", 'P27'!$G42, "non")</f>
        <v>non</v>
      </c>
      <c r="CB46" s="11" t="str">
        <f>IF('P28'!$G42&lt;&gt;"", 'P28'!$G42, "non")</f>
        <v>non</v>
      </c>
      <c r="CC46" s="10" t="str">
        <f>IF('P29'!$G42&lt;&gt;"", 'P29'!$G42, "non")</f>
        <v>non</v>
      </c>
      <c r="CD46" s="11" t="str">
        <f>IF('P30'!$G42&lt;&gt;"", 'P30'!$G42, "non")</f>
        <v>non</v>
      </c>
      <c r="CE46" s="10" t="str">
        <f>IF('P31'!$G42&lt;&gt;"", 'P31'!$G42, "non")</f>
        <v>non</v>
      </c>
      <c r="CF46" s="11" t="str">
        <f>IF('P32'!$G42&lt;&gt;"", 'P32'!$G42, "non")</f>
        <v>non</v>
      </c>
      <c r="CG46" s="10" t="str">
        <f>IF('P33'!$G42&lt;&gt;"", 'P33'!$G42, "non")</f>
        <v>non</v>
      </c>
      <c r="CH46" s="10" t="str">
        <f>IF('P34'!$G42&lt;&gt;"", 'P34'!$G42, "non")</f>
        <v>non</v>
      </c>
      <c r="CI46" s="11" t="str">
        <f>IF('P35'!$G42&lt;&gt;"", 'P35'!$G42, "non")</f>
        <v>non</v>
      </c>
      <c r="CJ46" s="10" t="str">
        <f>IF('P36'!$G42&lt;&gt;"", 'P36'!$G42, "non")</f>
        <v>non</v>
      </c>
      <c r="CK46" s="11" t="str">
        <f>IF('P37'!$G42&lt;&gt;"", 'P37'!$G42, "non")</f>
        <v>non</v>
      </c>
      <c r="CL46" s="10" t="str">
        <f>IF('P38'!$G42&lt;&gt;"", 'P38'!$G42, "non")</f>
        <v>non</v>
      </c>
      <c r="CM46" s="11" t="str">
        <f>IF('P39'!$G42&lt;&gt;"", 'P39'!$G42, "non")</f>
        <v>non</v>
      </c>
      <c r="CN46" s="10" t="str">
        <f>IF('P40'!$G42&lt;&gt;"", 'P40'!$G42, "non")</f>
        <v>non</v>
      </c>
    </row>
    <row r="47" spans="1:92" ht="39.75" customHeight="1">
      <c r="A47" s="122" t="str">
        <f>'Critères et tests'!B42</f>
        <v>SCRIPTS</v>
      </c>
      <c r="B47" s="124" t="str">
        <f>'Critères et tests'!$A42</f>
        <v>7.3</v>
      </c>
      <c r="C47" s="192" t="str">
        <f>VLOOKUP(B47,'Critères et tests'!$1:$1048576,5,FALSE)</f>
        <v>Chaque script est-il contrôlable par le clavier et par tout dispositif de pointage (hors cas particuliers) ?</v>
      </c>
      <c r="D47" s="124" t="str">
        <f>'Critères et tests'!$C42</f>
        <v>A</v>
      </c>
      <c r="E47" s="156" t="s">
        <v>460</v>
      </c>
      <c r="F47" s="88">
        <f>IF('P01'!$E43&gt;"",'P01'!$E43&amp;" "&amp;CHAR(10)&amp;'P01'!$F43,'P01'!$E43)</f>
        <v>0</v>
      </c>
      <c r="G47" s="89">
        <f>IF('P02'!$E43&gt;"",'P02'!$E43&amp;" "&amp;CHAR(10)&amp;'P02'!$F43,'P02'!$E43)</f>
        <v>0</v>
      </c>
      <c r="H47" s="89">
        <f>IF('P03'!$E43&gt;"",'P03'!$E43&amp;" "&amp;CHAR(10)&amp;'P03'!$F43,'P03'!$E43)</f>
        <v>0</v>
      </c>
      <c r="I47" s="89">
        <f>IF('P04'!$E43&gt;"",'P04'!$E43&amp;" "&amp;CHAR(10)&amp;'P04'!$F43,'P04'!$E43)</f>
        <v>0</v>
      </c>
      <c r="J47" s="89">
        <f>IF('P05'!$E43&gt;"",'P05'!$E43&amp;" "&amp;CHAR(10)&amp;'P05'!$F43,'P05'!$E43)</f>
        <v>0</v>
      </c>
      <c r="K47" s="89">
        <f>IF('P06'!$E43&gt;"",'P06'!$E43&amp;" "&amp;CHAR(10)&amp;'P06'!$F43,'P06'!$E43)</f>
        <v>0</v>
      </c>
      <c r="L47" s="89">
        <f>IF('P07'!$E43&gt;"",'P07'!$E43&amp;" "&amp;CHAR(10)&amp;'P07'!$F43,'P07'!$E43)</f>
        <v>0</v>
      </c>
      <c r="M47" s="89">
        <f>IF('P08'!$E43&gt;"",'P08'!$E43&amp;" "&amp;CHAR(10)&amp;'P08'!$F43,'P08'!$E43)</f>
        <v>0</v>
      </c>
      <c r="N47" s="89">
        <f>IF('P09'!$E43&gt;"",'P09'!$E43&amp;" "&amp;CHAR(10)&amp;'P09'!$F43,'P09'!$E43)</f>
        <v>0</v>
      </c>
      <c r="O47" s="89">
        <f>IF('P10'!$E43&gt;"",'P10'!$E43&amp;" "&amp;CHAR(10)&amp;'P10'!$F43,'P10'!$E43)</f>
        <v>0</v>
      </c>
      <c r="P47" s="89">
        <f>IF('P11'!$E43&gt;"",'P11'!$E43&amp;" "&amp;CHAR(10)&amp;'P11'!$F43,'P11'!$E43)</f>
        <v>0</v>
      </c>
      <c r="Q47" s="89">
        <f>IF('P12'!$E43&gt;"",'P12'!$E43&amp;" "&amp;CHAR(10)&amp;'P12'!$F43,'P12'!$E43)</f>
        <v>0</v>
      </c>
      <c r="R47" s="89">
        <f>IF('P13'!$E43&gt;"",'P13'!$E43&amp;" "&amp;CHAR(10)&amp;'P13'!$F43,'P13'!$E43)</f>
        <v>0</v>
      </c>
      <c r="S47" s="89">
        <f>IF('P14'!$E43&gt;"",'P14'!$E43&amp;" "&amp;CHAR(10)&amp;'P14'!$F43,'P14'!$E43)</f>
        <v>0</v>
      </c>
      <c r="T47" s="89">
        <f>IF('P15'!$E43&gt;"",'P15'!$E43&amp;" "&amp;CHAR(10)&amp;'P15'!$F43,'P15'!$E43)</f>
        <v>0</v>
      </c>
      <c r="U47" s="89">
        <f>IF('P16'!$E43&gt;"",'P16'!$E43&amp;" "&amp;CHAR(10)&amp;'P16'!$F43,'P16'!$E43)</f>
        <v>0</v>
      </c>
      <c r="V47" s="89">
        <f>IF('P17'!$E43&gt;"",'P17'!$E43&amp;" "&amp;CHAR(10)&amp;'P17'!$F43,'P17'!$E43)</f>
        <v>0</v>
      </c>
      <c r="W47" s="89">
        <f>IF('P18'!$E43&gt;"",'P18'!$E43&amp;" "&amp;CHAR(10)&amp;'P18'!$F43,'P18'!$E43)</f>
        <v>0</v>
      </c>
      <c r="X47" s="89">
        <f>IF('P19'!$E43&gt;"",'P19'!$E43&amp;" "&amp;CHAR(10)&amp;'P19'!$F43,'P19'!$E43)</f>
        <v>0</v>
      </c>
      <c r="Y47" s="89">
        <f>IF('P20'!$E43&gt;"",'P20'!$E43&amp;" "&amp;CHAR(10)&amp;'P20'!$F43,'P20'!$E43)</f>
        <v>0</v>
      </c>
      <c r="Z47" s="89">
        <f>IF('P21'!$E43&gt;"",'P21'!$E43&amp;" "&amp;CHAR(10)&amp;'P21'!$F43,'P21'!$E43)</f>
        <v>0</v>
      </c>
      <c r="AA47" s="89">
        <f>IF('P22'!$E43&gt;"",'P22'!$E43&amp;" "&amp;CHAR(10)&amp;'P22'!$F43,'P22'!$E43)</f>
        <v>0</v>
      </c>
      <c r="AB47" s="89">
        <f>IF('P23'!$E43&gt;"",'P23'!$E43&amp;" "&amp;CHAR(10)&amp;'P23'!$F43,'P23'!$E43)</f>
        <v>0</v>
      </c>
      <c r="AC47" s="89">
        <f>IF('P24'!$E43&gt;"",'P24'!$E43&amp;" "&amp;CHAR(10)&amp;'P24'!$F43,'P24'!$E43)</f>
        <v>0</v>
      </c>
      <c r="AD47" s="89">
        <f>IF('P25'!$E43&gt;"",'P25'!$E43&amp;" "&amp;CHAR(10)&amp;'P25'!$F43,'P25'!$E43)</f>
        <v>0</v>
      </c>
      <c r="AE47" s="89">
        <f>IF('P26'!$E43&gt;"",'P26'!$E43&amp;" "&amp;CHAR(10)&amp;'P26'!$F43,'P26'!$E43)</f>
        <v>0</v>
      </c>
      <c r="AF47" s="89">
        <f>IF('P27'!$E43&gt;"",'P27'!$E43&amp;" "&amp;CHAR(10)&amp;'P27'!$F43,'P27'!$E43)</f>
        <v>0</v>
      </c>
      <c r="AG47" s="89">
        <f>IF('P28'!$E43&gt;"",'P28'!$E43&amp;" "&amp;CHAR(10)&amp;'P28'!$F43,'P28'!$E43)</f>
        <v>0</v>
      </c>
      <c r="AH47" s="89">
        <f>IF('P29'!$E43&gt;"",'P29'!$E43&amp;" "&amp;CHAR(10)&amp;'P29'!$F43,'P29'!$E43)</f>
        <v>0</v>
      </c>
      <c r="AI47" s="89">
        <f>IF('P30'!$E43&gt;"",'P30'!$E43&amp;" "&amp;CHAR(10)&amp;'P30'!$F43,'P30'!$E43)</f>
        <v>0</v>
      </c>
      <c r="AJ47" s="89">
        <f>IF('P31'!$E43&gt;"",'P31'!$E43&amp;" "&amp;CHAR(10)&amp;'P31'!$F43,'P31'!$E43)</f>
        <v>0</v>
      </c>
      <c r="AK47" s="89">
        <f>IF('P32'!$E43&gt;"",'P32'!$E43&amp;" "&amp;CHAR(10)&amp;'P32'!$F43,'P32'!$E43)</f>
        <v>0</v>
      </c>
      <c r="AL47" s="89">
        <f>IF('P33'!$E43&gt;"",'P33'!$E43&amp;" "&amp;CHAR(10)&amp;'P33'!$F43,'P33'!$E43)</f>
        <v>0</v>
      </c>
      <c r="AM47" s="89">
        <f>IF('P34'!$E43&gt;"",'P34'!$E43&amp;" "&amp;CHAR(10)&amp;'P34'!$F43,'P34'!$E43)</f>
        <v>0</v>
      </c>
      <c r="AN47" s="89">
        <f>IF('P35'!$E43&gt;"",'P35'!$E43&amp;" "&amp;CHAR(10)&amp;'P35'!$F43,'P35'!$E43)</f>
        <v>0</v>
      </c>
      <c r="AO47" s="89">
        <f>IF('P36'!$E43&gt;"",'P36'!$E43&amp;" "&amp;CHAR(10)&amp;'P36'!$F43,'P36'!$E43)</f>
        <v>0</v>
      </c>
      <c r="AP47" s="89">
        <f>IF('P37'!$E43&gt;"",'P37'!$E43&amp;" "&amp;CHAR(10)&amp;'P37'!$F43,'P37'!$E43)</f>
        <v>0</v>
      </c>
      <c r="AQ47" s="89">
        <f>IF('P38'!$E43&gt;"",'P38'!$E43&amp;" "&amp;CHAR(10)&amp;'P38'!$F43,'P38'!$E43)</f>
        <v>0</v>
      </c>
      <c r="AR47" s="89">
        <f>IF('P39'!$E43&gt;"",'P39'!$E43&amp;" "&amp;CHAR(10)&amp;'P39'!$F43,'P39'!$E43)</f>
        <v>0</v>
      </c>
      <c r="AS47" s="89">
        <f>IF('P40'!$E43&gt;"",'P40'!$E43&amp;" "&amp;CHAR(10)&amp;'P40'!$F43,'P40'!$E43)</f>
        <v>0</v>
      </c>
      <c r="AT47" s="55">
        <f t="shared" si="5"/>
        <v>0</v>
      </c>
      <c r="AU47" s="9">
        <f t="shared" si="6"/>
        <v>0</v>
      </c>
      <c r="AV47" s="55">
        <f t="shared" si="7"/>
        <v>0</v>
      </c>
      <c r="AW47" s="38" t="str">
        <f t="shared" si="8"/>
        <v>NT</v>
      </c>
      <c r="AX47" s="12"/>
      <c r="AY47" s="10"/>
      <c r="AZ47" s="10"/>
      <c r="BA47" s="10" t="str">
        <f>IF('P01'!$G43&lt;&gt;"", 'P01'!$G43, "non")</f>
        <v>non</v>
      </c>
      <c r="BB47" s="10" t="str">
        <f>IF('P02'!$G43&lt;&gt;"", 'P02'!$G43, "non")</f>
        <v>non</v>
      </c>
      <c r="BC47" s="10" t="str">
        <f>IF('P03'!$G43&lt;&gt;"", 'P03'!$G43, "non")</f>
        <v>non</v>
      </c>
      <c r="BD47" s="10" t="str">
        <f>IF('P04'!$G43&lt;&gt;"", 'P04'!$G43, "non")</f>
        <v>non</v>
      </c>
      <c r="BE47" s="10" t="str">
        <f>IF('P05'!$G43&lt;&gt;"", 'P05'!$G43, "non")</f>
        <v>non</v>
      </c>
      <c r="BF47" s="10" t="str">
        <f>IF('P06'!$G43&lt;&gt;"", 'P06'!$G43, "non")</f>
        <v>non</v>
      </c>
      <c r="BG47" s="10" t="str">
        <f>IF('P07'!$G43&lt;&gt;"", 'P07'!$G43, "non")</f>
        <v>non</v>
      </c>
      <c r="BH47" s="10" t="str">
        <f>IF('P08'!$G43&lt;&gt;"", 'P08'!$G43, "non")</f>
        <v>non</v>
      </c>
      <c r="BI47" s="10" t="str">
        <f>IF('P09'!$G43&lt;&gt;"", 'P09'!$G43, "non")</f>
        <v>non</v>
      </c>
      <c r="BJ47" s="10" t="str">
        <f>IF('P10'!$G43&lt;&gt;"", 'P10'!$G43, "non")</f>
        <v>non</v>
      </c>
      <c r="BK47" s="10" t="str">
        <f>IF('P11'!$G43&lt;&gt;"", 'P11'!$G43, "non")</f>
        <v>non</v>
      </c>
      <c r="BL47" s="10" t="str">
        <f>IF('P12'!$G43&lt;&gt;"", 'P12'!$G43, "non")</f>
        <v>non</v>
      </c>
      <c r="BM47" s="10" t="str">
        <f>IF('P13'!$G43&lt;&gt;"", 'P13'!$G43, "non")</f>
        <v>non</v>
      </c>
      <c r="BN47" s="10" t="str">
        <f>IF('P14'!$G43&lt;&gt;"", 'P14'!$G43, "non")</f>
        <v>non</v>
      </c>
      <c r="BO47" s="10" t="str">
        <f>IF('P15'!$G43&lt;&gt;"", 'P15'!$G43, "non")</f>
        <v>non</v>
      </c>
      <c r="BP47" s="10" t="str">
        <f>IF('P16'!$G43&lt;&gt;"", 'P16'!$G43, "non")</f>
        <v>non</v>
      </c>
      <c r="BQ47" s="10" t="str">
        <f>IF('P17'!$G43&lt;&gt;"", 'P17'!$G43, "non")</f>
        <v>non</v>
      </c>
      <c r="BR47" s="10" t="str">
        <f>IF('P18'!$G43&lt;&gt;"", 'P18'!$G43, "non")</f>
        <v>non</v>
      </c>
      <c r="BS47" s="10" t="str">
        <f>IF('P19'!$G43&lt;&gt;"", 'P19'!$G43, "non")</f>
        <v>non</v>
      </c>
      <c r="BT47" s="11" t="str">
        <f>IF('P20'!$G43&lt;&gt;"", 'P20'!$G43, "non")</f>
        <v>non</v>
      </c>
      <c r="BU47" s="10" t="str">
        <f>IF('P21'!$G43&lt;&gt;"", 'P21'!$G43, "non")</f>
        <v>non</v>
      </c>
      <c r="BV47" s="11" t="str">
        <f>IF('P22'!$G43&lt;&gt;"", 'P22'!$G43, "non")</f>
        <v>non</v>
      </c>
      <c r="BW47" s="10" t="str">
        <f>IF('P23'!$G43&lt;&gt;"", 'P23'!$G43, "non")</f>
        <v>non</v>
      </c>
      <c r="BX47" s="11" t="str">
        <f>IF('P24'!$G43&lt;&gt;"", 'P24'!$G43, "non")</f>
        <v>non</v>
      </c>
      <c r="BY47" s="10" t="str">
        <f>IF('P25'!$G43&lt;&gt;"", 'P25'!$G43, "non")</f>
        <v>non</v>
      </c>
      <c r="BZ47" s="11" t="str">
        <f>IF('P26'!$G43&lt;&gt;"", 'P26'!$G43, "non")</f>
        <v>non</v>
      </c>
      <c r="CA47" s="10" t="str">
        <f>IF('P27'!$G43&lt;&gt;"", 'P27'!$G43, "non")</f>
        <v>non</v>
      </c>
      <c r="CB47" s="11" t="str">
        <f>IF('P28'!$G43&lt;&gt;"", 'P28'!$G43, "non")</f>
        <v>non</v>
      </c>
      <c r="CC47" s="10" t="str">
        <f>IF('P29'!$G43&lt;&gt;"", 'P29'!$G43, "non")</f>
        <v>non</v>
      </c>
      <c r="CD47" s="11" t="str">
        <f>IF('P30'!$G43&lt;&gt;"", 'P30'!$G43, "non")</f>
        <v>non</v>
      </c>
      <c r="CE47" s="10" t="str">
        <f>IF('P31'!$G43&lt;&gt;"", 'P31'!$G43, "non")</f>
        <v>non</v>
      </c>
      <c r="CF47" s="11" t="str">
        <f>IF('P32'!$G43&lt;&gt;"", 'P32'!$G43, "non")</f>
        <v>non</v>
      </c>
      <c r="CG47" s="10" t="str">
        <f>IF('P33'!$G43&lt;&gt;"", 'P33'!$G43, "non")</f>
        <v>non</v>
      </c>
      <c r="CH47" s="10" t="str">
        <f>IF('P34'!$G43&lt;&gt;"", 'P34'!$G43, "non")</f>
        <v>non</v>
      </c>
      <c r="CI47" s="11" t="str">
        <f>IF('P35'!$G43&lt;&gt;"", 'P35'!$G43, "non")</f>
        <v>non</v>
      </c>
      <c r="CJ47" s="10" t="str">
        <f>IF('P36'!$G43&lt;&gt;"", 'P36'!$G43, "non")</f>
        <v>non</v>
      </c>
      <c r="CK47" s="11" t="str">
        <f>IF('P37'!$G43&lt;&gt;"", 'P37'!$G43, "non")</f>
        <v>non</v>
      </c>
      <c r="CL47" s="10" t="str">
        <f>IF('P38'!$G43&lt;&gt;"", 'P38'!$G43, "non")</f>
        <v>non</v>
      </c>
      <c r="CM47" s="11" t="str">
        <f>IF('P39'!$G43&lt;&gt;"", 'P39'!$G43, "non")</f>
        <v>non</v>
      </c>
      <c r="CN47" s="10" t="str">
        <f>IF('P40'!$G43&lt;&gt;"", 'P40'!$G43, "non")</f>
        <v>non</v>
      </c>
    </row>
    <row r="48" spans="1:92" ht="39.75" customHeight="1">
      <c r="A48" s="122" t="str">
        <f>'Critères et tests'!B43</f>
        <v>SCRIPTS</v>
      </c>
      <c r="B48" s="124" t="str">
        <f>'Critères et tests'!$A43</f>
        <v>7.4</v>
      </c>
      <c r="C48" s="192" t="str">
        <f>VLOOKUP(B48,'Critères et tests'!$1:$1048576,5,FALSE)</f>
        <v>Pour chaque script qui initie un changement de contexte, l’utilisateur est-il averti ou en a-t-il le contrôle ?</v>
      </c>
      <c r="D48" s="124" t="str">
        <f>'Critères et tests'!$C43</f>
        <v>A</v>
      </c>
      <c r="E48" s="156" t="s">
        <v>460</v>
      </c>
      <c r="F48" s="88">
        <f>IF('P01'!$E44&gt;"",'P01'!$E44&amp;" "&amp;CHAR(10)&amp;'P01'!$F44,'P01'!$E44)</f>
        <v>0</v>
      </c>
      <c r="G48" s="89">
        <f>IF('P02'!$E44&gt;"",'P02'!$E44&amp;" "&amp;CHAR(10)&amp;'P02'!$F44,'P02'!$E44)</f>
        <v>0</v>
      </c>
      <c r="H48" s="89">
        <f>IF('P03'!$E44&gt;"",'P03'!$E44&amp;" "&amp;CHAR(10)&amp;'P03'!$F44,'P03'!$E44)</f>
        <v>0</v>
      </c>
      <c r="I48" s="89">
        <f>IF('P04'!$E44&gt;"",'P04'!$E44&amp;" "&amp;CHAR(10)&amp;'P04'!$F44,'P04'!$E44)</f>
        <v>0</v>
      </c>
      <c r="J48" s="89">
        <f>IF('P05'!$E44&gt;"",'P05'!$E44&amp;" "&amp;CHAR(10)&amp;'P05'!$F44,'P05'!$E44)</f>
        <v>0</v>
      </c>
      <c r="K48" s="89">
        <f>IF('P06'!$E44&gt;"",'P06'!$E44&amp;" "&amp;CHAR(10)&amp;'P06'!$F44,'P06'!$E44)</f>
        <v>0</v>
      </c>
      <c r="L48" s="89">
        <f>IF('P07'!$E44&gt;"",'P07'!$E44&amp;" "&amp;CHAR(10)&amp;'P07'!$F44,'P07'!$E44)</f>
        <v>0</v>
      </c>
      <c r="M48" s="89">
        <f>IF('P08'!$E44&gt;"",'P08'!$E44&amp;" "&amp;CHAR(10)&amp;'P08'!$F44,'P08'!$E44)</f>
        <v>0</v>
      </c>
      <c r="N48" s="89">
        <f>IF('P09'!$E44&gt;"",'P09'!$E44&amp;" "&amp;CHAR(10)&amp;'P09'!$F44,'P09'!$E44)</f>
        <v>0</v>
      </c>
      <c r="O48" s="89">
        <f>IF('P10'!$E44&gt;"",'P10'!$E44&amp;" "&amp;CHAR(10)&amp;'P10'!$F44,'P10'!$E44)</f>
        <v>0</v>
      </c>
      <c r="P48" s="89">
        <f>IF('P11'!$E44&gt;"",'P11'!$E44&amp;" "&amp;CHAR(10)&amp;'P11'!$F44,'P11'!$E44)</f>
        <v>0</v>
      </c>
      <c r="Q48" s="89">
        <f>IF('P12'!$E44&gt;"",'P12'!$E44&amp;" "&amp;CHAR(10)&amp;'P12'!$F44,'P12'!$E44)</f>
        <v>0</v>
      </c>
      <c r="R48" s="89">
        <f>IF('P13'!$E44&gt;"",'P13'!$E44&amp;" "&amp;CHAR(10)&amp;'P13'!$F44,'P13'!$E44)</f>
        <v>0</v>
      </c>
      <c r="S48" s="89">
        <f>IF('P14'!$E44&gt;"",'P14'!$E44&amp;" "&amp;CHAR(10)&amp;'P14'!$F44,'P14'!$E44)</f>
        <v>0</v>
      </c>
      <c r="T48" s="89">
        <f>IF('P15'!$E44&gt;"",'P15'!$E44&amp;" "&amp;CHAR(10)&amp;'P15'!$F44,'P15'!$E44)</f>
        <v>0</v>
      </c>
      <c r="U48" s="89">
        <f>IF('P16'!$E44&gt;"",'P16'!$E44&amp;" "&amp;CHAR(10)&amp;'P16'!$F44,'P16'!$E44)</f>
        <v>0</v>
      </c>
      <c r="V48" s="89">
        <f>IF('P17'!$E44&gt;"",'P17'!$E44&amp;" "&amp;CHAR(10)&amp;'P17'!$F44,'P17'!$E44)</f>
        <v>0</v>
      </c>
      <c r="W48" s="89">
        <f>IF('P18'!$E44&gt;"",'P18'!$E44&amp;" "&amp;CHAR(10)&amp;'P18'!$F44,'P18'!$E44)</f>
        <v>0</v>
      </c>
      <c r="X48" s="89">
        <f>IF('P19'!$E44&gt;"",'P19'!$E44&amp;" "&amp;CHAR(10)&amp;'P19'!$F44,'P19'!$E44)</f>
        <v>0</v>
      </c>
      <c r="Y48" s="89">
        <f>IF('P20'!$E44&gt;"",'P20'!$E44&amp;" "&amp;CHAR(10)&amp;'P20'!$F44,'P20'!$E44)</f>
        <v>0</v>
      </c>
      <c r="Z48" s="89">
        <f>IF('P21'!$E44&gt;"",'P21'!$E44&amp;" "&amp;CHAR(10)&amp;'P21'!$F44,'P21'!$E44)</f>
        <v>0</v>
      </c>
      <c r="AA48" s="89">
        <f>IF('P22'!$E44&gt;"",'P22'!$E44&amp;" "&amp;CHAR(10)&amp;'P22'!$F44,'P22'!$E44)</f>
        <v>0</v>
      </c>
      <c r="AB48" s="89">
        <f>IF('P23'!$E44&gt;"",'P23'!$E44&amp;" "&amp;CHAR(10)&amp;'P23'!$F44,'P23'!$E44)</f>
        <v>0</v>
      </c>
      <c r="AC48" s="89">
        <f>IF('P24'!$E44&gt;"",'P24'!$E44&amp;" "&amp;CHAR(10)&amp;'P24'!$F44,'P24'!$E44)</f>
        <v>0</v>
      </c>
      <c r="AD48" s="89">
        <f>IF('P25'!$E44&gt;"",'P25'!$E44&amp;" "&amp;CHAR(10)&amp;'P25'!$F44,'P25'!$E44)</f>
        <v>0</v>
      </c>
      <c r="AE48" s="89">
        <f>IF('P26'!$E44&gt;"",'P26'!$E44&amp;" "&amp;CHAR(10)&amp;'P26'!$F44,'P26'!$E44)</f>
        <v>0</v>
      </c>
      <c r="AF48" s="89">
        <f>IF('P27'!$E44&gt;"",'P27'!$E44&amp;" "&amp;CHAR(10)&amp;'P27'!$F44,'P27'!$E44)</f>
        <v>0</v>
      </c>
      <c r="AG48" s="89">
        <f>IF('P28'!$E44&gt;"",'P28'!$E44&amp;" "&amp;CHAR(10)&amp;'P28'!$F44,'P28'!$E44)</f>
        <v>0</v>
      </c>
      <c r="AH48" s="89">
        <f>IF('P29'!$E44&gt;"",'P29'!$E44&amp;" "&amp;CHAR(10)&amp;'P29'!$F44,'P29'!$E44)</f>
        <v>0</v>
      </c>
      <c r="AI48" s="89">
        <f>IF('P30'!$E44&gt;"",'P30'!$E44&amp;" "&amp;CHAR(10)&amp;'P30'!$F44,'P30'!$E44)</f>
        <v>0</v>
      </c>
      <c r="AJ48" s="89">
        <f>IF('P31'!$E44&gt;"",'P31'!$E44&amp;" "&amp;CHAR(10)&amp;'P31'!$F44,'P31'!$E44)</f>
        <v>0</v>
      </c>
      <c r="AK48" s="89">
        <f>IF('P32'!$E44&gt;"",'P32'!$E44&amp;" "&amp;CHAR(10)&amp;'P32'!$F44,'P32'!$E44)</f>
        <v>0</v>
      </c>
      <c r="AL48" s="89">
        <f>IF('P33'!$E44&gt;"",'P33'!$E44&amp;" "&amp;CHAR(10)&amp;'P33'!$F44,'P33'!$E44)</f>
        <v>0</v>
      </c>
      <c r="AM48" s="89">
        <f>IF('P34'!$E44&gt;"",'P34'!$E44&amp;" "&amp;CHAR(10)&amp;'P34'!$F44,'P34'!$E44)</f>
        <v>0</v>
      </c>
      <c r="AN48" s="89">
        <f>IF('P35'!$E44&gt;"",'P35'!$E44&amp;" "&amp;CHAR(10)&amp;'P35'!$F44,'P35'!$E44)</f>
        <v>0</v>
      </c>
      <c r="AO48" s="89">
        <f>IF('P36'!$E44&gt;"",'P36'!$E44&amp;" "&amp;CHAR(10)&amp;'P36'!$F44,'P36'!$E44)</f>
        <v>0</v>
      </c>
      <c r="AP48" s="89">
        <f>IF('P37'!$E44&gt;"",'P37'!$E44&amp;" "&amp;CHAR(10)&amp;'P37'!$F44,'P37'!$E44)</f>
        <v>0</v>
      </c>
      <c r="AQ48" s="89">
        <f>IF('P38'!$E44&gt;"",'P38'!$E44&amp;" "&amp;CHAR(10)&amp;'P38'!$F44,'P38'!$E44)</f>
        <v>0</v>
      </c>
      <c r="AR48" s="89">
        <f>IF('P39'!$E44&gt;"",'P39'!$E44&amp;" "&amp;CHAR(10)&amp;'P39'!$F44,'P39'!$E44)</f>
        <v>0</v>
      </c>
      <c r="AS48" s="89">
        <f>IF('P40'!$E44&gt;"",'P40'!$E44&amp;" "&amp;CHAR(10)&amp;'P40'!$F44,'P40'!$E44)</f>
        <v>0</v>
      </c>
      <c r="AT48" s="55">
        <f t="shared" si="5"/>
        <v>0</v>
      </c>
      <c r="AU48" s="9">
        <f t="shared" si="6"/>
        <v>0</v>
      </c>
      <c r="AV48" s="55">
        <f t="shared" si="7"/>
        <v>0</v>
      </c>
      <c r="AW48" s="38" t="str">
        <f t="shared" si="8"/>
        <v>NT</v>
      </c>
      <c r="AX48" s="12"/>
      <c r="AY48" s="10"/>
      <c r="AZ48" s="10"/>
      <c r="BA48" s="10" t="str">
        <f>IF('P01'!$G44&lt;&gt;"", 'P01'!$G44, "non")</f>
        <v>non</v>
      </c>
      <c r="BB48" s="10" t="str">
        <f>IF('P02'!$G44&lt;&gt;"", 'P02'!$G44, "non")</f>
        <v>non</v>
      </c>
      <c r="BC48" s="10" t="str">
        <f>IF('P03'!$G44&lt;&gt;"", 'P03'!$G44, "non")</f>
        <v>non</v>
      </c>
      <c r="BD48" s="10" t="str">
        <f>IF('P04'!$G44&lt;&gt;"", 'P04'!$G44, "non")</f>
        <v>non</v>
      </c>
      <c r="BE48" s="10" t="str">
        <f>IF('P05'!$G44&lt;&gt;"", 'P05'!$G44, "non")</f>
        <v>non</v>
      </c>
      <c r="BF48" s="10" t="str">
        <f>IF('P06'!$G44&lt;&gt;"", 'P06'!$G44, "non")</f>
        <v>non</v>
      </c>
      <c r="BG48" s="10" t="str">
        <f>IF('P07'!$G44&lt;&gt;"", 'P07'!$G44, "non")</f>
        <v>non</v>
      </c>
      <c r="BH48" s="10" t="str">
        <f>IF('P08'!$G44&lt;&gt;"", 'P08'!$G44, "non")</f>
        <v>non</v>
      </c>
      <c r="BI48" s="10" t="str">
        <f>IF('P09'!$G44&lt;&gt;"", 'P09'!$G44, "non")</f>
        <v>non</v>
      </c>
      <c r="BJ48" s="10" t="str">
        <f>IF('P10'!$G44&lt;&gt;"", 'P10'!$G44, "non")</f>
        <v>non</v>
      </c>
      <c r="BK48" s="10" t="str">
        <f>IF('P11'!$G44&lt;&gt;"", 'P11'!$G44, "non")</f>
        <v>non</v>
      </c>
      <c r="BL48" s="10" t="str">
        <f>IF('P12'!$G44&lt;&gt;"", 'P12'!$G44, "non")</f>
        <v>non</v>
      </c>
      <c r="BM48" s="10" t="str">
        <f>IF('P13'!$G44&lt;&gt;"", 'P13'!$G44, "non")</f>
        <v>non</v>
      </c>
      <c r="BN48" s="10" t="str">
        <f>IF('P14'!$G44&lt;&gt;"", 'P14'!$G44, "non")</f>
        <v>non</v>
      </c>
      <c r="BO48" s="10" t="str">
        <f>IF('P15'!$G44&lt;&gt;"", 'P15'!$G44, "non")</f>
        <v>non</v>
      </c>
      <c r="BP48" s="10" t="str">
        <f>IF('P16'!$G44&lt;&gt;"", 'P16'!$G44, "non")</f>
        <v>non</v>
      </c>
      <c r="BQ48" s="10" t="str">
        <f>IF('P17'!$G44&lt;&gt;"", 'P17'!$G44, "non")</f>
        <v>non</v>
      </c>
      <c r="BR48" s="10" t="str">
        <f>IF('P18'!$G44&lt;&gt;"", 'P18'!$G44, "non")</f>
        <v>non</v>
      </c>
      <c r="BS48" s="10" t="str">
        <f>IF('P19'!$G44&lt;&gt;"", 'P19'!$G44, "non")</f>
        <v>non</v>
      </c>
      <c r="BT48" s="11" t="str">
        <f>IF('P20'!$G44&lt;&gt;"", 'P20'!$G44, "non")</f>
        <v>non</v>
      </c>
      <c r="BU48" s="10" t="str">
        <f>IF('P21'!$G44&lt;&gt;"", 'P21'!$G44, "non")</f>
        <v>non</v>
      </c>
      <c r="BV48" s="11" t="str">
        <f>IF('P22'!$G44&lt;&gt;"", 'P22'!$G44, "non")</f>
        <v>non</v>
      </c>
      <c r="BW48" s="10" t="str">
        <f>IF('P23'!$G44&lt;&gt;"", 'P23'!$G44, "non")</f>
        <v>non</v>
      </c>
      <c r="BX48" s="11" t="str">
        <f>IF('P24'!$G44&lt;&gt;"", 'P24'!$G44, "non")</f>
        <v>non</v>
      </c>
      <c r="BY48" s="10" t="str">
        <f>IF('P25'!$G44&lt;&gt;"", 'P25'!$G44, "non")</f>
        <v>non</v>
      </c>
      <c r="BZ48" s="11" t="str">
        <f>IF('P26'!$G44&lt;&gt;"", 'P26'!$G44, "non")</f>
        <v>non</v>
      </c>
      <c r="CA48" s="10" t="str">
        <f>IF('P27'!$G44&lt;&gt;"", 'P27'!$G44, "non")</f>
        <v>non</v>
      </c>
      <c r="CB48" s="11" t="str">
        <f>IF('P28'!$G44&lt;&gt;"", 'P28'!$G44, "non")</f>
        <v>non</v>
      </c>
      <c r="CC48" s="10" t="str">
        <f>IF('P29'!$G44&lt;&gt;"", 'P29'!$G44, "non")</f>
        <v>non</v>
      </c>
      <c r="CD48" s="11" t="str">
        <f>IF('P30'!$G44&lt;&gt;"", 'P30'!$G44, "non")</f>
        <v>non</v>
      </c>
      <c r="CE48" s="10" t="str">
        <f>IF('P31'!$G44&lt;&gt;"", 'P31'!$G44, "non")</f>
        <v>non</v>
      </c>
      <c r="CF48" s="11" t="str">
        <f>IF('P32'!$G44&lt;&gt;"", 'P32'!$G44, "non")</f>
        <v>non</v>
      </c>
      <c r="CG48" s="10" t="str">
        <f>IF('P33'!$G44&lt;&gt;"", 'P33'!$G44, "non")</f>
        <v>non</v>
      </c>
      <c r="CH48" s="10" t="str">
        <f>IF('P34'!$G44&lt;&gt;"", 'P34'!$G44, "non")</f>
        <v>non</v>
      </c>
      <c r="CI48" s="11" t="str">
        <f>IF('P35'!$G44&lt;&gt;"", 'P35'!$G44, "non")</f>
        <v>non</v>
      </c>
      <c r="CJ48" s="10" t="str">
        <f>IF('P36'!$G44&lt;&gt;"", 'P36'!$G44, "non")</f>
        <v>non</v>
      </c>
      <c r="CK48" s="11" t="str">
        <f>IF('P37'!$G44&lt;&gt;"", 'P37'!$G44, "non")</f>
        <v>non</v>
      </c>
      <c r="CL48" s="10" t="str">
        <f>IF('P38'!$G44&lt;&gt;"", 'P38'!$G44, "non")</f>
        <v>non</v>
      </c>
      <c r="CM48" s="11" t="str">
        <f>IF('P39'!$G44&lt;&gt;"", 'P39'!$G44, "non")</f>
        <v>non</v>
      </c>
      <c r="CN48" s="10" t="str">
        <f>IF('P40'!$G44&lt;&gt;"", 'P40'!$G44, "non")</f>
        <v>non</v>
      </c>
    </row>
    <row r="49" spans="1:92" ht="39.75" customHeight="1">
      <c r="A49" s="122" t="str">
        <f>'Critères et tests'!B44</f>
        <v>SCRIPTS</v>
      </c>
      <c r="B49" s="124" t="str">
        <f>'Critères et tests'!$A44</f>
        <v>7.5</v>
      </c>
      <c r="C49" s="192" t="str">
        <f>VLOOKUP(B49,'Critères et tests'!$1:$1048576,5,FALSE)</f>
        <v>Dans chaque page web, les messages de statut sont-ils correctement restitués par les technologies d’assistance ?</v>
      </c>
      <c r="D49" s="124" t="str">
        <f>'Critères et tests'!$C44</f>
        <v>AA</v>
      </c>
      <c r="E49" s="156" t="s">
        <v>460</v>
      </c>
      <c r="F49" s="88">
        <f>IF('P01'!$E45&gt;"",'P01'!$E45&amp;" "&amp;CHAR(10)&amp;'P01'!$F45,'P01'!$E45)</f>
        <v>0</v>
      </c>
      <c r="G49" s="89">
        <f>IF('P02'!$E45&gt;"",'P02'!$E45&amp;" "&amp;CHAR(10)&amp;'P02'!$F45,'P02'!$E45)</f>
        <v>0</v>
      </c>
      <c r="H49" s="89">
        <f>IF('P03'!$E45&gt;"",'P03'!$E45&amp;" "&amp;CHAR(10)&amp;'P03'!$F45,'P03'!$E45)</f>
        <v>0</v>
      </c>
      <c r="I49" s="89">
        <f>IF('P04'!$E45&gt;"",'P04'!$E45&amp;" "&amp;CHAR(10)&amp;'P04'!$F45,'P04'!$E45)</f>
        <v>0</v>
      </c>
      <c r="J49" s="89">
        <f>IF('P05'!$E45&gt;"",'P05'!$E45&amp;" "&amp;CHAR(10)&amp;'P05'!$F45,'P05'!$E45)</f>
        <v>0</v>
      </c>
      <c r="K49" s="89">
        <f>IF('P06'!$E45&gt;"",'P06'!$E45&amp;" "&amp;CHAR(10)&amp;'P06'!$F45,'P06'!$E45)</f>
        <v>0</v>
      </c>
      <c r="L49" s="89">
        <f>IF('P07'!$E45&gt;"",'P07'!$E45&amp;" "&amp;CHAR(10)&amp;'P07'!$F45,'P07'!$E45)</f>
        <v>0</v>
      </c>
      <c r="M49" s="89">
        <f>IF('P08'!$E45&gt;"",'P08'!$E45&amp;" "&amp;CHAR(10)&amp;'P08'!$F45,'P08'!$E45)</f>
        <v>0</v>
      </c>
      <c r="N49" s="89">
        <f>IF('P09'!$E45&gt;"",'P09'!$E45&amp;" "&amp;CHAR(10)&amp;'P09'!$F45,'P09'!$E45)</f>
        <v>0</v>
      </c>
      <c r="O49" s="89">
        <f>IF('P10'!$E45&gt;"",'P10'!$E45&amp;" "&amp;CHAR(10)&amp;'P10'!$F45,'P10'!$E45)</f>
        <v>0</v>
      </c>
      <c r="P49" s="89">
        <f>IF('P11'!$E45&gt;"",'P11'!$E45&amp;" "&amp;CHAR(10)&amp;'P11'!$F45,'P11'!$E45)</f>
        <v>0</v>
      </c>
      <c r="Q49" s="89">
        <f>IF('P12'!$E45&gt;"",'P12'!$E45&amp;" "&amp;CHAR(10)&amp;'P12'!$F45,'P12'!$E45)</f>
        <v>0</v>
      </c>
      <c r="R49" s="89">
        <f>IF('P13'!$E45&gt;"",'P13'!$E45&amp;" "&amp;CHAR(10)&amp;'P13'!$F45,'P13'!$E45)</f>
        <v>0</v>
      </c>
      <c r="S49" s="89">
        <f>IF('P14'!$E45&gt;"",'P14'!$E45&amp;" "&amp;CHAR(10)&amp;'P14'!$F45,'P14'!$E45)</f>
        <v>0</v>
      </c>
      <c r="T49" s="89">
        <f>IF('P15'!$E45&gt;"",'P15'!$E45&amp;" "&amp;CHAR(10)&amp;'P15'!$F45,'P15'!$E45)</f>
        <v>0</v>
      </c>
      <c r="U49" s="89">
        <f>IF('P16'!$E45&gt;"",'P16'!$E45&amp;" "&amp;CHAR(10)&amp;'P16'!$F45,'P16'!$E45)</f>
        <v>0</v>
      </c>
      <c r="V49" s="89">
        <f>IF('P17'!$E45&gt;"",'P17'!$E45&amp;" "&amp;CHAR(10)&amp;'P17'!$F45,'P17'!$E45)</f>
        <v>0</v>
      </c>
      <c r="W49" s="89">
        <f>IF('P18'!$E45&gt;"",'P18'!$E45&amp;" "&amp;CHAR(10)&amp;'P18'!$F45,'P18'!$E45)</f>
        <v>0</v>
      </c>
      <c r="X49" s="89">
        <f>IF('P19'!$E45&gt;"",'P19'!$E45&amp;" "&amp;CHAR(10)&amp;'P19'!$F45,'P19'!$E45)</f>
        <v>0</v>
      </c>
      <c r="Y49" s="89">
        <f>IF('P20'!$E45&gt;"",'P20'!$E45&amp;" "&amp;CHAR(10)&amp;'P20'!$F45,'P20'!$E45)</f>
        <v>0</v>
      </c>
      <c r="Z49" s="89">
        <f>IF('P21'!$E45&gt;"",'P21'!$E45&amp;" "&amp;CHAR(10)&amp;'P21'!$F45,'P21'!$E45)</f>
        <v>0</v>
      </c>
      <c r="AA49" s="89">
        <f>IF('P22'!$E45&gt;"",'P22'!$E45&amp;" "&amp;CHAR(10)&amp;'P22'!$F45,'P22'!$E45)</f>
        <v>0</v>
      </c>
      <c r="AB49" s="89">
        <f>IF('P23'!$E45&gt;"",'P23'!$E45&amp;" "&amp;CHAR(10)&amp;'P23'!$F45,'P23'!$E45)</f>
        <v>0</v>
      </c>
      <c r="AC49" s="89">
        <f>IF('P24'!$E45&gt;"",'P24'!$E45&amp;" "&amp;CHAR(10)&amp;'P24'!$F45,'P24'!$E45)</f>
        <v>0</v>
      </c>
      <c r="AD49" s="89">
        <f>IF('P25'!$E45&gt;"",'P25'!$E45&amp;" "&amp;CHAR(10)&amp;'P25'!$F45,'P25'!$E45)</f>
        <v>0</v>
      </c>
      <c r="AE49" s="89">
        <f>IF('P26'!$E45&gt;"",'P26'!$E45&amp;" "&amp;CHAR(10)&amp;'P26'!$F45,'P26'!$E45)</f>
        <v>0</v>
      </c>
      <c r="AF49" s="89">
        <f>IF('P27'!$E45&gt;"",'P27'!$E45&amp;" "&amp;CHAR(10)&amp;'P27'!$F45,'P27'!$E45)</f>
        <v>0</v>
      </c>
      <c r="AG49" s="89">
        <f>IF('P28'!$E45&gt;"",'P28'!$E45&amp;" "&amp;CHAR(10)&amp;'P28'!$F45,'P28'!$E45)</f>
        <v>0</v>
      </c>
      <c r="AH49" s="89">
        <f>IF('P29'!$E45&gt;"",'P29'!$E45&amp;" "&amp;CHAR(10)&amp;'P29'!$F45,'P29'!$E45)</f>
        <v>0</v>
      </c>
      <c r="AI49" s="89">
        <f>IF('P30'!$E45&gt;"",'P30'!$E45&amp;" "&amp;CHAR(10)&amp;'P30'!$F45,'P30'!$E45)</f>
        <v>0</v>
      </c>
      <c r="AJ49" s="89">
        <f>IF('P31'!$E45&gt;"",'P31'!$E45&amp;" "&amp;CHAR(10)&amp;'P31'!$F45,'P31'!$E45)</f>
        <v>0</v>
      </c>
      <c r="AK49" s="89">
        <f>IF('P32'!$E45&gt;"",'P32'!$E45&amp;" "&amp;CHAR(10)&amp;'P32'!$F45,'P32'!$E45)</f>
        <v>0</v>
      </c>
      <c r="AL49" s="89">
        <f>IF('P33'!$E45&gt;"",'P33'!$E45&amp;" "&amp;CHAR(10)&amp;'P33'!$F45,'P33'!$E45)</f>
        <v>0</v>
      </c>
      <c r="AM49" s="89">
        <f>IF('P34'!$E45&gt;"",'P34'!$E45&amp;" "&amp;CHAR(10)&amp;'P34'!$F45,'P34'!$E45)</f>
        <v>0</v>
      </c>
      <c r="AN49" s="89">
        <f>IF('P35'!$E45&gt;"",'P35'!$E45&amp;" "&amp;CHAR(10)&amp;'P35'!$F45,'P35'!$E45)</f>
        <v>0</v>
      </c>
      <c r="AO49" s="89">
        <f>IF('P36'!$E45&gt;"",'P36'!$E45&amp;" "&amp;CHAR(10)&amp;'P36'!$F45,'P36'!$E45)</f>
        <v>0</v>
      </c>
      <c r="AP49" s="89">
        <f>IF('P37'!$E45&gt;"",'P37'!$E45&amp;" "&amp;CHAR(10)&amp;'P37'!$F45,'P37'!$E45)</f>
        <v>0</v>
      </c>
      <c r="AQ49" s="89">
        <f>IF('P38'!$E45&gt;"",'P38'!$E45&amp;" "&amp;CHAR(10)&amp;'P38'!$F45,'P38'!$E45)</f>
        <v>0</v>
      </c>
      <c r="AR49" s="89">
        <f>IF('P39'!$E45&gt;"",'P39'!$E45&amp;" "&amp;CHAR(10)&amp;'P39'!$F45,'P39'!$E45)</f>
        <v>0</v>
      </c>
      <c r="AS49" s="89">
        <f>IF('P40'!$E45&gt;"",'P40'!$E45&amp;" "&amp;CHAR(10)&amp;'P40'!$F45,'P40'!$E45)</f>
        <v>0</v>
      </c>
      <c r="AT49" s="55">
        <f t="shared" si="5"/>
        <v>0</v>
      </c>
      <c r="AU49" s="9">
        <f t="shared" si="6"/>
        <v>0</v>
      </c>
      <c r="AV49" s="55">
        <f t="shared" si="7"/>
        <v>0</v>
      </c>
      <c r="AW49" s="38" t="str">
        <f t="shared" si="8"/>
        <v>NT</v>
      </c>
      <c r="AX49" s="12"/>
      <c r="AY49" s="10"/>
      <c r="AZ49" s="10"/>
      <c r="BA49" s="10" t="str">
        <f>IF('P01'!$G45&lt;&gt;"", 'P01'!$G45, "non")</f>
        <v>non</v>
      </c>
      <c r="BB49" s="10" t="str">
        <f>IF('P02'!$G45&lt;&gt;"", 'P02'!$G45, "non")</f>
        <v>non</v>
      </c>
      <c r="BC49" s="10" t="str">
        <f>IF('P03'!$G45&lt;&gt;"", 'P03'!$G45, "non")</f>
        <v>non</v>
      </c>
      <c r="BD49" s="10" t="str">
        <f>IF('P04'!$G45&lt;&gt;"", 'P04'!$G45, "non")</f>
        <v>non</v>
      </c>
      <c r="BE49" s="10" t="str">
        <f>IF('P05'!$G45&lt;&gt;"", 'P05'!$G45, "non")</f>
        <v>non</v>
      </c>
      <c r="BF49" s="10" t="str">
        <f>IF('P06'!$G45&lt;&gt;"", 'P06'!$G45, "non")</f>
        <v>non</v>
      </c>
      <c r="BG49" s="10" t="str">
        <f>IF('P07'!$G45&lt;&gt;"", 'P07'!$G45, "non")</f>
        <v>non</v>
      </c>
      <c r="BH49" s="10" t="str">
        <f>IF('P08'!$G45&lt;&gt;"", 'P08'!$G45, "non")</f>
        <v>non</v>
      </c>
      <c r="BI49" s="10" t="str">
        <f>IF('P09'!$G45&lt;&gt;"", 'P09'!$G45, "non")</f>
        <v>non</v>
      </c>
      <c r="BJ49" s="10" t="str">
        <f>IF('P10'!$G45&lt;&gt;"", 'P10'!$G45, "non")</f>
        <v>non</v>
      </c>
      <c r="BK49" s="10" t="str">
        <f>IF('P11'!$G45&lt;&gt;"", 'P11'!$G45, "non")</f>
        <v>non</v>
      </c>
      <c r="BL49" s="10" t="str">
        <f>IF('P12'!$G45&lt;&gt;"", 'P12'!$G45, "non")</f>
        <v>non</v>
      </c>
      <c r="BM49" s="10" t="str">
        <f>IF('P13'!$G45&lt;&gt;"", 'P13'!$G45, "non")</f>
        <v>non</v>
      </c>
      <c r="BN49" s="10" t="str">
        <f>IF('P14'!$G45&lt;&gt;"", 'P14'!$G45, "non")</f>
        <v>non</v>
      </c>
      <c r="BO49" s="10" t="str">
        <f>IF('P15'!$G45&lt;&gt;"", 'P15'!$G45, "non")</f>
        <v>non</v>
      </c>
      <c r="BP49" s="10" t="str">
        <f>IF('P16'!$G45&lt;&gt;"", 'P16'!$G45, "non")</f>
        <v>non</v>
      </c>
      <c r="BQ49" s="10" t="str">
        <f>IF('P17'!$G45&lt;&gt;"", 'P17'!$G45, "non")</f>
        <v>non</v>
      </c>
      <c r="BR49" s="10" t="str">
        <f>IF('P18'!$G45&lt;&gt;"", 'P18'!$G45, "non")</f>
        <v>non</v>
      </c>
      <c r="BS49" s="10" t="str">
        <f>IF('P19'!$G45&lt;&gt;"", 'P19'!$G45, "non")</f>
        <v>non</v>
      </c>
      <c r="BT49" s="11" t="str">
        <f>IF('P20'!$G45&lt;&gt;"", 'P20'!$G45, "non")</f>
        <v>non</v>
      </c>
      <c r="BU49" s="10" t="str">
        <f>IF('P21'!$G45&lt;&gt;"", 'P21'!$G45, "non")</f>
        <v>non</v>
      </c>
      <c r="BV49" s="11" t="str">
        <f>IF('P22'!$G45&lt;&gt;"", 'P22'!$G45, "non")</f>
        <v>non</v>
      </c>
      <c r="BW49" s="10" t="str">
        <f>IF('P23'!$G45&lt;&gt;"", 'P23'!$G45, "non")</f>
        <v>non</v>
      </c>
      <c r="BX49" s="11" t="str">
        <f>IF('P24'!$G45&lt;&gt;"", 'P24'!$G45, "non")</f>
        <v>non</v>
      </c>
      <c r="BY49" s="10" t="str">
        <f>IF('P25'!$G45&lt;&gt;"", 'P25'!$G45, "non")</f>
        <v>non</v>
      </c>
      <c r="BZ49" s="11" t="str">
        <f>IF('P26'!$G45&lt;&gt;"", 'P26'!$G45, "non")</f>
        <v>non</v>
      </c>
      <c r="CA49" s="10" t="str">
        <f>IF('P27'!$G45&lt;&gt;"", 'P27'!$G45, "non")</f>
        <v>non</v>
      </c>
      <c r="CB49" s="11" t="str">
        <f>IF('P28'!$G45&lt;&gt;"", 'P28'!$G45, "non")</f>
        <v>non</v>
      </c>
      <c r="CC49" s="10" t="str">
        <f>IF('P29'!$G45&lt;&gt;"", 'P29'!$G45, "non")</f>
        <v>non</v>
      </c>
      <c r="CD49" s="11" t="str">
        <f>IF('P30'!$G45&lt;&gt;"", 'P30'!$G45, "non")</f>
        <v>non</v>
      </c>
      <c r="CE49" s="10" t="str">
        <f>IF('P31'!$G45&lt;&gt;"", 'P31'!$G45, "non")</f>
        <v>non</v>
      </c>
      <c r="CF49" s="11" t="str">
        <f>IF('P32'!$G45&lt;&gt;"", 'P32'!$G45, "non")</f>
        <v>non</v>
      </c>
      <c r="CG49" s="10" t="str">
        <f>IF('P33'!$G45&lt;&gt;"", 'P33'!$G45, "non")</f>
        <v>non</v>
      </c>
      <c r="CH49" s="10" t="str">
        <f>IF('P34'!$G45&lt;&gt;"", 'P34'!$G45, "non")</f>
        <v>non</v>
      </c>
      <c r="CI49" s="11" t="str">
        <f>IF('P35'!$G45&lt;&gt;"", 'P35'!$G45, "non")</f>
        <v>non</v>
      </c>
      <c r="CJ49" s="10" t="str">
        <f>IF('P36'!$G45&lt;&gt;"", 'P36'!$G45, "non")</f>
        <v>non</v>
      </c>
      <c r="CK49" s="11" t="str">
        <f>IF('P37'!$G45&lt;&gt;"", 'P37'!$G45, "non")</f>
        <v>non</v>
      </c>
      <c r="CL49" s="10" t="str">
        <f>IF('P38'!$G45&lt;&gt;"", 'P38'!$G45, "non")</f>
        <v>non</v>
      </c>
      <c r="CM49" s="11" t="str">
        <f>IF('P39'!$G45&lt;&gt;"", 'P39'!$G45, "non")</f>
        <v>non</v>
      </c>
      <c r="CN49" s="10" t="str">
        <f>IF('P40'!$G45&lt;&gt;"", 'P40'!$G45, "non")</f>
        <v>non</v>
      </c>
    </row>
    <row r="50" spans="1:92" ht="39.75" customHeight="1">
      <c r="A50" s="122" t="str">
        <f>'Critères et tests'!B45</f>
        <v>ÉLÉMENTS OBLIGATOIRES</v>
      </c>
      <c r="B50" s="124" t="str">
        <f>'Critères et tests'!$A45</f>
        <v>8.1</v>
      </c>
      <c r="C50" s="192" t="str">
        <f>VLOOKUP(B50,'Critères et tests'!$1:$1048576,5,FALSE)</f>
        <v>Chaque page web est-elle définie par un type de document ?</v>
      </c>
      <c r="D50" s="124" t="str">
        <f>'Critères et tests'!$C45</f>
        <v>A</v>
      </c>
      <c r="E50" s="156" t="s">
        <v>460</v>
      </c>
      <c r="F50" s="88">
        <f>IF('P01'!$E46&gt;"",'P01'!$E46&amp;" "&amp;CHAR(10)&amp;'P01'!$F46,'P01'!$E46)</f>
        <v>0</v>
      </c>
      <c r="G50" s="89">
        <f>IF('P02'!$E46&gt;"",'P02'!$E46&amp;" "&amp;CHAR(10)&amp;'P02'!$F46,'P02'!$E46)</f>
        <v>0</v>
      </c>
      <c r="H50" s="89">
        <f>IF('P03'!$E46&gt;"",'P03'!$E46&amp;" "&amp;CHAR(10)&amp;'P03'!$F46,'P03'!$E46)</f>
        <v>0</v>
      </c>
      <c r="I50" s="89">
        <f>IF('P04'!$E46&gt;"",'P04'!$E46&amp;" "&amp;CHAR(10)&amp;'P04'!$F46,'P04'!$E46)</f>
        <v>0</v>
      </c>
      <c r="J50" s="89">
        <f>IF('P05'!$E46&gt;"",'P05'!$E46&amp;" "&amp;CHAR(10)&amp;'P05'!$F46,'P05'!$E46)</f>
        <v>0</v>
      </c>
      <c r="K50" s="89">
        <f>IF('P06'!$E46&gt;"",'P06'!$E46&amp;" "&amp;CHAR(10)&amp;'P06'!$F46,'P06'!$E46)</f>
        <v>0</v>
      </c>
      <c r="L50" s="89">
        <f>IF('P07'!$E46&gt;"",'P07'!$E46&amp;" "&amp;CHAR(10)&amp;'P07'!$F46,'P07'!$E46)</f>
        <v>0</v>
      </c>
      <c r="M50" s="89">
        <f>IF('P08'!$E46&gt;"",'P08'!$E46&amp;" "&amp;CHAR(10)&amp;'P08'!$F46,'P08'!$E46)</f>
        <v>0</v>
      </c>
      <c r="N50" s="89">
        <f>IF('P09'!$E46&gt;"",'P09'!$E46&amp;" "&amp;CHAR(10)&amp;'P09'!$F46,'P09'!$E46)</f>
        <v>0</v>
      </c>
      <c r="O50" s="89">
        <f>IF('P10'!$E46&gt;"",'P10'!$E46&amp;" "&amp;CHAR(10)&amp;'P10'!$F46,'P10'!$E46)</f>
        <v>0</v>
      </c>
      <c r="P50" s="89">
        <f>IF('P11'!$E46&gt;"",'P11'!$E46&amp;" "&amp;CHAR(10)&amp;'P11'!$F46,'P11'!$E46)</f>
        <v>0</v>
      </c>
      <c r="Q50" s="89">
        <f>IF('P12'!$E46&gt;"",'P12'!$E46&amp;" "&amp;CHAR(10)&amp;'P12'!$F46,'P12'!$E46)</f>
        <v>0</v>
      </c>
      <c r="R50" s="89">
        <f>IF('P13'!$E46&gt;"",'P13'!$E46&amp;" "&amp;CHAR(10)&amp;'P13'!$F46,'P13'!$E46)</f>
        <v>0</v>
      </c>
      <c r="S50" s="89">
        <f>IF('P14'!$E46&gt;"",'P14'!$E46&amp;" "&amp;CHAR(10)&amp;'P14'!$F46,'P14'!$E46)</f>
        <v>0</v>
      </c>
      <c r="T50" s="89">
        <f>IF('P15'!$E46&gt;"",'P15'!$E46&amp;" "&amp;CHAR(10)&amp;'P15'!$F46,'P15'!$E46)</f>
        <v>0</v>
      </c>
      <c r="U50" s="89">
        <f>IF('P16'!$E46&gt;"",'P16'!$E46&amp;" "&amp;CHAR(10)&amp;'P16'!$F46,'P16'!$E46)</f>
        <v>0</v>
      </c>
      <c r="V50" s="89">
        <f>IF('P17'!$E46&gt;"",'P17'!$E46&amp;" "&amp;CHAR(10)&amp;'P17'!$F46,'P17'!$E46)</f>
        <v>0</v>
      </c>
      <c r="W50" s="89">
        <f>IF('P18'!$E46&gt;"",'P18'!$E46&amp;" "&amp;CHAR(10)&amp;'P18'!$F46,'P18'!$E46)</f>
        <v>0</v>
      </c>
      <c r="X50" s="89">
        <f>IF('P19'!$E46&gt;"",'P19'!$E46&amp;" "&amp;CHAR(10)&amp;'P19'!$F46,'P19'!$E46)</f>
        <v>0</v>
      </c>
      <c r="Y50" s="89">
        <f>IF('P20'!$E46&gt;"",'P20'!$E46&amp;" "&amp;CHAR(10)&amp;'P20'!$F46,'P20'!$E46)</f>
        <v>0</v>
      </c>
      <c r="Z50" s="89">
        <f>IF('P21'!$E46&gt;"",'P21'!$E46&amp;" "&amp;CHAR(10)&amp;'P21'!$F46,'P21'!$E46)</f>
        <v>0</v>
      </c>
      <c r="AA50" s="89">
        <f>IF('P22'!$E46&gt;"",'P22'!$E46&amp;" "&amp;CHAR(10)&amp;'P22'!$F46,'P22'!$E46)</f>
        <v>0</v>
      </c>
      <c r="AB50" s="89">
        <f>IF('P23'!$E46&gt;"",'P23'!$E46&amp;" "&amp;CHAR(10)&amp;'P23'!$F46,'P23'!$E46)</f>
        <v>0</v>
      </c>
      <c r="AC50" s="89">
        <f>IF('P24'!$E46&gt;"",'P24'!$E46&amp;" "&amp;CHAR(10)&amp;'P24'!$F46,'P24'!$E46)</f>
        <v>0</v>
      </c>
      <c r="AD50" s="89">
        <f>IF('P25'!$E46&gt;"",'P25'!$E46&amp;" "&amp;CHAR(10)&amp;'P25'!$F46,'P25'!$E46)</f>
        <v>0</v>
      </c>
      <c r="AE50" s="89">
        <f>IF('P26'!$E46&gt;"",'P26'!$E46&amp;" "&amp;CHAR(10)&amp;'P26'!$F46,'P26'!$E46)</f>
        <v>0</v>
      </c>
      <c r="AF50" s="89">
        <f>IF('P27'!$E46&gt;"",'P27'!$E46&amp;" "&amp;CHAR(10)&amp;'P27'!$F46,'P27'!$E46)</f>
        <v>0</v>
      </c>
      <c r="AG50" s="89">
        <f>IF('P28'!$E46&gt;"",'P28'!$E46&amp;" "&amp;CHAR(10)&amp;'P28'!$F46,'P28'!$E46)</f>
        <v>0</v>
      </c>
      <c r="AH50" s="89">
        <f>IF('P29'!$E46&gt;"",'P29'!$E46&amp;" "&amp;CHAR(10)&amp;'P29'!$F46,'P29'!$E46)</f>
        <v>0</v>
      </c>
      <c r="AI50" s="89">
        <f>IF('P30'!$E46&gt;"",'P30'!$E46&amp;" "&amp;CHAR(10)&amp;'P30'!$F46,'P30'!$E46)</f>
        <v>0</v>
      </c>
      <c r="AJ50" s="89">
        <f>IF('P31'!$E46&gt;"",'P31'!$E46&amp;" "&amp;CHAR(10)&amp;'P31'!$F46,'P31'!$E46)</f>
        <v>0</v>
      </c>
      <c r="AK50" s="89">
        <f>IF('P32'!$E46&gt;"",'P32'!$E46&amp;" "&amp;CHAR(10)&amp;'P32'!$F46,'P32'!$E46)</f>
        <v>0</v>
      </c>
      <c r="AL50" s="89">
        <f>IF('P33'!$E46&gt;"",'P33'!$E46&amp;" "&amp;CHAR(10)&amp;'P33'!$F46,'P33'!$E46)</f>
        <v>0</v>
      </c>
      <c r="AM50" s="89">
        <f>IF('P34'!$E46&gt;"",'P34'!$E46&amp;" "&amp;CHAR(10)&amp;'P34'!$F46,'P34'!$E46)</f>
        <v>0</v>
      </c>
      <c r="AN50" s="89">
        <f>IF('P35'!$E46&gt;"",'P35'!$E46&amp;" "&amp;CHAR(10)&amp;'P35'!$F46,'P35'!$E46)</f>
        <v>0</v>
      </c>
      <c r="AO50" s="89">
        <f>IF('P36'!$E46&gt;"",'P36'!$E46&amp;" "&amp;CHAR(10)&amp;'P36'!$F46,'P36'!$E46)</f>
        <v>0</v>
      </c>
      <c r="AP50" s="89">
        <f>IF('P37'!$E46&gt;"",'P37'!$E46&amp;" "&amp;CHAR(10)&amp;'P37'!$F46,'P37'!$E46)</f>
        <v>0</v>
      </c>
      <c r="AQ50" s="89">
        <f>IF('P38'!$E46&gt;"",'P38'!$E46&amp;" "&amp;CHAR(10)&amp;'P38'!$F46,'P38'!$E46)</f>
        <v>0</v>
      </c>
      <c r="AR50" s="89">
        <f>IF('P39'!$E46&gt;"",'P39'!$E46&amp;" "&amp;CHAR(10)&amp;'P39'!$F46,'P39'!$E46)</f>
        <v>0</v>
      </c>
      <c r="AS50" s="89">
        <f>IF('P40'!$E46&gt;"",'P40'!$E46&amp;" "&amp;CHAR(10)&amp;'P40'!$F46,'P40'!$E46)</f>
        <v>0</v>
      </c>
      <c r="AT50" s="55">
        <f t="shared" si="5"/>
        <v>0</v>
      </c>
      <c r="AU50" s="9">
        <f t="shared" si="6"/>
        <v>0</v>
      </c>
      <c r="AV50" s="55">
        <f t="shared" si="7"/>
        <v>0</v>
      </c>
      <c r="AW50" s="38" t="str">
        <f t="shared" si="8"/>
        <v>NT</v>
      </c>
      <c r="AX50" s="12"/>
      <c r="AY50" s="10"/>
      <c r="AZ50" s="10"/>
      <c r="BA50" s="10" t="str">
        <f>IF('P01'!$G46&lt;&gt;"", 'P01'!$G46, "non")</f>
        <v>non</v>
      </c>
      <c r="BB50" s="10" t="str">
        <f>IF('P02'!$G46&lt;&gt;"", 'P02'!$G46, "non")</f>
        <v>non</v>
      </c>
      <c r="BC50" s="10" t="str">
        <f>IF('P03'!$G46&lt;&gt;"", 'P03'!$G46, "non")</f>
        <v>non</v>
      </c>
      <c r="BD50" s="10" t="str">
        <f>IF('P04'!$G46&lt;&gt;"", 'P04'!$G46, "non")</f>
        <v>non</v>
      </c>
      <c r="BE50" s="10" t="str">
        <f>IF('P05'!$G46&lt;&gt;"", 'P05'!$G46, "non")</f>
        <v>non</v>
      </c>
      <c r="BF50" s="10" t="str">
        <f>IF('P06'!$G46&lt;&gt;"", 'P06'!$G46, "non")</f>
        <v>non</v>
      </c>
      <c r="BG50" s="10" t="str">
        <f>IF('P07'!$G46&lt;&gt;"", 'P07'!$G46, "non")</f>
        <v>non</v>
      </c>
      <c r="BH50" s="10" t="str">
        <f>IF('P08'!$G46&lt;&gt;"", 'P08'!$G46, "non")</f>
        <v>non</v>
      </c>
      <c r="BI50" s="10" t="str">
        <f>IF('P09'!$G46&lt;&gt;"", 'P09'!$G46, "non")</f>
        <v>non</v>
      </c>
      <c r="BJ50" s="10" t="str">
        <f>IF('P10'!$G46&lt;&gt;"", 'P10'!$G46, "non")</f>
        <v>non</v>
      </c>
      <c r="BK50" s="10" t="str">
        <f>IF('P11'!$G46&lt;&gt;"", 'P11'!$G46, "non")</f>
        <v>non</v>
      </c>
      <c r="BL50" s="10" t="str">
        <f>IF('P12'!$G46&lt;&gt;"", 'P12'!$G46, "non")</f>
        <v>non</v>
      </c>
      <c r="BM50" s="10" t="str">
        <f>IF('P13'!$G46&lt;&gt;"", 'P13'!$G46, "non")</f>
        <v>non</v>
      </c>
      <c r="BN50" s="10" t="str">
        <f>IF('P14'!$G46&lt;&gt;"", 'P14'!$G46, "non")</f>
        <v>non</v>
      </c>
      <c r="BO50" s="10" t="str">
        <f>IF('P15'!$G46&lt;&gt;"", 'P15'!$G46, "non")</f>
        <v>non</v>
      </c>
      <c r="BP50" s="10" t="str">
        <f>IF('P16'!$G46&lt;&gt;"", 'P16'!$G46, "non")</f>
        <v>non</v>
      </c>
      <c r="BQ50" s="10" t="str">
        <f>IF('P17'!$G46&lt;&gt;"", 'P17'!$G46, "non")</f>
        <v>non</v>
      </c>
      <c r="BR50" s="10" t="str">
        <f>IF('P18'!$G46&lt;&gt;"", 'P18'!$G46, "non")</f>
        <v>non</v>
      </c>
      <c r="BS50" s="10" t="str">
        <f>IF('P19'!$G46&lt;&gt;"", 'P19'!$G46, "non")</f>
        <v>non</v>
      </c>
      <c r="BT50" s="11" t="str">
        <f>IF('P20'!$G46&lt;&gt;"", 'P20'!$G46, "non")</f>
        <v>non</v>
      </c>
      <c r="BU50" s="10" t="str">
        <f>IF('P21'!$G46&lt;&gt;"", 'P21'!$G46, "non")</f>
        <v>non</v>
      </c>
      <c r="BV50" s="11" t="str">
        <f>IF('P22'!$G46&lt;&gt;"", 'P22'!$G46, "non")</f>
        <v>non</v>
      </c>
      <c r="BW50" s="10" t="str">
        <f>IF('P23'!$G46&lt;&gt;"", 'P23'!$G46, "non")</f>
        <v>non</v>
      </c>
      <c r="BX50" s="11" t="str">
        <f>IF('P24'!$G46&lt;&gt;"", 'P24'!$G46, "non")</f>
        <v>non</v>
      </c>
      <c r="BY50" s="10" t="str">
        <f>IF('P25'!$G46&lt;&gt;"", 'P25'!$G46, "non")</f>
        <v>non</v>
      </c>
      <c r="BZ50" s="11" t="str">
        <f>IF('P26'!$G46&lt;&gt;"", 'P26'!$G46, "non")</f>
        <v>non</v>
      </c>
      <c r="CA50" s="10" t="str">
        <f>IF('P27'!$G46&lt;&gt;"", 'P27'!$G46, "non")</f>
        <v>non</v>
      </c>
      <c r="CB50" s="11" t="str">
        <f>IF('P28'!$G46&lt;&gt;"", 'P28'!$G46, "non")</f>
        <v>non</v>
      </c>
      <c r="CC50" s="10" t="str">
        <f>IF('P29'!$G46&lt;&gt;"", 'P29'!$G46, "non")</f>
        <v>non</v>
      </c>
      <c r="CD50" s="11" t="str">
        <f>IF('P30'!$G46&lt;&gt;"", 'P30'!$G46, "non")</f>
        <v>non</v>
      </c>
      <c r="CE50" s="10" t="str">
        <f>IF('P31'!$G46&lt;&gt;"", 'P31'!$G46, "non")</f>
        <v>non</v>
      </c>
      <c r="CF50" s="11" t="str">
        <f>IF('P32'!$G46&lt;&gt;"", 'P32'!$G46, "non")</f>
        <v>non</v>
      </c>
      <c r="CG50" s="10" t="str">
        <f>IF('P33'!$G46&lt;&gt;"", 'P33'!$G46, "non")</f>
        <v>non</v>
      </c>
      <c r="CH50" s="10" t="str">
        <f>IF('P34'!$G46&lt;&gt;"", 'P34'!$G46, "non")</f>
        <v>non</v>
      </c>
      <c r="CI50" s="11" t="str">
        <f>IF('P35'!$G46&lt;&gt;"", 'P35'!$G46, "non")</f>
        <v>non</v>
      </c>
      <c r="CJ50" s="10" t="str">
        <f>IF('P36'!$G46&lt;&gt;"", 'P36'!$G46, "non")</f>
        <v>non</v>
      </c>
      <c r="CK50" s="11" t="str">
        <f>IF('P37'!$G46&lt;&gt;"", 'P37'!$G46, "non")</f>
        <v>non</v>
      </c>
      <c r="CL50" s="10" t="str">
        <f>IF('P38'!$G46&lt;&gt;"", 'P38'!$G46, "non")</f>
        <v>non</v>
      </c>
      <c r="CM50" s="11" t="str">
        <f>IF('P39'!$G46&lt;&gt;"", 'P39'!$G46, "non")</f>
        <v>non</v>
      </c>
      <c r="CN50" s="10" t="str">
        <f>IF('P40'!$G46&lt;&gt;"", 'P40'!$G46, "non")</f>
        <v>non</v>
      </c>
    </row>
    <row r="51" spans="1:92" ht="39.75" customHeight="1">
      <c r="A51" s="122" t="str">
        <f>'Critères et tests'!B46</f>
        <v>ÉLÉMENTS OBLIGATOIRES</v>
      </c>
      <c r="B51" s="124" t="str">
        <f>'Critères et tests'!$A46</f>
        <v>8.2</v>
      </c>
      <c r="C51" s="192" t="str">
        <f>VLOOKUP(B51,'Critères et tests'!$1:$1048576,5,FALSE)</f>
        <v>Pour chaque page web, le code source généré est-il valide selon le type de document spécifié (hors cas particuliers) ?</v>
      </c>
      <c r="D51" s="124" t="str">
        <f>'Critères et tests'!$C46</f>
        <v>A</v>
      </c>
      <c r="E51" s="156" t="s">
        <v>460</v>
      </c>
      <c r="F51" s="88">
        <f>IF('P01'!$E47&gt;"",'P01'!$E47&amp;" "&amp;CHAR(10)&amp;'P01'!$F47,'P01'!$E47)</f>
        <v>0</v>
      </c>
      <c r="G51" s="89">
        <f>IF('P02'!$E47&gt;"",'P02'!$E47&amp;" "&amp;CHAR(10)&amp;'P02'!$F47,'P02'!$E47)</f>
        <v>0</v>
      </c>
      <c r="H51" s="89">
        <f>IF('P03'!$E47&gt;"",'P03'!$E47&amp;" "&amp;CHAR(10)&amp;'P03'!$F47,'P03'!$E47)</f>
        <v>0</v>
      </c>
      <c r="I51" s="89">
        <f>IF('P04'!$E47&gt;"",'P04'!$E47&amp;" "&amp;CHAR(10)&amp;'P04'!$F47,'P04'!$E47)</f>
        <v>0</v>
      </c>
      <c r="J51" s="89">
        <f>IF('P05'!$E47&gt;"",'P05'!$E47&amp;" "&amp;CHAR(10)&amp;'P05'!$F47,'P05'!$E47)</f>
        <v>0</v>
      </c>
      <c r="K51" s="89">
        <f>IF('P06'!$E47&gt;"",'P06'!$E47&amp;" "&amp;CHAR(10)&amp;'P06'!$F47,'P06'!$E47)</f>
        <v>0</v>
      </c>
      <c r="L51" s="89">
        <f>IF('P07'!$E47&gt;"",'P07'!$E47&amp;" "&amp;CHAR(10)&amp;'P07'!$F47,'P07'!$E47)</f>
        <v>0</v>
      </c>
      <c r="M51" s="89">
        <f>IF('P08'!$E47&gt;"",'P08'!$E47&amp;" "&amp;CHAR(10)&amp;'P08'!$F47,'P08'!$E47)</f>
        <v>0</v>
      </c>
      <c r="N51" s="89">
        <f>IF('P09'!$E47&gt;"",'P09'!$E47&amp;" "&amp;CHAR(10)&amp;'P09'!$F47,'P09'!$E47)</f>
        <v>0</v>
      </c>
      <c r="O51" s="89">
        <f>IF('P10'!$E47&gt;"",'P10'!$E47&amp;" "&amp;CHAR(10)&amp;'P10'!$F47,'P10'!$E47)</f>
        <v>0</v>
      </c>
      <c r="P51" s="89">
        <f>IF('P11'!$E47&gt;"",'P11'!$E47&amp;" "&amp;CHAR(10)&amp;'P11'!$F47,'P11'!$E47)</f>
        <v>0</v>
      </c>
      <c r="Q51" s="89">
        <f>IF('P12'!$E47&gt;"",'P12'!$E47&amp;" "&amp;CHAR(10)&amp;'P12'!$F47,'P12'!$E47)</f>
        <v>0</v>
      </c>
      <c r="R51" s="89">
        <f>IF('P13'!$E47&gt;"",'P13'!$E47&amp;" "&amp;CHAR(10)&amp;'P13'!$F47,'P13'!$E47)</f>
        <v>0</v>
      </c>
      <c r="S51" s="89">
        <f>IF('P14'!$E47&gt;"",'P14'!$E47&amp;" "&amp;CHAR(10)&amp;'P14'!$F47,'P14'!$E47)</f>
        <v>0</v>
      </c>
      <c r="T51" s="89">
        <f>IF('P15'!$E47&gt;"",'P15'!$E47&amp;" "&amp;CHAR(10)&amp;'P15'!$F47,'P15'!$E47)</f>
        <v>0</v>
      </c>
      <c r="U51" s="89">
        <f>IF('P16'!$E47&gt;"",'P16'!$E47&amp;" "&amp;CHAR(10)&amp;'P16'!$F47,'P16'!$E47)</f>
        <v>0</v>
      </c>
      <c r="V51" s="89">
        <f>IF('P17'!$E47&gt;"",'P17'!$E47&amp;" "&amp;CHAR(10)&amp;'P17'!$F47,'P17'!$E47)</f>
        <v>0</v>
      </c>
      <c r="W51" s="89">
        <f>IF('P18'!$E47&gt;"",'P18'!$E47&amp;" "&amp;CHAR(10)&amp;'P18'!$F47,'P18'!$E47)</f>
        <v>0</v>
      </c>
      <c r="X51" s="89">
        <f>IF('P19'!$E47&gt;"",'P19'!$E47&amp;" "&amp;CHAR(10)&amp;'P19'!$F47,'P19'!$E47)</f>
        <v>0</v>
      </c>
      <c r="Y51" s="89">
        <f>IF('P20'!$E47&gt;"",'P20'!$E47&amp;" "&amp;CHAR(10)&amp;'P20'!$F47,'P20'!$E47)</f>
        <v>0</v>
      </c>
      <c r="Z51" s="89">
        <f>IF('P21'!$E47&gt;"",'P21'!$E47&amp;" "&amp;CHAR(10)&amp;'P21'!$F47,'P21'!$E47)</f>
        <v>0</v>
      </c>
      <c r="AA51" s="89">
        <f>IF('P22'!$E47&gt;"",'P22'!$E47&amp;" "&amp;CHAR(10)&amp;'P22'!$F47,'P22'!$E47)</f>
        <v>0</v>
      </c>
      <c r="AB51" s="89">
        <f>IF('P23'!$E47&gt;"",'P23'!$E47&amp;" "&amp;CHAR(10)&amp;'P23'!$F47,'P23'!$E47)</f>
        <v>0</v>
      </c>
      <c r="AC51" s="89">
        <f>IF('P24'!$E47&gt;"",'P24'!$E47&amp;" "&amp;CHAR(10)&amp;'P24'!$F47,'P24'!$E47)</f>
        <v>0</v>
      </c>
      <c r="AD51" s="89">
        <f>IF('P25'!$E47&gt;"",'P25'!$E47&amp;" "&amp;CHAR(10)&amp;'P25'!$F47,'P25'!$E47)</f>
        <v>0</v>
      </c>
      <c r="AE51" s="89">
        <f>IF('P26'!$E47&gt;"",'P26'!$E47&amp;" "&amp;CHAR(10)&amp;'P26'!$F47,'P26'!$E47)</f>
        <v>0</v>
      </c>
      <c r="AF51" s="89">
        <f>IF('P27'!$E47&gt;"",'P27'!$E47&amp;" "&amp;CHAR(10)&amp;'P27'!$F47,'P27'!$E47)</f>
        <v>0</v>
      </c>
      <c r="AG51" s="89">
        <f>IF('P28'!$E47&gt;"",'P28'!$E47&amp;" "&amp;CHAR(10)&amp;'P28'!$F47,'P28'!$E47)</f>
        <v>0</v>
      </c>
      <c r="AH51" s="89">
        <f>IF('P29'!$E47&gt;"",'P29'!$E47&amp;" "&amp;CHAR(10)&amp;'P29'!$F47,'P29'!$E47)</f>
        <v>0</v>
      </c>
      <c r="AI51" s="89">
        <f>IF('P30'!$E47&gt;"",'P30'!$E47&amp;" "&amp;CHAR(10)&amp;'P30'!$F47,'P30'!$E47)</f>
        <v>0</v>
      </c>
      <c r="AJ51" s="89">
        <f>IF('P31'!$E47&gt;"",'P31'!$E47&amp;" "&amp;CHAR(10)&amp;'P31'!$F47,'P31'!$E47)</f>
        <v>0</v>
      </c>
      <c r="AK51" s="89">
        <f>IF('P32'!$E47&gt;"",'P32'!$E47&amp;" "&amp;CHAR(10)&amp;'P32'!$F47,'P32'!$E47)</f>
        <v>0</v>
      </c>
      <c r="AL51" s="89">
        <f>IF('P33'!$E47&gt;"",'P33'!$E47&amp;" "&amp;CHAR(10)&amp;'P33'!$F47,'P33'!$E47)</f>
        <v>0</v>
      </c>
      <c r="AM51" s="89">
        <f>IF('P34'!$E47&gt;"",'P34'!$E47&amp;" "&amp;CHAR(10)&amp;'P34'!$F47,'P34'!$E47)</f>
        <v>0</v>
      </c>
      <c r="AN51" s="89">
        <f>IF('P35'!$E47&gt;"",'P35'!$E47&amp;" "&amp;CHAR(10)&amp;'P35'!$F47,'P35'!$E47)</f>
        <v>0</v>
      </c>
      <c r="AO51" s="89">
        <f>IF('P36'!$E47&gt;"",'P36'!$E47&amp;" "&amp;CHAR(10)&amp;'P36'!$F47,'P36'!$E47)</f>
        <v>0</v>
      </c>
      <c r="AP51" s="89">
        <f>IF('P37'!$E47&gt;"",'P37'!$E47&amp;" "&amp;CHAR(10)&amp;'P37'!$F47,'P37'!$E47)</f>
        <v>0</v>
      </c>
      <c r="AQ51" s="89">
        <f>IF('P38'!$E47&gt;"",'P38'!$E47&amp;" "&amp;CHAR(10)&amp;'P38'!$F47,'P38'!$E47)</f>
        <v>0</v>
      </c>
      <c r="AR51" s="89">
        <f>IF('P39'!$E47&gt;"",'P39'!$E47&amp;" "&amp;CHAR(10)&amp;'P39'!$F47,'P39'!$E47)</f>
        <v>0</v>
      </c>
      <c r="AS51" s="89">
        <f>IF('P40'!$E47&gt;"",'P40'!$E47&amp;" "&amp;CHAR(10)&amp;'P40'!$F47,'P40'!$E47)</f>
        <v>0</v>
      </c>
      <c r="AT51" s="55">
        <f t="shared" si="5"/>
        <v>0</v>
      </c>
      <c r="AU51" s="9">
        <f t="shared" si="6"/>
        <v>0</v>
      </c>
      <c r="AV51" s="55">
        <f t="shared" si="7"/>
        <v>0</v>
      </c>
      <c r="AW51" s="38" t="str">
        <f t="shared" si="8"/>
        <v>NT</v>
      </c>
      <c r="AX51" s="12"/>
      <c r="AY51" s="10"/>
      <c r="AZ51" s="10"/>
      <c r="BA51" s="10" t="str">
        <f>IF('P01'!$G47&lt;&gt;"", 'P01'!$G47, "non")</f>
        <v>non</v>
      </c>
      <c r="BB51" s="10" t="str">
        <f>IF('P02'!$G47&lt;&gt;"", 'P02'!$G47, "non")</f>
        <v>non</v>
      </c>
      <c r="BC51" s="10" t="str">
        <f>IF('P03'!$G47&lt;&gt;"", 'P03'!$G47, "non")</f>
        <v>non</v>
      </c>
      <c r="BD51" s="10" t="str">
        <f>IF('P04'!$G47&lt;&gt;"", 'P04'!$G47, "non")</f>
        <v>non</v>
      </c>
      <c r="BE51" s="10" t="str">
        <f>IF('P05'!$G47&lt;&gt;"", 'P05'!$G47, "non")</f>
        <v>non</v>
      </c>
      <c r="BF51" s="10" t="str">
        <f>IF('P06'!$G47&lt;&gt;"", 'P06'!$G47, "non")</f>
        <v>non</v>
      </c>
      <c r="BG51" s="10" t="str">
        <f>IF('P07'!$G47&lt;&gt;"", 'P07'!$G47, "non")</f>
        <v>non</v>
      </c>
      <c r="BH51" s="10" t="str">
        <f>IF('P08'!$G47&lt;&gt;"", 'P08'!$G47, "non")</f>
        <v>non</v>
      </c>
      <c r="BI51" s="10" t="str">
        <f>IF('P09'!$G47&lt;&gt;"", 'P09'!$G47, "non")</f>
        <v>non</v>
      </c>
      <c r="BJ51" s="10" t="str">
        <f>IF('P10'!$G47&lt;&gt;"", 'P10'!$G47, "non")</f>
        <v>non</v>
      </c>
      <c r="BK51" s="10" t="str">
        <f>IF('P11'!$G47&lt;&gt;"", 'P11'!$G47, "non")</f>
        <v>non</v>
      </c>
      <c r="BL51" s="10" t="str">
        <f>IF('P12'!$G47&lt;&gt;"", 'P12'!$G47, "non")</f>
        <v>non</v>
      </c>
      <c r="BM51" s="10" t="str">
        <f>IF('P13'!$G47&lt;&gt;"", 'P13'!$G47, "non")</f>
        <v>non</v>
      </c>
      <c r="BN51" s="10" t="str">
        <f>IF('P14'!$G47&lt;&gt;"", 'P14'!$G47, "non")</f>
        <v>non</v>
      </c>
      <c r="BO51" s="10" t="str">
        <f>IF('P15'!$G47&lt;&gt;"", 'P15'!$G47, "non")</f>
        <v>non</v>
      </c>
      <c r="BP51" s="10" t="str">
        <f>IF('P16'!$G47&lt;&gt;"", 'P16'!$G47, "non")</f>
        <v>non</v>
      </c>
      <c r="BQ51" s="10" t="str">
        <f>IF('P17'!$G47&lt;&gt;"", 'P17'!$G47, "non")</f>
        <v>non</v>
      </c>
      <c r="BR51" s="10" t="str">
        <f>IF('P18'!$G47&lt;&gt;"", 'P18'!$G47, "non")</f>
        <v>non</v>
      </c>
      <c r="BS51" s="10" t="str">
        <f>IF('P19'!$G47&lt;&gt;"", 'P19'!$G47, "non")</f>
        <v>non</v>
      </c>
      <c r="BT51" s="11" t="str">
        <f>IF('P20'!$G47&lt;&gt;"", 'P20'!$G47, "non")</f>
        <v>non</v>
      </c>
      <c r="BU51" s="10" t="str">
        <f>IF('P21'!$G47&lt;&gt;"", 'P21'!$G47, "non")</f>
        <v>non</v>
      </c>
      <c r="BV51" s="11" t="str">
        <f>IF('P22'!$G47&lt;&gt;"", 'P22'!$G47, "non")</f>
        <v>non</v>
      </c>
      <c r="BW51" s="10" t="str">
        <f>IF('P23'!$G47&lt;&gt;"", 'P23'!$G47, "non")</f>
        <v>non</v>
      </c>
      <c r="BX51" s="11" t="str">
        <f>IF('P24'!$G47&lt;&gt;"", 'P24'!$G47, "non")</f>
        <v>non</v>
      </c>
      <c r="BY51" s="10" t="str">
        <f>IF('P25'!$G47&lt;&gt;"", 'P25'!$G47, "non")</f>
        <v>non</v>
      </c>
      <c r="BZ51" s="11" t="str">
        <f>IF('P26'!$G47&lt;&gt;"", 'P26'!$G47, "non")</f>
        <v>non</v>
      </c>
      <c r="CA51" s="10" t="str">
        <f>IF('P27'!$G47&lt;&gt;"", 'P27'!$G47, "non")</f>
        <v>non</v>
      </c>
      <c r="CB51" s="11" t="str">
        <f>IF('P28'!$G47&lt;&gt;"", 'P28'!$G47, "non")</f>
        <v>non</v>
      </c>
      <c r="CC51" s="10" t="str">
        <f>IF('P29'!$G47&lt;&gt;"", 'P29'!$G47, "non")</f>
        <v>non</v>
      </c>
      <c r="CD51" s="11" t="str">
        <f>IF('P30'!$G47&lt;&gt;"", 'P30'!$G47, "non")</f>
        <v>non</v>
      </c>
      <c r="CE51" s="10" t="str">
        <f>IF('P31'!$G47&lt;&gt;"", 'P31'!$G47, "non")</f>
        <v>non</v>
      </c>
      <c r="CF51" s="11" t="str">
        <f>IF('P32'!$G47&lt;&gt;"", 'P32'!$G47, "non")</f>
        <v>non</v>
      </c>
      <c r="CG51" s="10" t="str">
        <f>IF('P33'!$G47&lt;&gt;"", 'P33'!$G47, "non")</f>
        <v>non</v>
      </c>
      <c r="CH51" s="10" t="str">
        <f>IF('P34'!$G47&lt;&gt;"", 'P34'!$G47, "non")</f>
        <v>non</v>
      </c>
      <c r="CI51" s="11" t="str">
        <f>IF('P35'!$G47&lt;&gt;"", 'P35'!$G47, "non")</f>
        <v>non</v>
      </c>
      <c r="CJ51" s="10" t="str">
        <f>IF('P36'!$G47&lt;&gt;"", 'P36'!$G47, "non")</f>
        <v>non</v>
      </c>
      <c r="CK51" s="11" t="str">
        <f>IF('P37'!$G47&lt;&gt;"", 'P37'!$G47, "non")</f>
        <v>non</v>
      </c>
      <c r="CL51" s="10" t="str">
        <f>IF('P38'!$G47&lt;&gt;"", 'P38'!$G47, "non")</f>
        <v>non</v>
      </c>
      <c r="CM51" s="11" t="str">
        <f>IF('P39'!$G47&lt;&gt;"", 'P39'!$G47, "non")</f>
        <v>non</v>
      </c>
      <c r="CN51" s="10" t="str">
        <f>IF('P40'!$G47&lt;&gt;"", 'P40'!$G47, "non")</f>
        <v>non</v>
      </c>
    </row>
    <row r="52" spans="1:92" ht="39.75" customHeight="1">
      <c r="A52" s="122" t="str">
        <f>'Critères et tests'!B47</f>
        <v>ÉLÉMENTS OBLIGATOIRES</v>
      </c>
      <c r="B52" s="124" t="str">
        <f>'Critères et tests'!$A47</f>
        <v>8.3</v>
      </c>
      <c r="C52" s="192" t="str">
        <f>VLOOKUP(B52,'Critères et tests'!$1:$1048576,5,FALSE)</f>
        <v>Dans chaque page web, la langue par défaut est-elle présente ?</v>
      </c>
      <c r="D52" s="124" t="str">
        <f>'Critères et tests'!$C47</f>
        <v>A</v>
      </c>
      <c r="E52" s="156" t="s">
        <v>460</v>
      </c>
      <c r="F52" s="88">
        <f>IF('P01'!$E48&gt;"",'P01'!$E48&amp;" "&amp;CHAR(10)&amp;'P01'!$F48,'P01'!$E48)</f>
        <v>0</v>
      </c>
      <c r="G52" s="89">
        <f>IF('P02'!$E48&gt;"",'P02'!$E48&amp;" "&amp;CHAR(10)&amp;'P02'!$F48,'P02'!$E48)</f>
        <v>0</v>
      </c>
      <c r="H52" s="89">
        <f>IF('P03'!$E48&gt;"",'P03'!$E48&amp;" "&amp;CHAR(10)&amp;'P03'!$F48,'P03'!$E48)</f>
        <v>0</v>
      </c>
      <c r="I52" s="89">
        <f>IF('P04'!$E48&gt;"",'P04'!$E48&amp;" "&amp;CHAR(10)&amp;'P04'!$F48,'P04'!$E48)</f>
        <v>0</v>
      </c>
      <c r="J52" s="89">
        <f>IF('P05'!$E48&gt;"",'P05'!$E48&amp;" "&amp;CHAR(10)&amp;'P05'!$F48,'P05'!$E48)</f>
        <v>0</v>
      </c>
      <c r="K52" s="89">
        <f>IF('P06'!$E48&gt;"",'P06'!$E48&amp;" "&amp;CHAR(10)&amp;'P06'!$F48,'P06'!$E48)</f>
        <v>0</v>
      </c>
      <c r="L52" s="89">
        <f>IF('P07'!$E48&gt;"",'P07'!$E48&amp;" "&amp;CHAR(10)&amp;'P07'!$F48,'P07'!$E48)</f>
        <v>0</v>
      </c>
      <c r="M52" s="89">
        <f>IF('P08'!$E48&gt;"",'P08'!$E48&amp;" "&amp;CHAR(10)&amp;'P08'!$F48,'P08'!$E48)</f>
        <v>0</v>
      </c>
      <c r="N52" s="89">
        <f>IF('P09'!$E48&gt;"",'P09'!$E48&amp;" "&amp;CHAR(10)&amp;'P09'!$F48,'P09'!$E48)</f>
        <v>0</v>
      </c>
      <c r="O52" s="89">
        <f>IF('P10'!$E48&gt;"",'P10'!$E48&amp;" "&amp;CHAR(10)&amp;'P10'!$F48,'P10'!$E48)</f>
        <v>0</v>
      </c>
      <c r="P52" s="89">
        <f>IF('P11'!$E48&gt;"",'P11'!$E48&amp;" "&amp;CHAR(10)&amp;'P11'!$F48,'P11'!$E48)</f>
        <v>0</v>
      </c>
      <c r="Q52" s="89">
        <f>IF('P12'!$E48&gt;"",'P12'!$E48&amp;" "&amp;CHAR(10)&amp;'P12'!$F48,'P12'!$E48)</f>
        <v>0</v>
      </c>
      <c r="R52" s="89">
        <f>IF('P13'!$E48&gt;"",'P13'!$E48&amp;" "&amp;CHAR(10)&amp;'P13'!$F48,'P13'!$E48)</f>
        <v>0</v>
      </c>
      <c r="S52" s="89">
        <f>IF('P14'!$E48&gt;"",'P14'!$E48&amp;" "&amp;CHAR(10)&amp;'P14'!$F48,'P14'!$E48)</f>
        <v>0</v>
      </c>
      <c r="T52" s="89">
        <f>IF('P15'!$E48&gt;"",'P15'!$E48&amp;" "&amp;CHAR(10)&amp;'P15'!$F48,'P15'!$E48)</f>
        <v>0</v>
      </c>
      <c r="U52" s="89">
        <f>IF('P16'!$E48&gt;"",'P16'!$E48&amp;" "&amp;CHAR(10)&amp;'P16'!$F48,'P16'!$E48)</f>
        <v>0</v>
      </c>
      <c r="V52" s="89">
        <f>IF('P17'!$E48&gt;"",'P17'!$E48&amp;" "&amp;CHAR(10)&amp;'P17'!$F48,'P17'!$E48)</f>
        <v>0</v>
      </c>
      <c r="W52" s="89">
        <f>IF('P18'!$E48&gt;"",'P18'!$E48&amp;" "&amp;CHAR(10)&amp;'P18'!$F48,'P18'!$E48)</f>
        <v>0</v>
      </c>
      <c r="X52" s="89">
        <f>IF('P19'!$E48&gt;"",'P19'!$E48&amp;" "&amp;CHAR(10)&amp;'P19'!$F48,'P19'!$E48)</f>
        <v>0</v>
      </c>
      <c r="Y52" s="89">
        <f>IF('P20'!$E48&gt;"",'P20'!$E48&amp;" "&amp;CHAR(10)&amp;'P20'!$F48,'P20'!$E48)</f>
        <v>0</v>
      </c>
      <c r="Z52" s="89">
        <f>IF('P21'!$E48&gt;"",'P21'!$E48&amp;" "&amp;CHAR(10)&amp;'P21'!$F48,'P21'!$E48)</f>
        <v>0</v>
      </c>
      <c r="AA52" s="89">
        <f>IF('P22'!$E48&gt;"",'P22'!$E48&amp;" "&amp;CHAR(10)&amp;'P22'!$F48,'P22'!$E48)</f>
        <v>0</v>
      </c>
      <c r="AB52" s="89">
        <f>IF('P23'!$E48&gt;"",'P23'!$E48&amp;" "&amp;CHAR(10)&amp;'P23'!$F48,'P23'!$E48)</f>
        <v>0</v>
      </c>
      <c r="AC52" s="89">
        <f>IF('P24'!$E48&gt;"",'P24'!$E48&amp;" "&amp;CHAR(10)&amp;'P24'!$F48,'P24'!$E48)</f>
        <v>0</v>
      </c>
      <c r="AD52" s="89">
        <f>IF('P25'!$E48&gt;"",'P25'!$E48&amp;" "&amp;CHAR(10)&amp;'P25'!$F48,'P25'!$E48)</f>
        <v>0</v>
      </c>
      <c r="AE52" s="89">
        <f>IF('P26'!$E48&gt;"",'P26'!$E48&amp;" "&amp;CHAR(10)&amp;'P26'!$F48,'P26'!$E48)</f>
        <v>0</v>
      </c>
      <c r="AF52" s="89">
        <f>IF('P27'!$E48&gt;"",'P27'!$E48&amp;" "&amp;CHAR(10)&amp;'P27'!$F48,'P27'!$E48)</f>
        <v>0</v>
      </c>
      <c r="AG52" s="89">
        <f>IF('P28'!$E48&gt;"",'P28'!$E48&amp;" "&amp;CHAR(10)&amp;'P28'!$F48,'P28'!$E48)</f>
        <v>0</v>
      </c>
      <c r="AH52" s="89">
        <f>IF('P29'!$E48&gt;"",'P29'!$E48&amp;" "&amp;CHAR(10)&amp;'P29'!$F48,'P29'!$E48)</f>
        <v>0</v>
      </c>
      <c r="AI52" s="89">
        <f>IF('P30'!$E48&gt;"",'P30'!$E48&amp;" "&amp;CHAR(10)&amp;'P30'!$F48,'P30'!$E48)</f>
        <v>0</v>
      </c>
      <c r="AJ52" s="89">
        <f>IF('P31'!$E48&gt;"",'P31'!$E48&amp;" "&amp;CHAR(10)&amp;'P31'!$F48,'P31'!$E48)</f>
        <v>0</v>
      </c>
      <c r="AK52" s="89">
        <f>IF('P32'!$E48&gt;"",'P32'!$E48&amp;" "&amp;CHAR(10)&amp;'P32'!$F48,'P32'!$E48)</f>
        <v>0</v>
      </c>
      <c r="AL52" s="89">
        <f>IF('P33'!$E48&gt;"",'P33'!$E48&amp;" "&amp;CHAR(10)&amp;'P33'!$F48,'P33'!$E48)</f>
        <v>0</v>
      </c>
      <c r="AM52" s="89">
        <f>IF('P34'!$E48&gt;"",'P34'!$E48&amp;" "&amp;CHAR(10)&amp;'P34'!$F48,'P34'!$E48)</f>
        <v>0</v>
      </c>
      <c r="AN52" s="89">
        <f>IF('P35'!$E48&gt;"",'P35'!$E48&amp;" "&amp;CHAR(10)&amp;'P35'!$F48,'P35'!$E48)</f>
        <v>0</v>
      </c>
      <c r="AO52" s="89">
        <f>IF('P36'!$E48&gt;"",'P36'!$E48&amp;" "&amp;CHAR(10)&amp;'P36'!$F48,'P36'!$E48)</f>
        <v>0</v>
      </c>
      <c r="AP52" s="89">
        <f>IF('P37'!$E48&gt;"",'P37'!$E48&amp;" "&amp;CHAR(10)&amp;'P37'!$F48,'P37'!$E48)</f>
        <v>0</v>
      </c>
      <c r="AQ52" s="89">
        <f>IF('P38'!$E48&gt;"",'P38'!$E48&amp;" "&amp;CHAR(10)&amp;'P38'!$F48,'P38'!$E48)</f>
        <v>0</v>
      </c>
      <c r="AR52" s="89">
        <f>IF('P39'!$E48&gt;"",'P39'!$E48&amp;" "&amp;CHAR(10)&amp;'P39'!$F48,'P39'!$E48)</f>
        <v>0</v>
      </c>
      <c r="AS52" s="89">
        <f>IF('P40'!$E48&gt;"",'P40'!$E48&amp;" "&amp;CHAR(10)&amp;'P40'!$F48,'P40'!$E48)</f>
        <v>0</v>
      </c>
      <c r="AT52" s="55">
        <f t="shared" si="5"/>
        <v>0</v>
      </c>
      <c r="AU52" s="9">
        <f t="shared" si="6"/>
        <v>0</v>
      </c>
      <c r="AV52" s="55">
        <f t="shared" si="7"/>
        <v>0</v>
      </c>
      <c r="AW52" s="38" t="str">
        <f t="shared" si="8"/>
        <v>NT</v>
      </c>
      <c r="AX52" s="12"/>
      <c r="AY52" s="10"/>
      <c r="AZ52" s="10"/>
      <c r="BA52" s="10" t="str">
        <f>IF('P01'!$G48&lt;&gt;"", 'P01'!$G48, "non")</f>
        <v>non</v>
      </c>
      <c r="BB52" s="10" t="str">
        <f>IF('P02'!$G48&lt;&gt;"", 'P02'!$G48, "non")</f>
        <v>non</v>
      </c>
      <c r="BC52" s="10" t="str">
        <f>IF('P03'!$G48&lt;&gt;"", 'P03'!$G48, "non")</f>
        <v>non</v>
      </c>
      <c r="BD52" s="10" t="str">
        <f>IF('P04'!$G48&lt;&gt;"", 'P04'!$G48, "non")</f>
        <v>non</v>
      </c>
      <c r="BE52" s="10" t="str">
        <f>IF('P05'!$G48&lt;&gt;"", 'P05'!$G48, "non")</f>
        <v>non</v>
      </c>
      <c r="BF52" s="10" t="str">
        <f>IF('P06'!$G48&lt;&gt;"", 'P06'!$G48, "non")</f>
        <v>non</v>
      </c>
      <c r="BG52" s="10" t="str">
        <f>IF('P07'!$G48&lt;&gt;"", 'P07'!$G48, "non")</f>
        <v>non</v>
      </c>
      <c r="BH52" s="10" t="str">
        <f>IF('P08'!$G48&lt;&gt;"", 'P08'!$G48, "non")</f>
        <v>non</v>
      </c>
      <c r="BI52" s="10" t="str">
        <f>IF('P09'!$G48&lt;&gt;"", 'P09'!$G48, "non")</f>
        <v>non</v>
      </c>
      <c r="BJ52" s="10" t="str">
        <f>IF('P10'!$G48&lt;&gt;"", 'P10'!$G48, "non")</f>
        <v>non</v>
      </c>
      <c r="BK52" s="10" t="str">
        <f>IF('P11'!$G48&lt;&gt;"", 'P11'!$G48, "non")</f>
        <v>non</v>
      </c>
      <c r="BL52" s="10" t="str">
        <f>IF('P12'!$G48&lt;&gt;"", 'P12'!$G48, "non")</f>
        <v>non</v>
      </c>
      <c r="BM52" s="10" t="str">
        <f>IF('P13'!$G48&lt;&gt;"", 'P13'!$G48, "non")</f>
        <v>non</v>
      </c>
      <c r="BN52" s="10" t="str">
        <f>IF('P14'!$G48&lt;&gt;"", 'P14'!$G48, "non")</f>
        <v>non</v>
      </c>
      <c r="BO52" s="10" t="str">
        <f>IF('P15'!$G48&lt;&gt;"", 'P15'!$G48, "non")</f>
        <v>non</v>
      </c>
      <c r="BP52" s="10" t="str">
        <f>IF('P16'!$G48&lt;&gt;"", 'P16'!$G48, "non")</f>
        <v>non</v>
      </c>
      <c r="BQ52" s="10" t="str">
        <f>IF('P17'!$G48&lt;&gt;"", 'P17'!$G48, "non")</f>
        <v>non</v>
      </c>
      <c r="BR52" s="10" t="str">
        <f>IF('P18'!$G48&lt;&gt;"", 'P18'!$G48, "non")</f>
        <v>non</v>
      </c>
      <c r="BS52" s="10" t="str">
        <f>IF('P19'!$G48&lt;&gt;"", 'P19'!$G48, "non")</f>
        <v>non</v>
      </c>
      <c r="BT52" s="11" t="str">
        <f>IF('P20'!$G48&lt;&gt;"", 'P20'!$G48, "non")</f>
        <v>non</v>
      </c>
      <c r="BU52" s="10" t="str">
        <f>IF('P21'!$G48&lt;&gt;"", 'P21'!$G48, "non")</f>
        <v>non</v>
      </c>
      <c r="BV52" s="11" t="str">
        <f>IF('P22'!$G48&lt;&gt;"", 'P22'!$G48, "non")</f>
        <v>non</v>
      </c>
      <c r="BW52" s="10" t="str">
        <f>IF('P23'!$G48&lt;&gt;"", 'P23'!$G48, "non")</f>
        <v>non</v>
      </c>
      <c r="BX52" s="11" t="str">
        <f>IF('P24'!$G48&lt;&gt;"", 'P24'!$G48, "non")</f>
        <v>non</v>
      </c>
      <c r="BY52" s="10" t="str">
        <f>IF('P25'!$G48&lt;&gt;"", 'P25'!$G48, "non")</f>
        <v>non</v>
      </c>
      <c r="BZ52" s="11" t="str">
        <f>IF('P26'!$G48&lt;&gt;"", 'P26'!$G48, "non")</f>
        <v>non</v>
      </c>
      <c r="CA52" s="10" t="str">
        <f>IF('P27'!$G48&lt;&gt;"", 'P27'!$G48, "non")</f>
        <v>non</v>
      </c>
      <c r="CB52" s="11" t="str">
        <f>IF('P28'!$G48&lt;&gt;"", 'P28'!$G48, "non")</f>
        <v>non</v>
      </c>
      <c r="CC52" s="10" t="str">
        <f>IF('P29'!$G48&lt;&gt;"", 'P29'!$G48, "non")</f>
        <v>non</v>
      </c>
      <c r="CD52" s="11" t="str">
        <f>IF('P30'!$G48&lt;&gt;"", 'P30'!$G48, "non")</f>
        <v>non</v>
      </c>
      <c r="CE52" s="10" t="str">
        <f>IF('P31'!$G48&lt;&gt;"", 'P31'!$G48, "non")</f>
        <v>non</v>
      </c>
      <c r="CF52" s="11" t="str">
        <f>IF('P32'!$G48&lt;&gt;"", 'P32'!$G48, "non")</f>
        <v>non</v>
      </c>
      <c r="CG52" s="10" t="str">
        <f>IF('P33'!$G48&lt;&gt;"", 'P33'!$G48, "non")</f>
        <v>non</v>
      </c>
      <c r="CH52" s="10" t="str">
        <f>IF('P34'!$G48&lt;&gt;"", 'P34'!$G48, "non")</f>
        <v>non</v>
      </c>
      <c r="CI52" s="11" t="str">
        <f>IF('P35'!$G48&lt;&gt;"", 'P35'!$G48, "non")</f>
        <v>non</v>
      </c>
      <c r="CJ52" s="10" t="str">
        <f>IF('P36'!$G48&lt;&gt;"", 'P36'!$G48, "non")</f>
        <v>non</v>
      </c>
      <c r="CK52" s="11" t="str">
        <f>IF('P37'!$G48&lt;&gt;"", 'P37'!$G48, "non")</f>
        <v>non</v>
      </c>
      <c r="CL52" s="10" t="str">
        <f>IF('P38'!$G48&lt;&gt;"", 'P38'!$G48, "non")</f>
        <v>non</v>
      </c>
      <c r="CM52" s="11" t="str">
        <f>IF('P39'!$G48&lt;&gt;"", 'P39'!$G48, "non")</f>
        <v>non</v>
      </c>
      <c r="CN52" s="10" t="str">
        <f>IF('P40'!$G48&lt;&gt;"", 'P40'!$G48, "non")</f>
        <v>non</v>
      </c>
    </row>
    <row r="53" spans="1:92" ht="39.75" customHeight="1">
      <c r="A53" s="122" t="str">
        <f>'Critères et tests'!B48</f>
        <v>ÉLÉMENTS OBLIGATOIRES</v>
      </c>
      <c r="B53" s="124" t="str">
        <f>'Critères et tests'!$A48</f>
        <v>8.4</v>
      </c>
      <c r="C53" s="192" t="str">
        <f>VLOOKUP(B53,'Critères et tests'!$1:$1048576,5,FALSE)</f>
        <v>Pour chaque page web ayant une langue par défaut, le code de langue est-il pertinent ?</v>
      </c>
      <c r="D53" s="124" t="str">
        <f>'Critères et tests'!$C48</f>
        <v>A</v>
      </c>
      <c r="E53" s="156" t="s">
        <v>460</v>
      </c>
      <c r="F53" s="88">
        <f>IF('P01'!$E49&gt;"",'P01'!$E49&amp;" "&amp;CHAR(10)&amp;'P01'!$F49,'P01'!$E49)</f>
        <v>0</v>
      </c>
      <c r="G53" s="89">
        <f>IF('P02'!$E49&gt;"",'P02'!$E49&amp;" "&amp;CHAR(10)&amp;'P02'!$F49,'P02'!$E49)</f>
        <v>0</v>
      </c>
      <c r="H53" s="89">
        <f>IF('P03'!$E49&gt;"",'P03'!$E49&amp;" "&amp;CHAR(10)&amp;'P03'!$F49,'P03'!$E49)</f>
        <v>0</v>
      </c>
      <c r="I53" s="89">
        <f>IF('P04'!$E49&gt;"",'P04'!$E49&amp;" "&amp;CHAR(10)&amp;'P04'!$F49,'P04'!$E49)</f>
        <v>0</v>
      </c>
      <c r="J53" s="89">
        <f>IF('P05'!$E49&gt;"",'P05'!$E49&amp;" "&amp;CHAR(10)&amp;'P05'!$F49,'P05'!$E49)</f>
        <v>0</v>
      </c>
      <c r="K53" s="89">
        <f>IF('P06'!$E49&gt;"",'P06'!$E49&amp;" "&amp;CHAR(10)&amp;'P06'!$F49,'P06'!$E49)</f>
        <v>0</v>
      </c>
      <c r="L53" s="89">
        <f>IF('P07'!$E49&gt;"",'P07'!$E49&amp;" "&amp;CHAR(10)&amp;'P07'!$F49,'P07'!$E49)</f>
        <v>0</v>
      </c>
      <c r="M53" s="89">
        <f>IF('P08'!$E49&gt;"",'P08'!$E49&amp;" "&amp;CHAR(10)&amp;'P08'!$F49,'P08'!$E49)</f>
        <v>0</v>
      </c>
      <c r="N53" s="89">
        <f>IF('P09'!$E49&gt;"",'P09'!$E49&amp;" "&amp;CHAR(10)&amp;'P09'!$F49,'P09'!$E49)</f>
        <v>0</v>
      </c>
      <c r="O53" s="89">
        <f>IF('P10'!$E49&gt;"",'P10'!$E49&amp;" "&amp;CHAR(10)&amp;'P10'!$F49,'P10'!$E49)</f>
        <v>0</v>
      </c>
      <c r="P53" s="89">
        <f>IF('P11'!$E49&gt;"",'P11'!$E49&amp;" "&amp;CHAR(10)&amp;'P11'!$F49,'P11'!$E49)</f>
        <v>0</v>
      </c>
      <c r="Q53" s="89">
        <f>IF('P12'!$E49&gt;"",'P12'!$E49&amp;" "&amp;CHAR(10)&amp;'P12'!$F49,'P12'!$E49)</f>
        <v>0</v>
      </c>
      <c r="R53" s="89">
        <f>IF('P13'!$E49&gt;"",'P13'!$E49&amp;" "&amp;CHAR(10)&amp;'P13'!$F49,'P13'!$E49)</f>
        <v>0</v>
      </c>
      <c r="S53" s="89">
        <f>IF('P14'!$E49&gt;"",'P14'!$E49&amp;" "&amp;CHAR(10)&amp;'P14'!$F49,'P14'!$E49)</f>
        <v>0</v>
      </c>
      <c r="T53" s="89">
        <f>IF('P15'!$E49&gt;"",'P15'!$E49&amp;" "&amp;CHAR(10)&amp;'P15'!$F49,'P15'!$E49)</f>
        <v>0</v>
      </c>
      <c r="U53" s="89">
        <f>IF('P16'!$E49&gt;"",'P16'!$E49&amp;" "&amp;CHAR(10)&amp;'P16'!$F49,'P16'!$E49)</f>
        <v>0</v>
      </c>
      <c r="V53" s="89">
        <f>IF('P17'!$E49&gt;"",'P17'!$E49&amp;" "&amp;CHAR(10)&amp;'P17'!$F49,'P17'!$E49)</f>
        <v>0</v>
      </c>
      <c r="W53" s="89">
        <f>IF('P18'!$E49&gt;"",'P18'!$E49&amp;" "&amp;CHAR(10)&amp;'P18'!$F49,'P18'!$E49)</f>
        <v>0</v>
      </c>
      <c r="X53" s="89">
        <f>IF('P19'!$E49&gt;"",'P19'!$E49&amp;" "&amp;CHAR(10)&amp;'P19'!$F49,'P19'!$E49)</f>
        <v>0</v>
      </c>
      <c r="Y53" s="89">
        <f>IF('P20'!$E49&gt;"",'P20'!$E49&amp;" "&amp;CHAR(10)&amp;'P20'!$F49,'P20'!$E49)</f>
        <v>0</v>
      </c>
      <c r="Z53" s="89">
        <f>IF('P21'!$E49&gt;"",'P21'!$E49&amp;" "&amp;CHAR(10)&amp;'P21'!$F49,'P21'!$E49)</f>
        <v>0</v>
      </c>
      <c r="AA53" s="89">
        <f>IF('P22'!$E49&gt;"",'P22'!$E49&amp;" "&amp;CHAR(10)&amp;'P22'!$F49,'P22'!$E49)</f>
        <v>0</v>
      </c>
      <c r="AB53" s="89">
        <f>IF('P23'!$E49&gt;"",'P23'!$E49&amp;" "&amp;CHAR(10)&amp;'P23'!$F49,'P23'!$E49)</f>
        <v>0</v>
      </c>
      <c r="AC53" s="89">
        <f>IF('P24'!$E49&gt;"",'P24'!$E49&amp;" "&amp;CHAR(10)&amp;'P24'!$F49,'P24'!$E49)</f>
        <v>0</v>
      </c>
      <c r="AD53" s="89">
        <f>IF('P25'!$E49&gt;"",'P25'!$E49&amp;" "&amp;CHAR(10)&amp;'P25'!$F49,'P25'!$E49)</f>
        <v>0</v>
      </c>
      <c r="AE53" s="89">
        <f>IF('P26'!$E49&gt;"",'P26'!$E49&amp;" "&amp;CHAR(10)&amp;'P26'!$F49,'P26'!$E49)</f>
        <v>0</v>
      </c>
      <c r="AF53" s="89">
        <f>IF('P27'!$E49&gt;"",'P27'!$E49&amp;" "&amp;CHAR(10)&amp;'P27'!$F49,'P27'!$E49)</f>
        <v>0</v>
      </c>
      <c r="AG53" s="89">
        <f>IF('P28'!$E49&gt;"",'P28'!$E49&amp;" "&amp;CHAR(10)&amp;'P28'!$F49,'P28'!$E49)</f>
        <v>0</v>
      </c>
      <c r="AH53" s="89">
        <f>IF('P29'!$E49&gt;"",'P29'!$E49&amp;" "&amp;CHAR(10)&amp;'P29'!$F49,'P29'!$E49)</f>
        <v>0</v>
      </c>
      <c r="AI53" s="89">
        <f>IF('P30'!$E49&gt;"",'P30'!$E49&amp;" "&amp;CHAR(10)&amp;'P30'!$F49,'P30'!$E49)</f>
        <v>0</v>
      </c>
      <c r="AJ53" s="89">
        <f>IF('P31'!$E49&gt;"",'P31'!$E49&amp;" "&amp;CHAR(10)&amp;'P31'!$F49,'P31'!$E49)</f>
        <v>0</v>
      </c>
      <c r="AK53" s="89">
        <f>IF('P32'!$E49&gt;"",'P32'!$E49&amp;" "&amp;CHAR(10)&amp;'P32'!$F49,'P32'!$E49)</f>
        <v>0</v>
      </c>
      <c r="AL53" s="89">
        <f>IF('P33'!$E49&gt;"",'P33'!$E49&amp;" "&amp;CHAR(10)&amp;'P33'!$F49,'P33'!$E49)</f>
        <v>0</v>
      </c>
      <c r="AM53" s="89">
        <f>IF('P34'!$E49&gt;"",'P34'!$E49&amp;" "&amp;CHAR(10)&amp;'P34'!$F49,'P34'!$E49)</f>
        <v>0</v>
      </c>
      <c r="AN53" s="89">
        <f>IF('P35'!$E49&gt;"",'P35'!$E49&amp;" "&amp;CHAR(10)&amp;'P35'!$F49,'P35'!$E49)</f>
        <v>0</v>
      </c>
      <c r="AO53" s="89">
        <f>IF('P36'!$E49&gt;"",'P36'!$E49&amp;" "&amp;CHAR(10)&amp;'P36'!$F49,'P36'!$E49)</f>
        <v>0</v>
      </c>
      <c r="AP53" s="89">
        <f>IF('P37'!$E49&gt;"",'P37'!$E49&amp;" "&amp;CHAR(10)&amp;'P37'!$F49,'P37'!$E49)</f>
        <v>0</v>
      </c>
      <c r="AQ53" s="89">
        <f>IF('P38'!$E49&gt;"",'P38'!$E49&amp;" "&amp;CHAR(10)&amp;'P38'!$F49,'P38'!$E49)</f>
        <v>0</v>
      </c>
      <c r="AR53" s="89">
        <f>IF('P39'!$E49&gt;"",'P39'!$E49&amp;" "&amp;CHAR(10)&amp;'P39'!$F49,'P39'!$E49)</f>
        <v>0</v>
      </c>
      <c r="AS53" s="89">
        <f>IF('P40'!$E49&gt;"",'P40'!$E49&amp;" "&amp;CHAR(10)&amp;'P40'!$F49,'P40'!$E49)</f>
        <v>0</v>
      </c>
      <c r="AT53" s="55">
        <f t="shared" si="5"/>
        <v>0</v>
      </c>
      <c r="AU53" s="9">
        <f t="shared" si="6"/>
        <v>0</v>
      </c>
      <c r="AV53" s="55">
        <f t="shared" si="7"/>
        <v>0</v>
      </c>
      <c r="AW53" s="38" t="str">
        <f t="shared" si="8"/>
        <v>NT</v>
      </c>
      <c r="AX53" s="12"/>
      <c r="AY53" s="10"/>
      <c r="AZ53" s="10"/>
      <c r="BA53" s="10" t="str">
        <f>IF('P01'!$G49&lt;&gt;"", 'P01'!$G49, "non")</f>
        <v>non</v>
      </c>
      <c r="BB53" s="10" t="str">
        <f>IF('P02'!$G49&lt;&gt;"", 'P02'!$G49, "non")</f>
        <v>non</v>
      </c>
      <c r="BC53" s="10" t="str">
        <f>IF('P03'!$G49&lt;&gt;"", 'P03'!$G49, "non")</f>
        <v>non</v>
      </c>
      <c r="BD53" s="10" t="str">
        <f>IF('P04'!$G49&lt;&gt;"", 'P04'!$G49, "non")</f>
        <v>non</v>
      </c>
      <c r="BE53" s="10" t="str">
        <f>IF('P05'!$G49&lt;&gt;"", 'P05'!$G49, "non")</f>
        <v>non</v>
      </c>
      <c r="BF53" s="10" t="str">
        <f>IF('P06'!$G49&lt;&gt;"", 'P06'!$G49, "non")</f>
        <v>non</v>
      </c>
      <c r="BG53" s="10" t="str">
        <f>IF('P07'!$G49&lt;&gt;"", 'P07'!$G49, "non")</f>
        <v>non</v>
      </c>
      <c r="BH53" s="10" t="str">
        <f>IF('P08'!$G49&lt;&gt;"", 'P08'!$G49, "non")</f>
        <v>non</v>
      </c>
      <c r="BI53" s="10" t="str">
        <f>IF('P09'!$G49&lt;&gt;"", 'P09'!$G49, "non")</f>
        <v>non</v>
      </c>
      <c r="BJ53" s="10" t="str">
        <f>IF('P10'!$G49&lt;&gt;"", 'P10'!$G49, "non")</f>
        <v>non</v>
      </c>
      <c r="BK53" s="10" t="str">
        <f>IF('P11'!$G49&lt;&gt;"", 'P11'!$G49, "non")</f>
        <v>non</v>
      </c>
      <c r="BL53" s="10" t="str">
        <f>IF('P12'!$G49&lt;&gt;"", 'P12'!$G49, "non")</f>
        <v>non</v>
      </c>
      <c r="BM53" s="10" t="str">
        <f>IF('P13'!$G49&lt;&gt;"", 'P13'!$G49, "non")</f>
        <v>non</v>
      </c>
      <c r="BN53" s="10" t="str">
        <f>IF('P14'!$G49&lt;&gt;"", 'P14'!$G49, "non")</f>
        <v>non</v>
      </c>
      <c r="BO53" s="10" t="str">
        <f>IF('P15'!$G49&lt;&gt;"", 'P15'!$G49, "non")</f>
        <v>non</v>
      </c>
      <c r="BP53" s="10" t="str">
        <f>IF('P16'!$G49&lt;&gt;"", 'P16'!$G49, "non")</f>
        <v>non</v>
      </c>
      <c r="BQ53" s="10" t="str">
        <f>IF('P17'!$G49&lt;&gt;"", 'P17'!$G49, "non")</f>
        <v>non</v>
      </c>
      <c r="BR53" s="10" t="str">
        <f>IF('P18'!$G49&lt;&gt;"", 'P18'!$G49, "non")</f>
        <v>non</v>
      </c>
      <c r="BS53" s="10" t="str">
        <f>IF('P19'!$G49&lt;&gt;"", 'P19'!$G49, "non")</f>
        <v>non</v>
      </c>
      <c r="BT53" s="11" t="str">
        <f>IF('P20'!$G49&lt;&gt;"", 'P20'!$G49, "non")</f>
        <v>non</v>
      </c>
      <c r="BU53" s="10" t="str">
        <f>IF('P21'!$G49&lt;&gt;"", 'P21'!$G49, "non")</f>
        <v>non</v>
      </c>
      <c r="BV53" s="11" t="str">
        <f>IF('P22'!$G49&lt;&gt;"", 'P22'!$G49, "non")</f>
        <v>non</v>
      </c>
      <c r="BW53" s="10" t="str">
        <f>IF('P23'!$G49&lt;&gt;"", 'P23'!$G49, "non")</f>
        <v>non</v>
      </c>
      <c r="BX53" s="11" t="str">
        <f>IF('P24'!$G49&lt;&gt;"", 'P24'!$G49, "non")</f>
        <v>non</v>
      </c>
      <c r="BY53" s="10" t="str">
        <f>IF('P25'!$G49&lt;&gt;"", 'P25'!$G49, "non")</f>
        <v>non</v>
      </c>
      <c r="BZ53" s="11" t="str">
        <f>IF('P26'!$G49&lt;&gt;"", 'P26'!$G49, "non")</f>
        <v>non</v>
      </c>
      <c r="CA53" s="10" t="str">
        <f>IF('P27'!$G49&lt;&gt;"", 'P27'!$G49, "non")</f>
        <v>non</v>
      </c>
      <c r="CB53" s="11" t="str">
        <f>IF('P28'!$G49&lt;&gt;"", 'P28'!$G49, "non")</f>
        <v>non</v>
      </c>
      <c r="CC53" s="10" t="str">
        <f>IF('P29'!$G49&lt;&gt;"", 'P29'!$G49, "non")</f>
        <v>non</v>
      </c>
      <c r="CD53" s="11" t="str">
        <f>IF('P30'!$G49&lt;&gt;"", 'P30'!$G49, "non")</f>
        <v>non</v>
      </c>
      <c r="CE53" s="10" t="str">
        <f>IF('P31'!$G49&lt;&gt;"", 'P31'!$G49, "non")</f>
        <v>non</v>
      </c>
      <c r="CF53" s="11" t="str">
        <f>IF('P32'!$G49&lt;&gt;"", 'P32'!$G49, "non")</f>
        <v>non</v>
      </c>
      <c r="CG53" s="10" t="str">
        <f>IF('P33'!$G49&lt;&gt;"", 'P33'!$G49, "non")</f>
        <v>non</v>
      </c>
      <c r="CH53" s="10" t="str">
        <f>IF('P34'!$G49&lt;&gt;"", 'P34'!$G49, "non")</f>
        <v>non</v>
      </c>
      <c r="CI53" s="11" t="str">
        <f>IF('P35'!$G49&lt;&gt;"", 'P35'!$G49, "non")</f>
        <v>non</v>
      </c>
      <c r="CJ53" s="10" t="str">
        <f>IF('P36'!$G49&lt;&gt;"", 'P36'!$G49, "non")</f>
        <v>non</v>
      </c>
      <c r="CK53" s="11" t="str">
        <f>IF('P37'!$G49&lt;&gt;"", 'P37'!$G49, "non")</f>
        <v>non</v>
      </c>
      <c r="CL53" s="10" t="str">
        <f>IF('P38'!$G49&lt;&gt;"", 'P38'!$G49, "non")</f>
        <v>non</v>
      </c>
      <c r="CM53" s="11" t="str">
        <f>IF('P39'!$G49&lt;&gt;"", 'P39'!$G49, "non")</f>
        <v>non</v>
      </c>
      <c r="CN53" s="10" t="str">
        <f>IF('P40'!$G49&lt;&gt;"", 'P40'!$G49, "non")</f>
        <v>non</v>
      </c>
    </row>
    <row r="54" spans="1:92" ht="39.75" customHeight="1">
      <c r="A54" s="122" t="str">
        <f>'Critères et tests'!B49</f>
        <v>ÉLÉMENTS OBLIGATOIRES</v>
      </c>
      <c r="B54" s="124" t="str">
        <f>'Critères et tests'!$A49</f>
        <v>8.5</v>
      </c>
      <c r="C54" s="192" t="str">
        <f>VLOOKUP(B54,'Critères et tests'!$1:$1048576,5,FALSE)</f>
        <v>Chaque page web a-t-elle un titre de page ?</v>
      </c>
      <c r="D54" s="124" t="str">
        <f>'Critères et tests'!$C49</f>
        <v>A</v>
      </c>
      <c r="E54" s="156" t="s">
        <v>460</v>
      </c>
      <c r="F54" s="88">
        <f>IF('P01'!$E50&gt;"",'P01'!$E50&amp;" "&amp;CHAR(10)&amp;'P01'!$F50,'P01'!$E50)</f>
        <v>0</v>
      </c>
      <c r="G54" s="89">
        <f>IF('P02'!$E50&gt;"",'P02'!$E50&amp;" "&amp;CHAR(10)&amp;'P02'!$F50,'P02'!$E50)</f>
        <v>0</v>
      </c>
      <c r="H54" s="89">
        <f>IF('P03'!$E50&gt;"",'P03'!$E50&amp;" "&amp;CHAR(10)&amp;'P03'!$F50,'P03'!$E50)</f>
        <v>0</v>
      </c>
      <c r="I54" s="89">
        <f>IF('P04'!$E50&gt;"",'P04'!$E50&amp;" "&amp;CHAR(10)&amp;'P04'!$F50,'P04'!$E50)</f>
        <v>0</v>
      </c>
      <c r="J54" s="89">
        <f>IF('P05'!$E50&gt;"",'P05'!$E50&amp;" "&amp;CHAR(10)&amp;'P05'!$F50,'P05'!$E50)</f>
        <v>0</v>
      </c>
      <c r="K54" s="89">
        <f>IF('P06'!$E50&gt;"",'P06'!$E50&amp;" "&amp;CHAR(10)&amp;'P06'!$F50,'P06'!$E50)</f>
        <v>0</v>
      </c>
      <c r="L54" s="89">
        <f>IF('P07'!$E50&gt;"",'P07'!$E50&amp;" "&amp;CHAR(10)&amp;'P07'!$F50,'P07'!$E50)</f>
        <v>0</v>
      </c>
      <c r="M54" s="89">
        <f>IF('P08'!$E50&gt;"",'P08'!$E50&amp;" "&amp;CHAR(10)&amp;'P08'!$F50,'P08'!$E50)</f>
        <v>0</v>
      </c>
      <c r="N54" s="89">
        <f>IF('P09'!$E50&gt;"",'P09'!$E50&amp;" "&amp;CHAR(10)&amp;'P09'!$F50,'P09'!$E50)</f>
        <v>0</v>
      </c>
      <c r="O54" s="89">
        <f>IF('P10'!$E50&gt;"",'P10'!$E50&amp;" "&amp;CHAR(10)&amp;'P10'!$F50,'P10'!$E50)</f>
        <v>0</v>
      </c>
      <c r="P54" s="89">
        <f>IF('P11'!$E50&gt;"",'P11'!$E50&amp;" "&amp;CHAR(10)&amp;'P11'!$F50,'P11'!$E50)</f>
        <v>0</v>
      </c>
      <c r="Q54" s="89">
        <f>IF('P12'!$E50&gt;"",'P12'!$E50&amp;" "&amp;CHAR(10)&amp;'P12'!$F50,'P12'!$E50)</f>
        <v>0</v>
      </c>
      <c r="R54" s="89">
        <f>IF('P13'!$E50&gt;"",'P13'!$E50&amp;" "&amp;CHAR(10)&amp;'P13'!$F50,'P13'!$E50)</f>
        <v>0</v>
      </c>
      <c r="S54" s="89">
        <f>IF('P14'!$E50&gt;"",'P14'!$E50&amp;" "&amp;CHAR(10)&amp;'P14'!$F50,'P14'!$E50)</f>
        <v>0</v>
      </c>
      <c r="T54" s="89">
        <f>IF('P15'!$E50&gt;"",'P15'!$E50&amp;" "&amp;CHAR(10)&amp;'P15'!$F50,'P15'!$E50)</f>
        <v>0</v>
      </c>
      <c r="U54" s="89">
        <f>IF('P16'!$E50&gt;"",'P16'!$E50&amp;" "&amp;CHAR(10)&amp;'P16'!$F50,'P16'!$E50)</f>
        <v>0</v>
      </c>
      <c r="V54" s="89">
        <f>IF('P17'!$E50&gt;"",'P17'!$E50&amp;" "&amp;CHAR(10)&amp;'P17'!$F50,'P17'!$E50)</f>
        <v>0</v>
      </c>
      <c r="W54" s="89">
        <f>IF('P18'!$E50&gt;"",'P18'!$E50&amp;" "&amp;CHAR(10)&amp;'P18'!$F50,'P18'!$E50)</f>
        <v>0</v>
      </c>
      <c r="X54" s="89">
        <f>IF('P19'!$E50&gt;"",'P19'!$E50&amp;" "&amp;CHAR(10)&amp;'P19'!$F50,'P19'!$E50)</f>
        <v>0</v>
      </c>
      <c r="Y54" s="89">
        <f>IF('P20'!$E50&gt;"",'P20'!$E50&amp;" "&amp;CHAR(10)&amp;'P20'!$F50,'P20'!$E50)</f>
        <v>0</v>
      </c>
      <c r="Z54" s="89">
        <f>IF('P21'!$E50&gt;"",'P21'!$E50&amp;" "&amp;CHAR(10)&amp;'P21'!$F50,'P21'!$E50)</f>
        <v>0</v>
      </c>
      <c r="AA54" s="89">
        <f>IF('P22'!$E50&gt;"",'P22'!$E50&amp;" "&amp;CHAR(10)&amp;'P22'!$F50,'P22'!$E50)</f>
        <v>0</v>
      </c>
      <c r="AB54" s="89">
        <f>IF('P23'!$E50&gt;"",'P23'!$E50&amp;" "&amp;CHAR(10)&amp;'P23'!$F50,'P23'!$E50)</f>
        <v>0</v>
      </c>
      <c r="AC54" s="89">
        <f>IF('P24'!$E50&gt;"",'P24'!$E50&amp;" "&amp;CHAR(10)&amp;'P24'!$F50,'P24'!$E50)</f>
        <v>0</v>
      </c>
      <c r="AD54" s="89">
        <f>IF('P25'!$E50&gt;"",'P25'!$E50&amp;" "&amp;CHAR(10)&amp;'P25'!$F50,'P25'!$E50)</f>
        <v>0</v>
      </c>
      <c r="AE54" s="89">
        <f>IF('P26'!$E50&gt;"",'P26'!$E50&amp;" "&amp;CHAR(10)&amp;'P26'!$F50,'P26'!$E50)</f>
        <v>0</v>
      </c>
      <c r="AF54" s="89">
        <f>IF('P27'!$E50&gt;"",'P27'!$E50&amp;" "&amp;CHAR(10)&amp;'P27'!$F50,'P27'!$E50)</f>
        <v>0</v>
      </c>
      <c r="AG54" s="89">
        <f>IF('P28'!$E50&gt;"",'P28'!$E50&amp;" "&amp;CHAR(10)&amp;'P28'!$F50,'P28'!$E50)</f>
        <v>0</v>
      </c>
      <c r="AH54" s="89">
        <f>IF('P29'!$E50&gt;"",'P29'!$E50&amp;" "&amp;CHAR(10)&amp;'P29'!$F50,'P29'!$E50)</f>
        <v>0</v>
      </c>
      <c r="AI54" s="89">
        <f>IF('P30'!$E50&gt;"",'P30'!$E50&amp;" "&amp;CHAR(10)&amp;'P30'!$F50,'P30'!$E50)</f>
        <v>0</v>
      </c>
      <c r="AJ54" s="89">
        <f>IF('P31'!$E50&gt;"",'P31'!$E50&amp;" "&amp;CHAR(10)&amp;'P31'!$F50,'P31'!$E50)</f>
        <v>0</v>
      </c>
      <c r="AK54" s="89">
        <f>IF('P32'!$E50&gt;"",'P32'!$E50&amp;" "&amp;CHAR(10)&amp;'P32'!$F50,'P32'!$E50)</f>
        <v>0</v>
      </c>
      <c r="AL54" s="89">
        <f>IF('P33'!$E50&gt;"",'P33'!$E50&amp;" "&amp;CHAR(10)&amp;'P33'!$F50,'P33'!$E50)</f>
        <v>0</v>
      </c>
      <c r="AM54" s="89">
        <f>IF('P34'!$E50&gt;"",'P34'!$E50&amp;" "&amp;CHAR(10)&amp;'P34'!$F50,'P34'!$E50)</f>
        <v>0</v>
      </c>
      <c r="AN54" s="89">
        <f>IF('P35'!$E50&gt;"",'P35'!$E50&amp;" "&amp;CHAR(10)&amp;'P35'!$F50,'P35'!$E50)</f>
        <v>0</v>
      </c>
      <c r="AO54" s="89">
        <f>IF('P36'!$E50&gt;"",'P36'!$E50&amp;" "&amp;CHAR(10)&amp;'P36'!$F50,'P36'!$E50)</f>
        <v>0</v>
      </c>
      <c r="AP54" s="89">
        <f>IF('P37'!$E50&gt;"",'P37'!$E50&amp;" "&amp;CHAR(10)&amp;'P37'!$F50,'P37'!$E50)</f>
        <v>0</v>
      </c>
      <c r="AQ54" s="89">
        <f>IF('P38'!$E50&gt;"",'P38'!$E50&amp;" "&amp;CHAR(10)&amp;'P38'!$F50,'P38'!$E50)</f>
        <v>0</v>
      </c>
      <c r="AR54" s="89">
        <f>IF('P39'!$E50&gt;"",'P39'!$E50&amp;" "&amp;CHAR(10)&amp;'P39'!$F50,'P39'!$E50)</f>
        <v>0</v>
      </c>
      <c r="AS54" s="89">
        <f>IF('P40'!$E50&gt;"",'P40'!$E50&amp;" "&amp;CHAR(10)&amp;'P40'!$F50,'P40'!$E50)</f>
        <v>0</v>
      </c>
      <c r="AT54" s="55">
        <f t="shared" si="5"/>
        <v>0</v>
      </c>
      <c r="AU54" s="9">
        <f t="shared" si="6"/>
        <v>0</v>
      </c>
      <c r="AV54" s="55">
        <f t="shared" si="7"/>
        <v>0</v>
      </c>
      <c r="AW54" s="38" t="str">
        <f t="shared" si="8"/>
        <v>NT</v>
      </c>
      <c r="AX54" s="12"/>
      <c r="AY54" s="10"/>
      <c r="AZ54" s="10"/>
      <c r="BA54" s="10" t="str">
        <f>IF('P01'!$G50&lt;&gt;"", 'P01'!$G50, "non")</f>
        <v>non</v>
      </c>
      <c r="BB54" s="10" t="str">
        <f>IF('P02'!$G50&lt;&gt;"", 'P02'!$G50, "non")</f>
        <v>non</v>
      </c>
      <c r="BC54" s="10" t="str">
        <f>IF('P03'!$G50&lt;&gt;"", 'P03'!$G50, "non")</f>
        <v>non</v>
      </c>
      <c r="BD54" s="10" t="str">
        <f>IF('P04'!$G50&lt;&gt;"", 'P04'!$G50, "non")</f>
        <v>non</v>
      </c>
      <c r="BE54" s="10" t="str">
        <f>IF('P05'!$G50&lt;&gt;"", 'P05'!$G50, "non")</f>
        <v>non</v>
      </c>
      <c r="BF54" s="10" t="str">
        <f>IF('P06'!$G50&lt;&gt;"", 'P06'!$G50, "non")</f>
        <v>non</v>
      </c>
      <c r="BG54" s="10" t="str">
        <f>IF('P07'!$G50&lt;&gt;"", 'P07'!$G50, "non")</f>
        <v>non</v>
      </c>
      <c r="BH54" s="10" t="str">
        <f>IF('P08'!$G50&lt;&gt;"", 'P08'!$G50, "non")</f>
        <v>non</v>
      </c>
      <c r="BI54" s="10" t="str">
        <f>IF('P09'!$G50&lt;&gt;"", 'P09'!$G50, "non")</f>
        <v>non</v>
      </c>
      <c r="BJ54" s="10" t="str">
        <f>IF('P10'!$G50&lt;&gt;"", 'P10'!$G50, "non")</f>
        <v>non</v>
      </c>
      <c r="BK54" s="10" t="str">
        <f>IF('P11'!$G50&lt;&gt;"", 'P11'!$G50, "non")</f>
        <v>non</v>
      </c>
      <c r="BL54" s="10" t="str">
        <f>IF('P12'!$G50&lt;&gt;"", 'P12'!$G50, "non")</f>
        <v>non</v>
      </c>
      <c r="BM54" s="10" t="str">
        <f>IF('P13'!$G50&lt;&gt;"", 'P13'!$G50, "non")</f>
        <v>non</v>
      </c>
      <c r="BN54" s="10" t="str">
        <f>IF('P14'!$G50&lt;&gt;"", 'P14'!$G50, "non")</f>
        <v>non</v>
      </c>
      <c r="BO54" s="10" t="str">
        <f>IF('P15'!$G50&lt;&gt;"", 'P15'!$G50, "non")</f>
        <v>non</v>
      </c>
      <c r="BP54" s="10" t="str">
        <f>IF('P16'!$G50&lt;&gt;"", 'P16'!$G50, "non")</f>
        <v>non</v>
      </c>
      <c r="BQ54" s="10" t="str">
        <f>IF('P17'!$G50&lt;&gt;"", 'P17'!$G50, "non")</f>
        <v>non</v>
      </c>
      <c r="BR54" s="10" t="str">
        <f>IF('P18'!$G50&lt;&gt;"", 'P18'!$G50, "non")</f>
        <v>non</v>
      </c>
      <c r="BS54" s="10" t="str">
        <f>IF('P19'!$G50&lt;&gt;"", 'P19'!$G50, "non")</f>
        <v>non</v>
      </c>
      <c r="BT54" s="11" t="str">
        <f>IF('P20'!$G50&lt;&gt;"", 'P20'!$G50, "non")</f>
        <v>non</v>
      </c>
      <c r="BU54" s="10" t="str">
        <f>IF('P21'!$G50&lt;&gt;"", 'P21'!$G50, "non")</f>
        <v>non</v>
      </c>
      <c r="BV54" s="11" t="str">
        <f>IF('P22'!$G50&lt;&gt;"", 'P22'!$G50, "non")</f>
        <v>non</v>
      </c>
      <c r="BW54" s="10" t="str">
        <f>IF('P23'!$G50&lt;&gt;"", 'P23'!$G50, "non")</f>
        <v>non</v>
      </c>
      <c r="BX54" s="11" t="str">
        <f>IF('P24'!$G50&lt;&gt;"", 'P24'!$G50, "non")</f>
        <v>non</v>
      </c>
      <c r="BY54" s="10" t="str">
        <f>IF('P25'!$G50&lt;&gt;"", 'P25'!$G50, "non")</f>
        <v>non</v>
      </c>
      <c r="BZ54" s="11" t="str">
        <f>IF('P26'!$G50&lt;&gt;"", 'P26'!$G50, "non")</f>
        <v>non</v>
      </c>
      <c r="CA54" s="10" t="str">
        <f>IF('P27'!$G50&lt;&gt;"", 'P27'!$G50, "non")</f>
        <v>non</v>
      </c>
      <c r="CB54" s="11" t="str">
        <f>IF('P28'!$G50&lt;&gt;"", 'P28'!$G50, "non")</f>
        <v>non</v>
      </c>
      <c r="CC54" s="10" t="str">
        <f>IF('P29'!$G50&lt;&gt;"", 'P29'!$G50, "non")</f>
        <v>non</v>
      </c>
      <c r="CD54" s="11" t="str">
        <f>IF('P30'!$G50&lt;&gt;"", 'P30'!$G50, "non")</f>
        <v>non</v>
      </c>
      <c r="CE54" s="10" t="str">
        <f>IF('P31'!$G50&lt;&gt;"", 'P31'!$G50, "non")</f>
        <v>non</v>
      </c>
      <c r="CF54" s="11" t="str">
        <f>IF('P32'!$G50&lt;&gt;"", 'P32'!$G50, "non")</f>
        <v>non</v>
      </c>
      <c r="CG54" s="10" t="str">
        <f>IF('P33'!$G50&lt;&gt;"", 'P33'!$G50, "non")</f>
        <v>non</v>
      </c>
      <c r="CH54" s="10" t="str">
        <f>IF('P34'!$G50&lt;&gt;"", 'P34'!$G50, "non")</f>
        <v>non</v>
      </c>
      <c r="CI54" s="11" t="str">
        <f>IF('P35'!$G50&lt;&gt;"", 'P35'!$G50, "non")</f>
        <v>non</v>
      </c>
      <c r="CJ54" s="10" t="str">
        <f>IF('P36'!$G50&lt;&gt;"", 'P36'!$G50, "non")</f>
        <v>non</v>
      </c>
      <c r="CK54" s="11" t="str">
        <f>IF('P37'!$G50&lt;&gt;"", 'P37'!$G50, "non")</f>
        <v>non</v>
      </c>
      <c r="CL54" s="10" t="str">
        <f>IF('P38'!$G50&lt;&gt;"", 'P38'!$G50, "non")</f>
        <v>non</v>
      </c>
      <c r="CM54" s="11" t="str">
        <f>IF('P39'!$G50&lt;&gt;"", 'P39'!$G50, "non")</f>
        <v>non</v>
      </c>
      <c r="CN54" s="10" t="str">
        <f>IF('P40'!$G50&lt;&gt;"", 'P40'!$G50, "non")</f>
        <v>non</v>
      </c>
    </row>
    <row r="55" spans="1:92" ht="39.75" customHeight="1">
      <c r="A55" s="122" t="str">
        <f>'Critères et tests'!B50</f>
        <v>ÉLÉMENTS OBLIGATOIRES</v>
      </c>
      <c r="B55" s="124" t="str">
        <f>'Critères et tests'!$A50</f>
        <v>8.6</v>
      </c>
      <c r="C55" s="192" t="str">
        <f>VLOOKUP(B55,'Critères et tests'!$1:$1048576,5,FALSE)</f>
        <v>Pour chaque page web ayant un titre de page, ce titre est-il pertinent ?</v>
      </c>
      <c r="D55" s="124" t="str">
        <f>'Critères et tests'!$C50</f>
        <v>A</v>
      </c>
      <c r="E55" s="156" t="s">
        <v>460</v>
      </c>
      <c r="F55" s="88">
        <f>IF('P01'!$E51&gt;"",'P01'!$E51&amp;" "&amp;CHAR(10)&amp;'P01'!$F51,'P01'!$E51)</f>
        <v>0</v>
      </c>
      <c r="G55" s="89">
        <f>IF('P02'!$E51&gt;"",'P02'!$E51&amp;" "&amp;CHAR(10)&amp;'P02'!$F51,'P02'!$E51)</f>
        <v>0</v>
      </c>
      <c r="H55" s="89">
        <f>IF('P03'!$E51&gt;"",'P03'!$E51&amp;" "&amp;CHAR(10)&amp;'P03'!$F51,'P03'!$E51)</f>
        <v>0</v>
      </c>
      <c r="I55" s="89">
        <f>IF('P04'!$E51&gt;"",'P04'!$E51&amp;" "&amp;CHAR(10)&amp;'P04'!$F51,'P04'!$E51)</f>
        <v>0</v>
      </c>
      <c r="J55" s="89">
        <f>IF('P05'!$E51&gt;"",'P05'!$E51&amp;" "&amp;CHAR(10)&amp;'P05'!$F51,'P05'!$E51)</f>
        <v>0</v>
      </c>
      <c r="K55" s="89">
        <f>IF('P06'!$E51&gt;"",'P06'!$E51&amp;" "&amp;CHAR(10)&amp;'P06'!$F51,'P06'!$E51)</f>
        <v>0</v>
      </c>
      <c r="L55" s="89">
        <f>IF('P07'!$E51&gt;"",'P07'!$E51&amp;" "&amp;CHAR(10)&amp;'P07'!$F51,'P07'!$E51)</f>
        <v>0</v>
      </c>
      <c r="M55" s="89">
        <f>IF('P08'!$E51&gt;"",'P08'!$E51&amp;" "&amp;CHAR(10)&amp;'P08'!$F51,'P08'!$E51)</f>
        <v>0</v>
      </c>
      <c r="N55" s="89">
        <f>IF('P09'!$E51&gt;"",'P09'!$E51&amp;" "&amp;CHAR(10)&amp;'P09'!$F51,'P09'!$E51)</f>
        <v>0</v>
      </c>
      <c r="O55" s="89">
        <f>IF('P10'!$E51&gt;"",'P10'!$E51&amp;" "&amp;CHAR(10)&amp;'P10'!$F51,'P10'!$E51)</f>
        <v>0</v>
      </c>
      <c r="P55" s="89">
        <f>IF('P11'!$E51&gt;"",'P11'!$E51&amp;" "&amp;CHAR(10)&amp;'P11'!$F51,'P11'!$E51)</f>
        <v>0</v>
      </c>
      <c r="Q55" s="89">
        <f>IF('P12'!$E51&gt;"",'P12'!$E51&amp;" "&amp;CHAR(10)&amp;'P12'!$F51,'P12'!$E51)</f>
        <v>0</v>
      </c>
      <c r="R55" s="89">
        <f>IF('P13'!$E51&gt;"",'P13'!$E51&amp;" "&amp;CHAR(10)&amp;'P13'!$F51,'P13'!$E51)</f>
        <v>0</v>
      </c>
      <c r="S55" s="89">
        <f>IF('P14'!$E51&gt;"",'P14'!$E51&amp;" "&amp;CHAR(10)&amp;'P14'!$F51,'P14'!$E51)</f>
        <v>0</v>
      </c>
      <c r="T55" s="89">
        <f>IF('P15'!$E51&gt;"",'P15'!$E51&amp;" "&amp;CHAR(10)&amp;'P15'!$F51,'P15'!$E51)</f>
        <v>0</v>
      </c>
      <c r="U55" s="89">
        <f>IF('P16'!$E51&gt;"",'P16'!$E51&amp;" "&amp;CHAR(10)&amp;'P16'!$F51,'P16'!$E51)</f>
        <v>0</v>
      </c>
      <c r="V55" s="89">
        <f>IF('P17'!$E51&gt;"",'P17'!$E51&amp;" "&amp;CHAR(10)&amp;'P17'!$F51,'P17'!$E51)</f>
        <v>0</v>
      </c>
      <c r="W55" s="89">
        <f>IF('P18'!$E51&gt;"",'P18'!$E51&amp;" "&amp;CHAR(10)&amp;'P18'!$F51,'P18'!$E51)</f>
        <v>0</v>
      </c>
      <c r="X55" s="89">
        <f>IF('P19'!$E51&gt;"",'P19'!$E51&amp;" "&amp;CHAR(10)&amp;'P19'!$F51,'P19'!$E51)</f>
        <v>0</v>
      </c>
      <c r="Y55" s="89">
        <f>IF('P20'!$E51&gt;"",'P20'!$E51&amp;" "&amp;CHAR(10)&amp;'P20'!$F51,'P20'!$E51)</f>
        <v>0</v>
      </c>
      <c r="Z55" s="89">
        <f>IF('P21'!$E51&gt;"",'P21'!$E51&amp;" "&amp;CHAR(10)&amp;'P21'!$F51,'P21'!$E51)</f>
        <v>0</v>
      </c>
      <c r="AA55" s="89">
        <f>IF('P22'!$E51&gt;"",'P22'!$E51&amp;" "&amp;CHAR(10)&amp;'P22'!$F51,'P22'!$E51)</f>
        <v>0</v>
      </c>
      <c r="AB55" s="89">
        <f>IF('P23'!$E51&gt;"",'P23'!$E51&amp;" "&amp;CHAR(10)&amp;'P23'!$F51,'P23'!$E51)</f>
        <v>0</v>
      </c>
      <c r="AC55" s="89">
        <f>IF('P24'!$E51&gt;"",'P24'!$E51&amp;" "&amp;CHAR(10)&amp;'P24'!$F51,'P24'!$E51)</f>
        <v>0</v>
      </c>
      <c r="AD55" s="89">
        <f>IF('P25'!$E51&gt;"",'P25'!$E51&amp;" "&amp;CHAR(10)&amp;'P25'!$F51,'P25'!$E51)</f>
        <v>0</v>
      </c>
      <c r="AE55" s="89">
        <f>IF('P26'!$E51&gt;"",'P26'!$E51&amp;" "&amp;CHAR(10)&amp;'P26'!$F51,'P26'!$E51)</f>
        <v>0</v>
      </c>
      <c r="AF55" s="89">
        <f>IF('P27'!$E51&gt;"",'P27'!$E51&amp;" "&amp;CHAR(10)&amp;'P27'!$F51,'P27'!$E51)</f>
        <v>0</v>
      </c>
      <c r="AG55" s="89">
        <f>IF('P28'!$E51&gt;"",'P28'!$E51&amp;" "&amp;CHAR(10)&amp;'P28'!$F51,'P28'!$E51)</f>
        <v>0</v>
      </c>
      <c r="AH55" s="89">
        <f>IF('P29'!$E51&gt;"",'P29'!$E51&amp;" "&amp;CHAR(10)&amp;'P29'!$F51,'P29'!$E51)</f>
        <v>0</v>
      </c>
      <c r="AI55" s="89">
        <f>IF('P30'!$E51&gt;"",'P30'!$E51&amp;" "&amp;CHAR(10)&amp;'P30'!$F51,'P30'!$E51)</f>
        <v>0</v>
      </c>
      <c r="AJ55" s="89">
        <f>IF('P31'!$E51&gt;"",'P31'!$E51&amp;" "&amp;CHAR(10)&amp;'P31'!$F51,'P31'!$E51)</f>
        <v>0</v>
      </c>
      <c r="AK55" s="89">
        <f>IF('P32'!$E51&gt;"",'P32'!$E51&amp;" "&amp;CHAR(10)&amp;'P32'!$F51,'P32'!$E51)</f>
        <v>0</v>
      </c>
      <c r="AL55" s="89">
        <f>IF('P33'!$E51&gt;"",'P33'!$E51&amp;" "&amp;CHAR(10)&amp;'P33'!$F51,'P33'!$E51)</f>
        <v>0</v>
      </c>
      <c r="AM55" s="89">
        <f>IF('P34'!$E51&gt;"",'P34'!$E51&amp;" "&amp;CHAR(10)&amp;'P34'!$F51,'P34'!$E51)</f>
        <v>0</v>
      </c>
      <c r="AN55" s="89">
        <f>IF('P35'!$E51&gt;"",'P35'!$E51&amp;" "&amp;CHAR(10)&amp;'P35'!$F51,'P35'!$E51)</f>
        <v>0</v>
      </c>
      <c r="AO55" s="89">
        <f>IF('P36'!$E51&gt;"",'P36'!$E51&amp;" "&amp;CHAR(10)&amp;'P36'!$F51,'P36'!$E51)</f>
        <v>0</v>
      </c>
      <c r="AP55" s="89">
        <f>IF('P37'!$E51&gt;"",'P37'!$E51&amp;" "&amp;CHAR(10)&amp;'P37'!$F51,'P37'!$E51)</f>
        <v>0</v>
      </c>
      <c r="AQ55" s="89">
        <f>IF('P38'!$E51&gt;"",'P38'!$E51&amp;" "&amp;CHAR(10)&amp;'P38'!$F51,'P38'!$E51)</f>
        <v>0</v>
      </c>
      <c r="AR55" s="89">
        <f>IF('P39'!$E51&gt;"",'P39'!$E51&amp;" "&amp;CHAR(10)&amp;'P39'!$F51,'P39'!$E51)</f>
        <v>0</v>
      </c>
      <c r="AS55" s="89">
        <f>IF('P40'!$E51&gt;"",'P40'!$E51&amp;" "&amp;CHAR(10)&amp;'P40'!$F51,'P40'!$E51)</f>
        <v>0</v>
      </c>
      <c r="AT55" s="55">
        <f t="shared" si="5"/>
        <v>0</v>
      </c>
      <c r="AU55" s="9">
        <f t="shared" si="6"/>
        <v>0</v>
      </c>
      <c r="AV55" s="55">
        <f t="shared" si="7"/>
        <v>0</v>
      </c>
      <c r="AW55" s="38" t="str">
        <f t="shared" si="8"/>
        <v>NT</v>
      </c>
      <c r="AX55" s="12"/>
      <c r="AY55" s="10"/>
      <c r="AZ55" s="10"/>
      <c r="BA55" s="10" t="str">
        <f>IF('P01'!$G51&lt;&gt;"", 'P01'!$G51, "non")</f>
        <v>non</v>
      </c>
      <c r="BB55" s="10" t="str">
        <f>IF('P02'!$G51&lt;&gt;"", 'P02'!$G51, "non")</f>
        <v>non</v>
      </c>
      <c r="BC55" s="10" t="str">
        <f>IF('P03'!$G51&lt;&gt;"", 'P03'!$G51, "non")</f>
        <v>non</v>
      </c>
      <c r="BD55" s="10" t="str">
        <f>IF('P04'!$G51&lt;&gt;"", 'P04'!$G51, "non")</f>
        <v>non</v>
      </c>
      <c r="BE55" s="10" t="str">
        <f>IF('P05'!$G51&lt;&gt;"", 'P05'!$G51, "non")</f>
        <v>non</v>
      </c>
      <c r="BF55" s="10" t="str">
        <f>IF('P06'!$G51&lt;&gt;"", 'P06'!$G51, "non")</f>
        <v>non</v>
      </c>
      <c r="BG55" s="10" t="str">
        <f>IF('P07'!$G51&lt;&gt;"", 'P07'!$G51, "non")</f>
        <v>non</v>
      </c>
      <c r="BH55" s="10" t="str">
        <f>IF('P08'!$G51&lt;&gt;"", 'P08'!$G51, "non")</f>
        <v>non</v>
      </c>
      <c r="BI55" s="10" t="str">
        <f>IF('P09'!$G51&lt;&gt;"", 'P09'!$G51, "non")</f>
        <v>non</v>
      </c>
      <c r="BJ55" s="10" t="str">
        <f>IF('P10'!$G51&lt;&gt;"", 'P10'!$G51, "non")</f>
        <v>non</v>
      </c>
      <c r="BK55" s="10" t="str">
        <f>IF('P11'!$G51&lt;&gt;"", 'P11'!$G51, "non")</f>
        <v>non</v>
      </c>
      <c r="BL55" s="10" t="str">
        <f>IF('P12'!$G51&lt;&gt;"", 'P12'!$G51, "non")</f>
        <v>non</v>
      </c>
      <c r="BM55" s="10" t="str">
        <f>IF('P13'!$G51&lt;&gt;"", 'P13'!$G51, "non")</f>
        <v>non</v>
      </c>
      <c r="BN55" s="10" t="str">
        <f>IF('P14'!$G51&lt;&gt;"", 'P14'!$G51, "non")</f>
        <v>non</v>
      </c>
      <c r="BO55" s="10" t="str">
        <f>IF('P15'!$G51&lt;&gt;"", 'P15'!$G51, "non")</f>
        <v>non</v>
      </c>
      <c r="BP55" s="10" t="str">
        <f>IF('P16'!$G51&lt;&gt;"", 'P16'!$G51, "non")</f>
        <v>non</v>
      </c>
      <c r="BQ55" s="10" t="str">
        <f>IF('P17'!$G51&lt;&gt;"", 'P17'!$G51, "non")</f>
        <v>non</v>
      </c>
      <c r="BR55" s="10" t="str">
        <f>IF('P18'!$G51&lt;&gt;"", 'P18'!$G51, "non")</f>
        <v>non</v>
      </c>
      <c r="BS55" s="10" t="str">
        <f>IF('P19'!$G51&lt;&gt;"", 'P19'!$G51, "non")</f>
        <v>non</v>
      </c>
      <c r="BT55" s="11" t="str">
        <f>IF('P20'!$G51&lt;&gt;"", 'P20'!$G51, "non")</f>
        <v>non</v>
      </c>
      <c r="BU55" s="10" t="str">
        <f>IF('P21'!$G51&lt;&gt;"", 'P21'!$G51, "non")</f>
        <v>non</v>
      </c>
      <c r="BV55" s="11" t="str">
        <f>IF('P22'!$G51&lt;&gt;"", 'P22'!$G51, "non")</f>
        <v>non</v>
      </c>
      <c r="BW55" s="10" t="str">
        <f>IF('P23'!$G51&lt;&gt;"", 'P23'!$G51, "non")</f>
        <v>non</v>
      </c>
      <c r="BX55" s="11" t="str">
        <f>IF('P24'!$G51&lt;&gt;"", 'P24'!$G51, "non")</f>
        <v>non</v>
      </c>
      <c r="BY55" s="10" t="str">
        <f>IF('P25'!$G51&lt;&gt;"", 'P25'!$G51, "non")</f>
        <v>non</v>
      </c>
      <c r="BZ55" s="11" t="str">
        <f>IF('P26'!$G51&lt;&gt;"", 'P26'!$G51, "non")</f>
        <v>non</v>
      </c>
      <c r="CA55" s="10" t="str">
        <f>IF('P27'!$G51&lt;&gt;"", 'P27'!$G51, "non")</f>
        <v>non</v>
      </c>
      <c r="CB55" s="11" t="str">
        <f>IF('P28'!$G51&lt;&gt;"", 'P28'!$G51, "non")</f>
        <v>non</v>
      </c>
      <c r="CC55" s="10" t="str">
        <f>IF('P29'!$G51&lt;&gt;"", 'P29'!$G51, "non")</f>
        <v>non</v>
      </c>
      <c r="CD55" s="11" t="str">
        <f>IF('P30'!$G51&lt;&gt;"", 'P30'!$G51, "non")</f>
        <v>non</v>
      </c>
      <c r="CE55" s="10" t="str">
        <f>IF('P31'!$G51&lt;&gt;"", 'P31'!$G51, "non")</f>
        <v>non</v>
      </c>
      <c r="CF55" s="11" t="str">
        <f>IF('P32'!$G51&lt;&gt;"", 'P32'!$G51, "non")</f>
        <v>non</v>
      </c>
      <c r="CG55" s="10" t="str">
        <f>IF('P33'!$G51&lt;&gt;"", 'P33'!$G51, "non")</f>
        <v>non</v>
      </c>
      <c r="CH55" s="10" t="str">
        <f>IF('P34'!$G51&lt;&gt;"", 'P34'!$G51, "non")</f>
        <v>non</v>
      </c>
      <c r="CI55" s="11" t="str">
        <f>IF('P35'!$G51&lt;&gt;"", 'P35'!$G51, "non")</f>
        <v>non</v>
      </c>
      <c r="CJ55" s="10" t="str">
        <f>IF('P36'!$G51&lt;&gt;"", 'P36'!$G51, "non")</f>
        <v>non</v>
      </c>
      <c r="CK55" s="11" t="str">
        <f>IF('P37'!$G51&lt;&gt;"", 'P37'!$G51, "non")</f>
        <v>non</v>
      </c>
      <c r="CL55" s="10" t="str">
        <f>IF('P38'!$G51&lt;&gt;"", 'P38'!$G51, "non")</f>
        <v>non</v>
      </c>
      <c r="CM55" s="11" t="str">
        <f>IF('P39'!$G51&lt;&gt;"", 'P39'!$G51, "non")</f>
        <v>non</v>
      </c>
      <c r="CN55" s="10" t="str">
        <f>IF('P40'!$G51&lt;&gt;"", 'P40'!$G51, "non")</f>
        <v>non</v>
      </c>
    </row>
    <row r="56" spans="1:92" ht="39.75" customHeight="1">
      <c r="A56" s="122" t="str">
        <f>'Critères et tests'!B51</f>
        <v>ÉLÉMENTS OBLIGATOIRES</v>
      </c>
      <c r="B56" s="124" t="str">
        <f>'Critères et tests'!$A51</f>
        <v>8.7</v>
      </c>
      <c r="C56" s="192" t="str">
        <f>VLOOKUP(B56,'Critères et tests'!$1:$1048576,5,FALSE)</f>
        <v>Dans chaque page web, chaque changement de langue est-il indiqué dans le code source (hors cas particuliers) ?</v>
      </c>
      <c r="D56" s="124" t="str">
        <f>'Critères et tests'!$C51</f>
        <v>AA</v>
      </c>
      <c r="E56" s="156" t="s">
        <v>460</v>
      </c>
      <c r="F56" s="88">
        <f>IF('P01'!$E52&gt;"",'P01'!$E52&amp;" "&amp;CHAR(10)&amp;'P01'!$F52,'P01'!$E52)</f>
        <v>0</v>
      </c>
      <c r="G56" s="89">
        <f>IF('P02'!$E52&gt;"",'P02'!$E52&amp;" "&amp;CHAR(10)&amp;'P02'!$F52,'P02'!$E52)</f>
        <v>0</v>
      </c>
      <c r="H56" s="89">
        <f>IF('P03'!$E52&gt;"",'P03'!$E52&amp;" "&amp;CHAR(10)&amp;'P03'!$F52,'P03'!$E52)</f>
        <v>0</v>
      </c>
      <c r="I56" s="89">
        <f>IF('P04'!$E52&gt;"",'P04'!$E52&amp;" "&amp;CHAR(10)&amp;'P04'!$F52,'P04'!$E52)</f>
        <v>0</v>
      </c>
      <c r="J56" s="89">
        <f>IF('P05'!$E52&gt;"",'P05'!$E52&amp;" "&amp;CHAR(10)&amp;'P05'!$F52,'P05'!$E52)</f>
        <v>0</v>
      </c>
      <c r="K56" s="89">
        <f>IF('P06'!$E52&gt;"",'P06'!$E52&amp;" "&amp;CHAR(10)&amp;'P06'!$F52,'P06'!$E52)</f>
        <v>0</v>
      </c>
      <c r="L56" s="89">
        <f>IF('P07'!$E52&gt;"",'P07'!$E52&amp;" "&amp;CHAR(10)&amp;'P07'!$F52,'P07'!$E52)</f>
        <v>0</v>
      </c>
      <c r="M56" s="89">
        <f>IF('P08'!$E52&gt;"",'P08'!$E52&amp;" "&amp;CHAR(10)&amp;'P08'!$F52,'P08'!$E52)</f>
        <v>0</v>
      </c>
      <c r="N56" s="89">
        <f>IF('P09'!$E52&gt;"",'P09'!$E52&amp;" "&amp;CHAR(10)&amp;'P09'!$F52,'P09'!$E52)</f>
        <v>0</v>
      </c>
      <c r="O56" s="89">
        <f>IF('P10'!$E52&gt;"",'P10'!$E52&amp;" "&amp;CHAR(10)&amp;'P10'!$F52,'P10'!$E52)</f>
        <v>0</v>
      </c>
      <c r="P56" s="89">
        <f>IF('P11'!$E52&gt;"",'P11'!$E52&amp;" "&amp;CHAR(10)&amp;'P11'!$F52,'P11'!$E52)</f>
        <v>0</v>
      </c>
      <c r="Q56" s="89">
        <f>IF('P12'!$E52&gt;"",'P12'!$E52&amp;" "&amp;CHAR(10)&amp;'P12'!$F52,'P12'!$E52)</f>
        <v>0</v>
      </c>
      <c r="R56" s="89">
        <f>IF('P13'!$E52&gt;"",'P13'!$E52&amp;" "&amp;CHAR(10)&amp;'P13'!$F52,'P13'!$E52)</f>
        <v>0</v>
      </c>
      <c r="S56" s="89">
        <f>IF('P14'!$E52&gt;"",'P14'!$E52&amp;" "&amp;CHAR(10)&amp;'P14'!$F52,'P14'!$E52)</f>
        <v>0</v>
      </c>
      <c r="T56" s="89">
        <f>IF('P15'!$E52&gt;"",'P15'!$E52&amp;" "&amp;CHAR(10)&amp;'P15'!$F52,'P15'!$E52)</f>
        <v>0</v>
      </c>
      <c r="U56" s="89">
        <f>IF('P16'!$E52&gt;"",'P16'!$E52&amp;" "&amp;CHAR(10)&amp;'P16'!$F52,'P16'!$E52)</f>
        <v>0</v>
      </c>
      <c r="V56" s="89">
        <f>IF('P17'!$E52&gt;"",'P17'!$E52&amp;" "&amp;CHAR(10)&amp;'P17'!$F52,'P17'!$E52)</f>
        <v>0</v>
      </c>
      <c r="W56" s="89">
        <f>IF('P18'!$E52&gt;"",'P18'!$E52&amp;" "&amp;CHAR(10)&amp;'P18'!$F52,'P18'!$E52)</f>
        <v>0</v>
      </c>
      <c r="X56" s="89">
        <f>IF('P19'!$E52&gt;"",'P19'!$E52&amp;" "&amp;CHAR(10)&amp;'P19'!$F52,'P19'!$E52)</f>
        <v>0</v>
      </c>
      <c r="Y56" s="89">
        <f>IF('P20'!$E52&gt;"",'P20'!$E52&amp;" "&amp;CHAR(10)&amp;'P20'!$F52,'P20'!$E52)</f>
        <v>0</v>
      </c>
      <c r="Z56" s="89">
        <f>IF('P21'!$E52&gt;"",'P21'!$E52&amp;" "&amp;CHAR(10)&amp;'P21'!$F52,'P21'!$E52)</f>
        <v>0</v>
      </c>
      <c r="AA56" s="89">
        <f>IF('P22'!$E52&gt;"",'P22'!$E52&amp;" "&amp;CHAR(10)&amp;'P22'!$F52,'P22'!$E52)</f>
        <v>0</v>
      </c>
      <c r="AB56" s="89">
        <f>IF('P23'!$E52&gt;"",'P23'!$E52&amp;" "&amp;CHAR(10)&amp;'P23'!$F52,'P23'!$E52)</f>
        <v>0</v>
      </c>
      <c r="AC56" s="89">
        <f>IF('P24'!$E52&gt;"",'P24'!$E52&amp;" "&amp;CHAR(10)&amp;'P24'!$F52,'P24'!$E52)</f>
        <v>0</v>
      </c>
      <c r="AD56" s="89">
        <f>IF('P25'!$E52&gt;"",'P25'!$E52&amp;" "&amp;CHAR(10)&amp;'P25'!$F52,'P25'!$E52)</f>
        <v>0</v>
      </c>
      <c r="AE56" s="89">
        <f>IF('P26'!$E52&gt;"",'P26'!$E52&amp;" "&amp;CHAR(10)&amp;'P26'!$F52,'P26'!$E52)</f>
        <v>0</v>
      </c>
      <c r="AF56" s="89">
        <f>IF('P27'!$E52&gt;"",'P27'!$E52&amp;" "&amp;CHAR(10)&amp;'P27'!$F52,'P27'!$E52)</f>
        <v>0</v>
      </c>
      <c r="AG56" s="89">
        <f>IF('P28'!$E52&gt;"",'P28'!$E52&amp;" "&amp;CHAR(10)&amp;'P28'!$F52,'P28'!$E52)</f>
        <v>0</v>
      </c>
      <c r="AH56" s="89">
        <f>IF('P29'!$E52&gt;"",'P29'!$E52&amp;" "&amp;CHAR(10)&amp;'P29'!$F52,'P29'!$E52)</f>
        <v>0</v>
      </c>
      <c r="AI56" s="89">
        <f>IF('P30'!$E52&gt;"",'P30'!$E52&amp;" "&amp;CHAR(10)&amp;'P30'!$F52,'P30'!$E52)</f>
        <v>0</v>
      </c>
      <c r="AJ56" s="89">
        <f>IF('P31'!$E52&gt;"",'P31'!$E52&amp;" "&amp;CHAR(10)&amp;'P31'!$F52,'P31'!$E52)</f>
        <v>0</v>
      </c>
      <c r="AK56" s="89">
        <f>IF('P32'!$E52&gt;"",'P32'!$E52&amp;" "&amp;CHAR(10)&amp;'P32'!$F52,'P32'!$E52)</f>
        <v>0</v>
      </c>
      <c r="AL56" s="89">
        <f>IF('P33'!$E52&gt;"",'P33'!$E52&amp;" "&amp;CHAR(10)&amp;'P33'!$F52,'P33'!$E52)</f>
        <v>0</v>
      </c>
      <c r="AM56" s="89">
        <f>IF('P34'!$E52&gt;"",'P34'!$E52&amp;" "&amp;CHAR(10)&amp;'P34'!$F52,'P34'!$E52)</f>
        <v>0</v>
      </c>
      <c r="AN56" s="89">
        <f>IF('P35'!$E52&gt;"",'P35'!$E52&amp;" "&amp;CHAR(10)&amp;'P35'!$F52,'P35'!$E52)</f>
        <v>0</v>
      </c>
      <c r="AO56" s="89">
        <f>IF('P36'!$E52&gt;"",'P36'!$E52&amp;" "&amp;CHAR(10)&amp;'P36'!$F52,'P36'!$E52)</f>
        <v>0</v>
      </c>
      <c r="AP56" s="89">
        <f>IF('P37'!$E52&gt;"",'P37'!$E52&amp;" "&amp;CHAR(10)&amp;'P37'!$F52,'P37'!$E52)</f>
        <v>0</v>
      </c>
      <c r="AQ56" s="89">
        <f>IF('P38'!$E52&gt;"",'P38'!$E52&amp;" "&amp;CHAR(10)&amp;'P38'!$F52,'P38'!$E52)</f>
        <v>0</v>
      </c>
      <c r="AR56" s="89">
        <f>IF('P39'!$E52&gt;"",'P39'!$E52&amp;" "&amp;CHAR(10)&amp;'P39'!$F52,'P39'!$E52)</f>
        <v>0</v>
      </c>
      <c r="AS56" s="89">
        <f>IF('P40'!$E52&gt;"",'P40'!$E52&amp;" "&amp;CHAR(10)&amp;'P40'!$F52,'P40'!$E52)</f>
        <v>0</v>
      </c>
      <c r="AT56" s="55">
        <f t="shared" si="5"/>
        <v>0</v>
      </c>
      <c r="AU56" s="9">
        <f t="shared" si="6"/>
        <v>0</v>
      </c>
      <c r="AV56" s="55">
        <f t="shared" si="7"/>
        <v>0</v>
      </c>
      <c r="AW56" s="38" t="str">
        <f t="shared" si="8"/>
        <v>NT</v>
      </c>
      <c r="AX56" s="12"/>
      <c r="AY56" s="10"/>
      <c r="AZ56" s="10"/>
      <c r="BA56" s="10" t="str">
        <f>IF('P01'!$G52&lt;&gt;"", 'P01'!$G52, "non")</f>
        <v>non</v>
      </c>
      <c r="BB56" s="10" t="str">
        <f>IF('P02'!$G52&lt;&gt;"", 'P02'!$G52, "non")</f>
        <v>non</v>
      </c>
      <c r="BC56" s="10" t="str">
        <f>IF('P03'!$G52&lt;&gt;"", 'P03'!$G52, "non")</f>
        <v>non</v>
      </c>
      <c r="BD56" s="10" t="str">
        <f>IF('P04'!$G52&lt;&gt;"", 'P04'!$G52, "non")</f>
        <v>non</v>
      </c>
      <c r="BE56" s="10" t="str">
        <f>IF('P05'!$G52&lt;&gt;"", 'P05'!$G52, "non")</f>
        <v>non</v>
      </c>
      <c r="BF56" s="10" t="str">
        <f>IF('P06'!$G52&lt;&gt;"", 'P06'!$G52, "non")</f>
        <v>non</v>
      </c>
      <c r="BG56" s="10" t="str">
        <f>IF('P07'!$G52&lt;&gt;"", 'P07'!$G52, "non")</f>
        <v>non</v>
      </c>
      <c r="BH56" s="10" t="str">
        <f>IF('P08'!$G52&lt;&gt;"", 'P08'!$G52, "non")</f>
        <v>non</v>
      </c>
      <c r="BI56" s="10" t="str">
        <f>IF('P09'!$G52&lt;&gt;"", 'P09'!$G52, "non")</f>
        <v>non</v>
      </c>
      <c r="BJ56" s="10" t="str">
        <f>IF('P10'!$G52&lt;&gt;"", 'P10'!$G52, "non")</f>
        <v>non</v>
      </c>
      <c r="BK56" s="10" t="str">
        <f>IF('P11'!$G52&lt;&gt;"", 'P11'!$G52, "non")</f>
        <v>non</v>
      </c>
      <c r="BL56" s="10" t="str">
        <f>IF('P12'!$G52&lt;&gt;"", 'P12'!$G52, "non")</f>
        <v>non</v>
      </c>
      <c r="BM56" s="10" t="str">
        <f>IF('P13'!$G52&lt;&gt;"", 'P13'!$G52, "non")</f>
        <v>non</v>
      </c>
      <c r="BN56" s="10" t="str">
        <f>IF('P14'!$G52&lt;&gt;"", 'P14'!$G52, "non")</f>
        <v>non</v>
      </c>
      <c r="BO56" s="10" t="str">
        <f>IF('P15'!$G52&lt;&gt;"", 'P15'!$G52, "non")</f>
        <v>non</v>
      </c>
      <c r="BP56" s="10" t="str">
        <f>IF('P16'!$G52&lt;&gt;"", 'P16'!$G52, "non")</f>
        <v>non</v>
      </c>
      <c r="BQ56" s="10" t="str">
        <f>IF('P17'!$G52&lt;&gt;"", 'P17'!$G52, "non")</f>
        <v>non</v>
      </c>
      <c r="BR56" s="10" t="str">
        <f>IF('P18'!$G52&lt;&gt;"", 'P18'!$G52, "non")</f>
        <v>non</v>
      </c>
      <c r="BS56" s="10" t="str">
        <f>IF('P19'!$G52&lt;&gt;"", 'P19'!$G52, "non")</f>
        <v>non</v>
      </c>
      <c r="BT56" s="11" t="str">
        <f>IF('P20'!$G52&lt;&gt;"", 'P20'!$G52, "non")</f>
        <v>non</v>
      </c>
      <c r="BU56" s="10" t="str">
        <f>IF('P21'!$G52&lt;&gt;"", 'P21'!$G52, "non")</f>
        <v>non</v>
      </c>
      <c r="BV56" s="11" t="str">
        <f>IF('P22'!$G52&lt;&gt;"", 'P22'!$G52, "non")</f>
        <v>non</v>
      </c>
      <c r="BW56" s="10" t="str">
        <f>IF('P23'!$G52&lt;&gt;"", 'P23'!$G52, "non")</f>
        <v>non</v>
      </c>
      <c r="BX56" s="11" t="str">
        <f>IF('P24'!$G52&lt;&gt;"", 'P24'!$G52, "non")</f>
        <v>non</v>
      </c>
      <c r="BY56" s="10" t="str">
        <f>IF('P25'!$G52&lt;&gt;"", 'P25'!$G52, "non")</f>
        <v>non</v>
      </c>
      <c r="BZ56" s="11" t="str">
        <f>IF('P26'!$G52&lt;&gt;"", 'P26'!$G52, "non")</f>
        <v>non</v>
      </c>
      <c r="CA56" s="10" t="str">
        <f>IF('P27'!$G52&lt;&gt;"", 'P27'!$G52, "non")</f>
        <v>non</v>
      </c>
      <c r="CB56" s="11" t="str">
        <f>IF('P28'!$G52&lt;&gt;"", 'P28'!$G52, "non")</f>
        <v>non</v>
      </c>
      <c r="CC56" s="10" t="str">
        <f>IF('P29'!$G52&lt;&gt;"", 'P29'!$G52, "non")</f>
        <v>non</v>
      </c>
      <c r="CD56" s="11" t="str">
        <f>IF('P30'!$G52&lt;&gt;"", 'P30'!$G52, "non")</f>
        <v>non</v>
      </c>
      <c r="CE56" s="10" t="str">
        <f>IF('P31'!$G52&lt;&gt;"", 'P31'!$G52, "non")</f>
        <v>non</v>
      </c>
      <c r="CF56" s="11" t="str">
        <f>IF('P32'!$G52&lt;&gt;"", 'P32'!$G52, "non")</f>
        <v>non</v>
      </c>
      <c r="CG56" s="10" t="str">
        <f>IF('P33'!$G52&lt;&gt;"", 'P33'!$G52, "non")</f>
        <v>non</v>
      </c>
      <c r="CH56" s="10" t="str">
        <f>IF('P34'!$G52&lt;&gt;"", 'P34'!$G52, "non")</f>
        <v>non</v>
      </c>
      <c r="CI56" s="11" t="str">
        <f>IF('P35'!$G52&lt;&gt;"", 'P35'!$G52, "non")</f>
        <v>non</v>
      </c>
      <c r="CJ56" s="10" t="str">
        <f>IF('P36'!$G52&lt;&gt;"", 'P36'!$G52, "non")</f>
        <v>non</v>
      </c>
      <c r="CK56" s="11" t="str">
        <f>IF('P37'!$G52&lt;&gt;"", 'P37'!$G52, "non")</f>
        <v>non</v>
      </c>
      <c r="CL56" s="10" t="str">
        <f>IF('P38'!$G52&lt;&gt;"", 'P38'!$G52, "non")</f>
        <v>non</v>
      </c>
      <c r="CM56" s="11" t="str">
        <f>IF('P39'!$G52&lt;&gt;"", 'P39'!$G52, "non")</f>
        <v>non</v>
      </c>
      <c r="CN56" s="10" t="str">
        <f>IF('P40'!$G52&lt;&gt;"", 'P40'!$G52, "non")</f>
        <v>non</v>
      </c>
    </row>
    <row r="57" spans="1:92" ht="39.75" customHeight="1">
      <c r="A57" s="122" t="str">
        <f>'Critères et tests'!B52</f>
        <v>ÉLÉMENTS OBLIGATOIRES</v>
      </c>
      <c r="B57" s="124" t="str">
        <f>'Critères et tests'!$A52</f>
        <v>8.8</v>
      </c>
      <c r="C57" s="192" t="str">
        <f>VLOOKUP(B57,'Critères et tests'!$1:$1048576,5,FALSE)</f>
        <v>Dans chaque page web, le code de langue de chaque changement de langue est-il valide et pertinent ?</v>
      </c>
      <c r="D57" s="124" t="str">
        <f>'Critères et tests'!$C52</f>
        <v>AA</v>
      </c>
      <c r="E57" s="156" t="s">
        <v>460</v>
      </c>
      <c r="F57" s="88">
        <f>IF('P01'!$E53&gt;"",'P01'!$E53&amp;" "&amp;CHAR(10)&amp;'P01'!$F53,'P01'!$E53)</f>
        <v>0</v>
      </c>
      <c r="G57" s="89">
        <f>IF('P02'!$E53&gt;"",'P02'!$E53&amp;" "&amp;CHAR(10)&amp;'P02'!$F53,'P02'!$E53)</f>
        <v>0</v>
      </c>
      <c r="H57" s="89">
        <f>IF('P03'!$E53&gt;"",'P03'!$E53&amp;" "&amp;CHAR(10)&amp;'P03'!$F53,'P03'!$E53)</f>
        <v>0</v>
      </c>
      <c r="I57" s="89">
        <f>IF('P04'!$E53&gt;"",'P04'!$E53&amp;" "&amp;CHAR(10)&amp;'P04'!$F53,'P04'!$E53)</f>
        <v>0</v>
      </c>
      <c r="J57" s="89">
        <f>IF('P05'!$E53&gt;"",'P05'!$E53&amp;" "&amp;CHAR(10)&amp;'P05'!$F53,'P05'!$E53)</f>
        <v>0</v>
      </c>
      <c r="K57" s="89">
        <f>IF('P06'!$E53&gt;"",'P06'!$E53&amp;" "&amp;CHAR(10)&amp;'P06'!$F53,'P06'!$E53)</f>
        <v>0</v>
      </c>
      <c r="L57" s="89">
        <f>IF('P07'!$E53&gt;"",'P07'!$E53&amp;" "&amp;CHAR(10)&amp;'P07'!$F53,'P07'!$E53)</f>
        <v>0</v>
      </c>
      <c r="M57" s="89">
        <f>IF('P08'!$E53&gt;"",'P08'!$E53&amp;" "&amp;CHAR(10)&amp;'P08'!$F53,'P08'!$E53)</f>
        <v>0</v>
      </c>
      <c r="N57" s="89">
        <f>IF('P09'!$E53&gt;"",'P09'!$E53&amp;" "&amp;CHAR(10)&amp;'P09'!$F53,'P09'!$E53)</f>
        <v>0</v>
      </c>
      <c r="O57" s="89">
        <f>IF('P10'!$E53&gt;"",'P10'!$E53&amp;" "&amp;CHAR(10)&amp;'P10'!$F53,'P10'!$E53)</f>
        <v>0</v>
      </c>
      <c r="P57" s="89">
        <f>IF('P11'!$E53&gt;"",'P11'!$E53&amp;" "&amp;CHAR(10)&amp;'P11'!$F53,'P11'!$E53)</f>
        <v>0</v>
      </c>
      <c r="Q57" s="89">
        <f>IF('P12'!$E53&gt;"",'P12'!$E53&amp;" "&amp;CHAR(10)&amp;'P12'!$F53,'P12'!$E53)</f>
        <v>0</v>
      </c>
      <c r="R57" s="89">
        <f>IF('P13'!$E53&gt;"",'P13'!$E53&amp;" "&amp;CHAR(10)&amp;'P13'!$F53,'P13'!$E53)</f>
        <v>0</v>
      </c>
      <c r="S57" s="89">
        <f>IF('P14'!$E53&gt;"",'P14'!$E53&amp;" "&amp;CHAR(10)&amp;'P14'!$F53,'P14'!$E53)</f>
        <v>0</v>
      </c>
      <c r="T57" s="89">
        <f>IF('P15'!$E53&gt;"",'P15'!$E53&amp;" "&amp;CHAR(10)&amp;'P15'!$F53,'P15'!$E53)</f>
        <v>0</v>
      </c>
      <c r="U57" s="89">
        <f>IF('P16'!$E53&gt;"",'P16'!$E53&amp;" "&amp;CHAR(10)&amp;'P16'!$F53,'P16'!$E53)</f>
        <v>0</v>
      </c>
      <c r="V57" s="89">
        <f>IF('P17'!$E53&gt;"",'P17'!$E53&amp;" "&amp;CHAR(10)&amp;'P17'!$F53,'P17'!$E53)</f>
        <v>0</v>
      </c>
      <c r="W57" s="89">
        <f>IF('P18'!$E53&gt;"",'P18'!$E53&amp;" "&amp;CHAR(10)&amp;'P18'!$F53,'P18'!$E53)</f>
        <v>0</v>
      </c>
      <c r="X57" s="89">
        <f>IF('P19'!$E53&gt;"",'P19'!$E53&amp;" "&amp;CHAR(10)&amp;'P19'!$F53,'P19'!$E53)</f>
        <v>0</v>
      </c>
      <c r="Y57" s="89">
        <f>IF('P20'!$E53&gt;"",'P20'!$E53&amp;" "&amp;CHAR(10)&amp;'P20'!$F53,'P20'!$E53)</f>
        <v>0</v>
      </c>
      <c r="Z57" s="89">
        <f>IF('P21'!$E53&gt;"",'P21'!$E53&amp;" "&amp;CHAR(10)&amp;'P21'!$F53,'P21'!$E53)</f>
        <v>0</v>
      </c>
      <c r="AA57" s="89">
        <f>IF('P22'!$E53&gt;"",'P22'!$E53&amp;" "&amp;CHAR(10)&amp;'P22'!$F53,'P22'!$E53)</f>
        <v>0</v>
      </c>
      <c r="AB57" s="89">
        <f>IF('P23'!$E53&gt;"",'P23'!$E53&amp;" "&amp;CHAR(10)&amp;'P23'!$F53,'P23'!$E53)</f>
        <v>0</v>
      </c>
      <c r="AC57" s="89">
        <f>IF('P24'!$E53&gt;"",'P24'!$E53&amp;" "&amp;CHAR(10)&amp;'P24'!$F53,'P24'!$E53)</f>
        <v>0</v>
      </c>
      <c r="AD57" s="89">
        <f>IF('P25'!$E53&gt;"",'P25'!$E53&amp;" "&amp;CHAR(10)&amp;'P25'!$F53,'P25'!$E53)</f>
        <v>0</v>
      </c>
      <c r="AE57" s="89">
        <f>IF('P26'!$E53&gt;"",'P26'!$E53&amp;" "&amp;CHAR(10)&amp;'P26'!$F53,'P26'!$E53)</f>
        <v>0</v>
      </c>
      <c r="AF57" s="89">
        <f>IF('P27'!$E53&gt;"",'P27'!$E53&amp;" "&amp;CHAR(10)&amp;'P27'!$F53,'P27'!$E53)</f>
        <v>0</v>
      </c>
      <c r="AG57" s="89">
        <f>IF('P28'!$E53&gt;"",'P28'!$E53&amp;" "&amp;CHAR(10)&amp;'P28'!$F53,'P28'!$E53)</f>
        <v>0</v>
      </c>
      <c r="AH57" s="89">
        <f>IF('P29'!$E53&gt;"",'P29'!$E53&amp;" "&amp;CHAR(10)&amp;'P29'!$F53,'P29'!$E53)</f>
        <v>0</v>
      </c>
      <c r="AI57" s="89">
        <f>IF('P30'!$E53&gt;"",'P30'!$E53&amp;" "&amp;CHAR(10)&amp;'P30'!$F53,'P30'!$E53)</f>
        <v>0</v>
      </c>
      <c r="AJ57" s="89">
        <f>IF('P31'!$E53&gt;"",'P31'!$E53&amp;" "&amp;CHAR(10)&amp;'P31'!$F53,'P31'!$E53)</f>
        <v>0</v>
      </c>
      <c r="AK57" s="89">
        <f>IF('P32'!$E53&gt;"",'P32'!$E53&amp;" "&amp;CHAR(10)&amp;'P32'!$F53,'P32'!$E53)</f>
        <v>0</v>
      </c>
      <c r="AL57" s="89">
        <f>IF('P33'!$E53&gt;"",'P33'!$E53&amp;" "&amp;CHAR(10)&amp;'P33'!$F53,'P33'!$E53)</f>
        <v>0</v>
      </c>
      <c r="AM57" s="89">
        <f>IF('P34'!$E53&gt;"",'P34'!$E53&amp;" "&amp;CHAR(10)&amp;'P34'!$F53,'P34'!$E53)</f>
        <v>0</v>
      </c>
      <c r="AN57" s="89">
        <f>IF('P35'!$E53&gt;"",'P35'!$E53&amp;" "&amp;CHAR(10)&amp;'P35'!$F53,'P35'!$E53)</f>
        <v>0</v>
      </c>
      <c r="AO57" s="89">
        <f>IF('P36'!$E53&gt;"",'P36'!$E53&amp;" "&amp;CHAR(10)&amp;'P36'!$F53,'P36'!$E53)</f>
        <v>0</v>
      </c>
      <c r="AP57" s="89">
        <f>IF('P37'!$E53&gt;"",'P37'!$E53&amp;" "&amp;CHAR(10)&amp;'P37'!$F53,'P37'!$E53)</f>
        <v>0</v>
      </c>
      <c r="AQ57" s="89">
        <f>IF('P38'!$E53&gt;"",'P38'!$E53&amp;" "&amp;CHAR(10)&amp;'P38'!$F53,'P38'!$E53)</f>
        <v>0</v>
      </c>
      <c r="AR57" s="89">
        <f>IF('P39'!$E53&gt;"",'P39'!$E53&amp;" "&amp;CHAR(10)&amp;'P39'!$F53,'P39'!$E53)</f>
        <v>0</v>
      </c>
      <c r="AS57" s="89">
        <f>IF('P40'!$E53&gt;"",'P40'!$E53&amp;" "&amp;CHAR(10)&amp;'P40'!$F53,'P40'!$E53)</f>
        <v>0</v>
      </c>
      <c r="AT57" s="55">
        <f t="shared" si="5"/>
        <v>0</v>
      </c>
      <c r="AU57" s="9">
        <f t="shared" si="6"/>
        <v>0</v>
      </c>
      <c r="AV57" s="55">
        <f t="shared" si="7"/>
        <v>0</v>
      </c>
      <c r="AW57" s="38" t="str">
        <f t="shared" si="8"/>
        <v>NT</v>
      </c>
      <c r="AX57" s="12"/>
      <c r="AY57" s="10"/>
      <c r="AZ57" s="10"/>
      <c r="BA57" s="10" t="str">
        <f>IF('P01'!$G53&lt;&gt;"", 'P01'!$G53, "non")</f>
        <v>non</v>
      </c>
      <c r="BB57" s="10" t="str">
        <f>IF('P02'!$G53&lt;&gt;"", 'P02'!$G53, "non")</f>
        <v>non</v>
      </c>
      <c r="BC57" s="10" t="str">
        <f>IF('P03'!$G53&lt;&gt;"", 'P03'!$G53, "non")</f>
        <v>non</v>
      </c>
      <c r="BD57" s="10" t="str">
        <f>IF('P04'!$G53&lt;&gt;"", 'P04'!$G53, "non")</f>
        <v>non</v>
      </c>
      <c r="BE57" s="10" t="str">
        <f>IF('P05'!$G53&lt;&gt;"", 'P05'!$G53, "non")</f>
        <v>non</v>
      </c>
      <c r="BF57" s="10" t="str">
        <f>IF('P06'!$G53&lt;&gt;"", 'P06'!$G53, "non")</f>
        <v>non</v>
      </c>
      <c r="BG57" s="10" t="str">
        <f>IF('P07'!$G53&lt;&gt;"", 'P07'!$G53, "non")</f>
        <v>non</v>
      </c>
      <c r="BH57" s="10" t="str">
        <f>IF('P08'!$G53&lt;&gt;"", 'P08'!$G53, "non")</f>
        <v>non</v>
      </c>
      <c r="BI57" s="10" t="str">
        <f>IF('P09'!$G53&lt;&gt;"", 'P09'!$G53, "non")</f>
        <v>non</v>
      </c>
      <c r="BJ57" s="10" t="str">
        <f>IF('P10'!$G53&lt;&gt;"", 'P10'!$G53, "non")</f>
        <v>non</v>
      </c>
      <c r="BK57" s="10" t="str">
        <f>IF('P11'!$G53&lt;&gt;"", 'P11'!$G53, "non")</f>
        <v>non</v>
      </c>
      <c r="BL57" s="10" t="str">
        <f>IF('P12'!$G53&lt;&gt;"", 'P12'!$G53, "non")</f>
        <v>non</v>
      </c>
      <c r="BM57" s="10" t="str">
        <f>IF('P13'!$G53&lt;&gt;"", 'P13'!$G53, "non")</f>
        <v>non</v>
      </c>
      <c r="BN57" s="10" t="str">
        <f>IF('P14'!$G53&lt;&gt;"", 'P14'!$G53, "non")</f>
        <v>non</v>
      </c>
      <c r="BO57" s="10" t="str">
        <f>IF('P15'!$G53&lt;&gt;"", 'P15'!$G53, "non")</f>
        <v>non</v>
      </c>
      <c r="BP57" s="10" t="str">
        <f>IF('P16'!$G53&lt;&gt;"", 'P16'!$G53, "non")</f>
        <v>non</v>
      </c>
      <c r="BQ57" s="10" t="str">
        <f>IF('P17'!$G53&lt;&gt;"", 'P17'!$G53, "non")</f>
        <v>non</v>
      </c>
      <c r="BR57" s="10" t="str">
        <f>IF('P18'!$G53&lt;&gt;"", 'P18'!$G53, "non")</f>
        <v>non</v>
      </c>
      <c r="BS57" s="10" t="str">
        <f>IF('P19'!$G53&lt;&gt;"", 'P19'!$G53, "non")</f>
        <v>non</v>
      </c>
      <c r="BT57" s="11" t="str">
        <f>IF('P20'!$G53&lt;&gt;"", 'P20'!$G53, "non")</f>
        <v>non</v>
      </c>
      <c r="BU57" s="10" t="str">
        <f>IF('P21'!$G53&lt;&gt;"", 'P21'!$G53, "non")</f>
        <v>non</v>
      </c>
      <c r="BV57" s="11" t="str">
        <f>IF('P22'!$G53&lt;&gt;"", 'P22'!$G53, "non")</f>
        <v>non</v>
      </c>
      <c r="BW57" s="10" t="str">
        <f>IF('P23'!$G53&lt;&gt;"", 'P23'!$G53, "non")</f>
        <v>non</v>
      </c>
      <c r="BX57" s="11" t="str">
        <f>IF('P24'!$G53&lt;&gt;"", 'P24'!$G53, "non")</f>
        <v>non</v>
      </c>
      <c r="BY57" s="10" t="str">
        <f>IF('P25'!$G53&lt;&gt;"", 'P25'!$G53, "non")</f>
        <v>non</v>
      </c>
      <c r="BZ57" s="11" t="str">
        <f>IF('P26'!$G53&lt;&gt;"", 'P26'!$G53, "non")</f>
        <v>non</v>
      </c>
      <c r="CA57" s="10" t="str">
        <f>IF('P27'!$G53&lt;&gt;"", 'P27'!$G53, "non")</f>
        <v>non</v>
      </c>
      <c r="CB57" s="11" t="str">
        <f>IF('P28'!$G53&lt;&gt;"", 'P28'!$G53, "non")</f>
        <v>non</v>
      </c>
      <c r="CC57" s="10" t="str">
        <f>IF('P29'!$G53&lt;&gt;"", 'P29'!$G53, "non")</f>
        <v>non</v>
      </c>
      <c r="CD57" s="11" t="str">
        <f>IF('P30'!$G53&lt;&gt;"", 'P30'!$G53, "non")</f>
        <v>non</v>
      </c>
      <c r="CE57" s="10" t="str">
        <f>IF('P31'!$G53&lt;&gt;"", 'P31'!$G53, "non")</f>
        <v>non</v>
      </c>
      <c r="CF57" s="11" t="str">
        <f>IF('P32'!$G53&lt;&gt;"", 'P32'!$G53, "non")</f>
        <v>non</v>
      </c>
      <c r="CG57" s="10" t="str">
        <f>IF('P33'!$G53&lt;&gt;"", 'P33'!$G53, "non")</f>
        <v>non</v>
      </c>
      <c r="CH57" s="10" t="str">
        <f>IF('P34'!$G53&lt;&gt;"", 'P34'!$G53, "non")</f>
        <v>non</v>
      </c>
      <c r="CI57" s="11" t="str">
        <f>IF('P35'!$G53&lt;&gt;"", 'P35'!$G53, "non")</f>
        <v>non</v>
      </c>
      <c r="CJ57" s="10" t="str">
        <f>IF('P36'!$G53&lt;&gt;"", 'P36'!$G53, "non")</f>
        <v>non</v>
      </c>
      <c r="CK57" s="11" t="str">
        <f>IF('P37'!$G53&lt;&gt;"", 'P37'!$G53, "non")</f>
        <v>non</v>
      </c>
      <c r="CL57" s="10" t="str">
        <f>IF('P38'!$G53&lt;&gt;"", 'P38'!$G53, "non")</f>
        <v>non</v>
      </c>
      <c r="CM57" s="11" t="str">
        <f>IF('P39'!$G53&lt;&gt;"", 'P39'!$G53, "non")</f>
        <v>non</v>
      </c>
      <c r="CN57" s="10" t="str">
        <f>IF('P40'!$G53&lt;&gt;"", 'P40'!$G53, "non")</f>
        <v>non</v>
      </c>
    </row>
    <row r="58" spans="1:92" ht="39.75" customHeight="1">
      <c r="A58" s="122" t="str">
        <f>'Critères et tests'!B53</f>
        <v>ÉLÉMENTS OBLIGATOIRES</v>
      </c>
      <c r="B58" s="124" t="str">
        <f>'Critères et tests'!$A53</f>
        <v>8.9</v>
      </c>
      <c r="C58" s="192" t="str">
        <f>VLOOKUP(B58,'Critères et tests'!$1:$1048576,5,FALSE)</f>
        <v>Dans chaque page web, les balises ne doivent pas être utilisées uniquement à des fins de présentation. Cette règle est-elle respectée ?</v>
      </c>
      <c r="D58" s="124" t="str">
        <f>'Critères et tests'!$C53</f>
        <v>A</v>
      </c>
      <c r="E58" s="156" t="s">
        <v>460</v>
      </c>
      <c r="F58" s="88">
        <f>IF('P01'!$E54&gt;"",'P01'!$E54&amp;" "&amp;CHAR(10)&amp;'P01'!$F54,'P01'!$E54)</f>
        <v>0</v>
      </c>
      <c r="G58" s="89">
        <f>IF('P02'!$E54&gt;"",'P02'!$E54&amp;" "&amp;CHAR(10)&amp;'P02'!$F54,'P02'!$E54)</f>
        <v>0</v>
      </c>
      <c r="H58" s="89">
        <f>IF('P03'!$E54&gt;"",'P03'!$E54&amp;" "&amp;CHAR(10)&amp;'P03'!$F54,'P03'!$E54)</f>
        <v>0</v>
      </c>
      <c r="I58" s="89">
        <f>IF('P04'!$E54&gt;"",'P04'!$E54&amp;" "&amp;CHAR(10)&amp;'P04'!$F54,'P04'!$E54)</f>
        <v>0</v>
      </c>
      <c r="J58" s="89">
        <f>IF('P05'!$E54&gt;"",'P05'!$E54&amp;" "&amp;CHAR(10)&amp;'P05'!$F54,'P05'!$E54)</f>
        <v>0</v>
      </c>
      <c r="K58" s="89">
        <f>IF('P06'!$E54&gt;"",'P06'!$E54&amp;" "&amp;CHAR(10)&amp;'P06'!$F54,'P06'!$E54)</f>
        <v>0</v>
      </c>
      <c r="L58" s="89">
        <f>IF('P07'!$E54&gt;"",'P07'!$E54&amp;" "&amp;CHAR(10)&amp;'P07'!$F54,'P07'!$E54)</f>
        <v>0</v>
      </c>
      <c r="M58" s="89">
        <f>IF('P08'!$E54&gt;"",'P08'!$E54&amp;" "&amp;CHAR(10)&amp;'P08'!$F54,'P08'!$E54)</f>
        <v>0</v>
      </c>
      <c r="N58" s="89">
        <f>IF('P09'!$E54&gt;"",'P09'!$E54&amp;" "&amp;CHAR(10)&amp;'P09'!$F54,'P09'!$E54)</f>
        <v>0</v>
      </c>
      <c r="O58" s="89">
        <f>IF('P10'!$E54&gt;"",'P10'!$E54&amp;" "&amp;CHAR(10)&amp;'P10'!$F54,'P10'!$E54)</f>
        <v>0</v>
      </c>
      <c r="P58" s="89">
        <f>IF('P11'!$E54&gt;"",'P11'!$E54&amp;" "&amp;CHAR(10)&amp;'P11'!$F54,'P11'!$E54)</f>
        <v>0</v>
      </c>
      <c r="Q58" s="89">
        <f>IF('P12'!$E54&gt;"",'P12'!$E54&amp;" "&amp;CHAR(10)&amp;'P12'!$F54,'P12'!$E54)</f>
        <v>0</v>
      </c>
      <c r="R58" s="89">
        <f>IF('P13'!$E54&gt;"",'P13'!$E54&amp;" "&amp;CHAR(10)&amp;'P13'!$F54,'P13'!$E54)</f>
        <v>0</v>
      </c>
      <c r="S58" s="89">
        <f>IF('P14'!$E54&gt;"",'P14'!$E54&amp;" "&amp;CHAR(10)&amp;'P14'!$F54,'P14'!$E54)</f>
        <v>0</v>
      </c>
      <c r="T58" s="89">
        <f>IF('P15'!$E54&gt;"",'P15'!$E54&amp;" "&amp;CHAR(10)&amp;'P15'!$F54,'P15'!$E54)</f>
        <v>0</v>
      </c>
      <c r="U58" s="89">
        <f>IF('P16'!$E54&gt;"",'P16'!$E54&amp;" "&amp;CHAR(10)&amp;'P16'!$F54,'P16'!$E54)</f>
        <v>0</v>
      </c>
      <c r="V58" s="89">
        <f>IF('P17'!$E54&gt;"",'P17'!$E54&amp;" "&amp;CHAR(10)&amp;'P17'!$F54,'P17'!$E54)</f>
        <v>0</v>
      </c>
      <c r="W58" s="89">
        <f>IF('P18'!$E54&gt;"",'P18'!$E54&amp;" "&amp;CHAR(10)&amp;'P18'!$F54,'P18'!$E54)</f>
        <v>0</v>
      </c>
      <c r="X58" s="89">
        <f>IF('P19'!$E54&gt;"",'P19'!$E54&amp;" "&amp;CHAR(10)&amp;'P19'!$F54,'P19'!$E54)</f>
        <v>0</v>
      </c>
      <c r="Y58" s="89">
        <f>IF('P20'!$E54&gt;"",'P20'!$E54&amp;" "&amp;CHAR(10)&amp;'P20'!$F54,'P20'!$E54)</f>
        <v>0</v>
      </c>
      <c r="Z58" s="89">
        <f>IF('P21'!$E54&gt;"",'P21'!$E54&amp;" "&amp;CHAR(10)&amp;'P21'!$F54,'P21'!$E54)</f>
        <v>0</v>
      </c>
      <c r="AA58" s="89">
        <f>IF('P22'!$E54&gt;"",'P22'!$E54&amp;" "&amp;CHAR(10)&amp;'P22'!$F54,'P22'!$E54)</f>
        <v>0</v>
      </c>
      <c r="AB58" s="89">
        <f>IF('P23'!$E54&gt;"",'P23'!$E54&amp;" "&amp;CHAR(10)&amp;'P23'!$F54,'P23'!$E54)</f>
        <v>0</v>
      </c>
      <c r="AC58" s="89">
        <f>IF('P24'!$E54&gt;"",'P24'!$E54&amp;" "&amp;CHAR(10)&amp;'P24'!$F54,'P24'!$E54)</f>
        <v>0</v>
      </c>
      <c r="AD58" s="89">
        <f>IF('P25'!$E54&gt;"",'P25'!$E54&amp;" "&amp;CHAR(10)&amp;'P25'!$F54,'P25'!$E54)</f>
        <v>0</v>
      </c>
      <c r="AE58" s="89">
        <f>IF('P26'!$E54&gt;"",'P26'!$E54&amp;" "&amp;CHAR(10)&amp;'P26'!$F54,'P26'!$E54)</f>
        <v>0</v>
      </c>
      <c r="AF58" s="89">
        <f>IF('P27'!$E54&gt;"",'P27'!$E54&amp;" "&amp;CHAR(10)&amp;'P27'!$F54,'P27'!$E54)</f>
        <v>0</v>
      </c>
      <c r="AG58" s="89">
        <f>IF('P28'!$E54&gt;"",'P28'!$E54&amp;" "&amp;CHAR(10)&amp;'P28'!$F54,'P28'!$E54)</f>
        <v>0</v>
      </c>
      <c r="AH58" s="89">
        <f>IF('P29'!$E54&gt;"",'P29'!$E54&amp;" "&amp;CHAR(10)&amp;'P29'!$F54,'P29'!$E54)</f>
        <v>0</v>
      </c>
      <c r="AI58" s="89">
        <f>IF('P30'!$E54&gt;"",'P30'!$E54&amp;" "&amp;CHAR(10)&amp;'P30'!$F54,'P30'!$E54)</f>
        <v>0</v>
      </c>
      <c r="AJ58" s="89">
        <f>IF('P31'!$E54&gt;"",'P31'!$E54&amp;" "&amp;CHAR(10)&amp;'P31'!$F54,'P31'!$E54)</f>
        <v>0</v>
      </c>
      <c r="AK58" s="89">
        <f>IF('P32'!$E54&gt;"",'P32'!$E54&amp;" "&amp;CHAR(10)&amp;'P32'!$F54,'P32'!$E54)</f>
        <v>0</v>
      </c>
      <c r="AL58" s="89">
        <f>IF('P33'!$E54&gt;"",'P33'!$E54&amp;" "&amp;CHAR(10)&amp;'P33'!$F54,'P33'!$E54)</f>
        <v>0</v>
      </c>
      <c r="AM58" s="89">
        <f>IF('P34'!$E54&gt;"",'P34'!$E54&amp;" "&amp;CHAR(10)&amp;'P34'!$F54,'P34'!$E54)</f>
        <v>0</v>
      </c>
      <c r="AN58" s="89">
        <f>IF('P35'!$E54&gt;"",'P35'!$E54&amp;" "&amp;CHAR(10)&amp;'P35'!$F54,'P35'!$E54)</f>
        <v>0</v>
      </c>
      <c r="AO58" s="89">
        <f>IF('P36'!$E54&gt;"",'P36'!$E54&amp;" "&amp;CHAR(10)&amp;'P36'!$F54,'P36'!$E54)</f>
        <v>0</v>
      </c>
      <c r="AP58" s="89">
        <f>IF('P37'!$E54&gt;"",'P37'!$E54&amp;" "&amp;CHAR(10)&amp;'P37'!$F54,'P37'!$E54)</f>
        <v>0</v>
      </c>
      <c r="AQ58" s="89">
        <f>IF('P38'!$E54&gt;"",'P38'!$E54&amp;" "&amp;CHAR(10)&amp;'P38'!$F54,'P38'!$E54)</f>
        <v>0</v>
      </c>
      <c r="AR58" s="89">
        <f>IF('P39'!$E54&gt;"",'P39'!$E54&amp;" "&amp;CHAR(10)&amp;'P39'!$F54,'P39'!$E54)</f>
        <v>0</v>
      </c>
      <c r="AS58" s="89">
        <f>IF('P40'!$E54&gt;"",'P40'!$E54&amp;" "&amp;CHAR(10)&amp;'P40'!$F54,'P40'!$E54)</f>
        <v>0</v>
      </c>
      <c r="AT58" s="55">
        <f t="shared" si="5"/>
        <v>0</v>
      </c>
      <c r="AU58" s="9">
        <f t="shared" si="6"/>
        <v>0</v>
      </c>
      <c r="AV58" s="55">
        <f t="shared" si="7"/>
        <v>0</v>
      </c>
      <c r="AW58" s="38" t="str">
        <f t="shared" si="8"/>
        <v>NT</v>
      </c>
      <c r="AX58" s="12"/>
      <c r="AY58" s="10"/>
      <c r="AZ58" s="10"/>
      <c r="BA58" s="10" t="str">
        <f>IF('P01'!$G54&lt;&gt;"", 'P01'!$G54, "non")</f>
        <v>non</v>
      </c>
      <c r="BB58" s="10" t="str">
        <f>IF('P02'!$G54&lt;&gt;"", 'P02'!$G54, "non")</f>
        <v>non</v>
      </c>
      <c r="BC58" s="10" t="str">
        <f>IF('P03'!$G54&lt;&gt;"", 'P03'!$G54, "non")</f>
        <v>non</v>
      </c>
      <c r="BD58" s="10" t="str">
        <f>IF('P04'!$G54&lt;&gt;"", 'P04'!$G54, "non")</f>
        <v>non</v>
      </c>
      <c r="BE58" s="10" t="str">
        <f>IF('P05'!$G54&lt;&gt;"", 'P05'!$G54, "non")</f>
        <v>non</v>
      </c>
      <c r="BF58" s="10" t="str">
        <f>IF('P06'!$G54&lt;&gt;"", 'P06'!$G54, "non")</f>
        <v>non</v>
      </c>
      <c r="BG58" s="10" t="str">
        <f>IF('P07'!$G54&lt;&gt;"", 'P07'!$G54, "non")</f>
        <v>non</v>
      </c>
      <c r="BH58" s="10" t="str">
        <f>IF('P08'!$G54&lt;&gt;"", 'P08'!$G54, "non")</f>
        <v>non</v>
      </c>
      <c r="BI58" s="10" t="str">
        <f>IF('P09'!$G54&lt;&gt;"", 'P09'!$G54, "non")</f>
        <v>non</v>
      </c>
      <c r="BJ58" s="10" t="str">
        <f>IF('P10'!$G54&lt;&gt;"", 'P10'!$G54, "non")</f>
        <v>non</v>
      </c>
      <c r="BK58" s="10" t="str">
        <f>IF('P11'!$G54&lt;&gt;"", 'P11'!$G54, "non")</f>
        <v>non</v>
      </c>
      <c r="BL58" s="10" t="str">
        <f>IF('P12'!$G54&lt;&gt;"", 'P12'!$G54, "non")</f>
        <v>non</v>
      </c>
      <c r="BM58" s="10" t="str">
        <f>IF('P13'!$G54&lt;&gt;"", 'P13'!$G54, "non")</f>
        <v>non</v>
      </c>
      <c r="BN58" s="10" t="str">
        <f>IF('P14'!$G54&lt;&gt;"", 'P14'!$G54, "non")</f>
        <v>non</v>
      </c>
      <c r="BO58" s="10" t="str">
        <f>IF('P15'!$G54&lt;&gt;"", 'P15'!$G54, "non")</f>
        <v>non</v>
      </c>
      <c r="BP58" s="10" t="str">
        <f>IF('P16'!$G54&lt;&gt;"", 'P16'!$G54, "non")</f>
        <v>non</v>
      </c>
      <c r="BQ58" s="10" t="str">
        <f>IF('P17'!$G54&lt;&gt;"", 'P17'!$G54, "non")</f>
        <v>non</v>
      </c>
      <c r="BR58" s="10" t="str">
        <f>IF('P18'!$G54&lt;&gt;"", 'P18'!$G54, "non")</f>
        <v>non</v>
      </c>
      <c r="BS58" s="10" t="str">
        <f>IF('P19'!$G54&lt;&gt;"", 'P19'!$G54, "non")</f>
        <v>non</v>
      </c>
      <c r="BT58" s="11" t="str">
        <f>IF('P20'!$G54&lt;&gt;"", 'P20'!$G54, "non")</f>
        <v>non</v>
      </c>
      <c r="BU58" s="10" t="str">
        <f>IF('P21'!$G54&lt;&gt;"", 'P21'!$G54, "non")</f>
        <v>non</v>
      </c>
      <c r="BV58" s="11" t="str">
        <f>IF('P22'!$G54&lt;&gt;"", 'P22'!$G54, "non")</f>
        <v>non</v>
      </c>
      <c r="BW58" s="10" t="str">
        <f>IF('P23'!$G54&lt;&gt;"", 'P23'!$G54, "non")</f>
        <v>non</v>
      </c>
      <c r="BX58" s="11" t="str">
        <f>IF('P24'!$G54&lt;&gt;"", 'P24'!$G54, "non")</f>
        <v>non</v>
      </c>
      <c r="BY58" s="10" t="str">
        <f>IF('P25'!$G54&lt;&gt;"", 'P25'!$G54, "non")</f>
        <v>non</v>
      </c>
      <c r="BZ58" s="11" t="str">
        <f>IF('P26'!$G54&lt;&gt;"", 'P26'!$G54, "non")</f>
        <v>non</v>
      </c>
      <c r="CA58" s="10" t="str">
        <f>IF('P27'!$G54&lt;&gt;"", 'P27'!$G54, "non")</f>
        <v>non</v>
      </c>
      <c r="CB58" s="11" t="str">
        <f>IF('P28'!$G54&lt;&gt;"", 'P28'!$G54, "non")</f>
        <v>non</v>
      </c>
      <c r="CC58" s="10" t="str">
        <f>IF('P29'!$G54&lt;&gt;"", 'P29'!$G54, "non")</f>
        <v>non</v>
      </c>
      <c r="CD58" s="11" t="str">
        <f>IF('P30'!$G54&lt;&gt;"", 'P30'!$G54, "non")</f>
        <v>non</v>
      </c>
      <c r="CE58" s="10" t="str">
        <f>IF('P31'!$G54&lt;&gt;"", 'P31'!$G54, "non")</f>
        <v>non</v>
      </c>
      <c r="CF58" s="11" t="str">
        <f>IF('P32'!$G54&lt;&gt;"", 'P32'!$G54, "non")</f>
        <v>non</v>
      </c>
      <c r="CG58" s="10" t="str">
        <f>IF('P33'!$G54&lt;&gt;"", 'P33'!$G54, "non")</f>
        <v>non</v>
      </c>
      <c r="CH58" s="10" t="str">
        <f>IF('P34'!$G54&lt;&gt;"", 'P34'!$G54, "non")</f>
        <v>non</v>
      </c>
      <c r="CI58" s="11" t="str">
        <f>IF('P35'!$G54&lt;&gt;"", 'P35'!$G54, "non")</f>
        <v>non</v>
      </c>
      <c r="CJ58" s="10" t="str">
        <f>IF('P36'!$G54&lt;&gt;"", 'P36'!$G54, "non")</f>
        <v>non</v>
      </c>
      <c r="CK58" s="11" t="str">
        <f>IF('P37'!$G54&lt;&gt;"", 'P37'!$G54, "non")</f>
        <v>non</v>
      </c>
      <c r="CL58" s="10" t="str">
        <f>IF('P38'!$G54&lt;&gt;"", 'P38'!$G54, "non")</f>
        <v>non</v>
      </c>
      <c r="CM58" s="11" t="str">
        <f>IF('P39'!$G54&lt;&gt;"", 'P39'!$G54, "non")</f>
        <v>non</v>
      </c>
      <c r="CN58" s="10" t="str">
        <f>IF('P40'!$G54&lt;&gt;"", 'P40'!$G54, "non")</f>
        <v>non</v>
      </c>
    </row>
    <row r="59" spans="1:92" ht="39.75" customHeight="1">
      <c r="A59" s="122" t="str">
        <f>'Critères et tests'!B54</f>
        <v>ÉLÉMENTS OBLIGATOIRES</v>
      </c>
      <c r="B59" s="124" t="str">
        <f>'Critères et tests'!$A54</f>
        <v>8.10</v>
      </c>
      <c r="C59" s="192" t="str">
        <f>VLOOKUP(B59,'Critères et tests'!$1:$1048576,5,FALSE)</f>
        <v>Dans chaque page web, les changements du sens de lecture sont-ils signalés ?</v>
      </c>
      <c r="D59" s="124" t="str">
        <f>'Critères et tests'!$C54</f>
        <v>A</v>
      </c>
      <c r="E59" s="156" t="s">
        <v>460</v>
      </c>
      <c r="F59" s="88">
        <f>IF('P01'!$E55&gt;"",'P01'!$E55&amp;" "&amp;CHAR(10)&amp;'P01'!$F55,'P01'!$E55)</f>
        <v>0</v>
      </c>
      <c r="G59" s="89">
        <f>IF('P02'!$E55&gt;"",'P02'!$E55&amp;" "&amp;CHAR(10)&amp;'P02'!$F55,'P02'!$E55)</f>
        <v>0</v>
      </c>
      <c r="H59" s="89">
        <f>IF('P03'!$E55&gt;"",'P03'!$E55&amp;" "&amp;CHAR(10)&amp;'P03'!$F55,'P03'!$E55)</f>
        <v>0</v>
      </c>
      <c r="I59" s="89">
        <f>IF('P04'!$E55&gt;"",'P04'!$E55&amp;" "&amp;CHAR(10)&amp;'P04'!$F55,'P04'!$E55)</f>
        <v>0</v>
      </c>
      <c r="J59" s="89">
        <f>IF('P05'!$E55&gt;"",'P05'!$E55&amp;" "&amp;CHAR(10)&amp;'P05'!$F55,'P05'!$E55)</f>
        <v>0</v>
      </c>
      <c r="K59" s="89">
        <f>IF('P06'!$E55&gt;"",'P06'!$E55&amp;" "&amp;CHAR(10)&amp;'P06'!$F55,'P06'!$E55)</f>
        <v>0</v>
      </c>
      <c r="L59" s="89">
        <f>IF('P07'!$E55&gt;"",'P07'!$E55&amp;" "&amp;CHAR(10)&amp;'P07'!$F55,'P07'!$E55)</f>
        <v>0</v>
      </c>
      <c r="M59" s="89">
        <f>IF('P08'!$E55&gt;"",'P08'!$E55&amp;" "&amp;CHAR(10)&amp;'P08'!$F55,'P08'!$E55)</f>
        <v>0</v>
      </c>
      <c r="N59" s="89">
        <f>IF('P09'!$E55&gt;"",'P09'!$E55&amp;" "&amp;CHAR(10)&amp;'P09'!$F55,'P09'!$E55)</f>
        <v>0</v>
      </c>
      <c r="O59" s="89">
        <f>IF('P10'!$E55&gt;"",'P10'!$E55&amp;" "&amp;CHAR(10)&amp;'P10'!$F55,'P10'!$E55)</f>
        <v>0</v>
      </c>
      <c r="P59" s="89">
        <f>IF('P11'!$E55&gt;"",'P11'!$E55&amp;" "&amp;CHAR(10)&amp;'P11'!$F55,'P11'!$E55)</f>
        <v>0</v>
      </c>
      <c r="Q59" s="89">
        <f>IF('P12'!$E55&gt;"",'P12'!$E55&amp;" "&amp;CHAR(10)&amp;'P12'!$F55,'P12'!$E55)</f>
        <v>0</v>
      </c>
      <c r="R59" s="89">
        <f>IF('P13'!$E55&gt;"",'P13'!$E55&amp;" "&amp;CHAR(10)&amp;'P13'!$F55,'P13'!$E55)</f>
        <v>0</v>
      </c>
      <c r="S59" s="89">
        <f>IF('P14'!$E55&gt;"",'P14'!$E55&amp;" "&amp;CHAR(10)&amp;'P14'!$F55,'P14'!$E55)</f>
        <v>0</v>
      </c>
      <c r="T59" s="89">
        <f>IF('P15'!$E55&gt;"",'P15'!$E55&amp;" "&amp;CHAR(10)&amp;'P15'!$F55,'P15'!$E55)</f>
        <v>0</v>
      </c>
      <c r="U59" s="89">
        <f>IF('P16'!$E55&gt;"",'P16'!$E55&amp;" "&amp;CHAR(10)&amp;'P16'!$F55,'P16'!$E55)</f>
        <v>0</v>
      </c>
      <c r="V59" s="89">
        <f>IF('P17'!$E55&gt;"",'P17'!$E55&amp;" "&amp;CHAR(10)&amp;'P17'!$F55,'P17'!$E55)</f>
        <v>0</v>
      </c>
      <c r="W59" s="89">
        <f>IF('P18'!$E55&gt;"",'P18'!$E55&amp;" "&amp;CHAR(10)&amp;'P18'!$F55,'P18'!$E55)</f>
        <v>0</v>
      </c>
      <c r="X59" s="89">
        <f>IF('P19'!$E55&gt;"",'P19'!$E55&amp;" "&amp;CHAR(10)&amp;'P19'!$F55,'P19'!$E55)</f>
        <v>0</v>
      </c>
      <c r="Y59" s="89">
        <f>IF('P20'!$E55&gt;"",'P20'!$E55&amp;" "&amp;CHAR(10)&amp;'P20'!$F55,'P20'!$E55)</f>
        <v>0</v>
      </c>
      <c r="Z59" s="89">
        <f>IF('P21'!$E55&gt;"",'P21'!$E55&amp;" "&amp;CHAR(10)&amp;'P21'!$F55,'P21'!$E55)</f>
        <v>0</v>
      </c>
      <c r="AA59" s="89">
        <f>IF('P22'!$E55&gt;"",'P22'!$E55&amp;" "&amp;CHAR(10)&amp;'P22'!$F55,'P22'!$E55)</f>
        <v>0</v>
      </c>
      <c r="AB59" s="89">
        <f>IF('P23'!$E55&gt;"",'P23'!$E55&amp;" "&amp;CHAR(10)&amp;'P23'!$F55,'P23'!$E55)</f>
        <v>0</v>
      </c>
      <c r="AC59" s="89">
        <f>IF('P24'!$E55&gt;"",'P24'!$E55&amp;" "&amp;CHAR(10)&amp;'P24'!$F55,'P24'!$E55)</f>
        <v>0</v>
      </c>
      <c r="AD59" s="89">
        <f>IF('P25'!$E55&gt;"",'P25'!$E55&amp;" "&amp;CHAR(10)&amp;'P25'!$F55,'P25'!$E55)</f>
        <v>0</v>
      </c>
      <c r="AE59" s="89">
        <f>IF('P26'!$E55&gt;"",'P26'!$E55&amp;" "&amp;CHAR(10)&amp;'P26'!$F55,'P26'!$E55)</f>
        <v>0</v>
      </c>
      <c r="AF59" s="89">
        <f>IF('P27'!$E55&gt;"",'P27'!$E55&amp;" "&amp;CHAR(10)&amp;'P27'!$F55,'P27'!$E55)</f>
        <v>0</v>
      </c>
      <c r="AG59" s="89">
        <f>IF('P28'!$E55&gt;"",'P28'!$E55&amp;" "&amp;CHAR(10)&amp;'P28'!$F55,'P28'!$E55)</f>
        <v>0</v>
      </c>
      <c r="AH59" s="89">
        <f>IF('P29'!$E55&gt;"",'P29'!$E55&amp;" "&amp;CHAR(10)&amp;'P29'!$F55,'P29'!$E55)</f>
        <v>0</v>
      </c>
      <c r="AI59" s="89">
        <f>IF('P30'!$E55&gt;"",'P30'!$E55&amp;" "&amp;CHAR(10)&amp;'P30'!$F55,'P30'!$E55)</f>
        <v>0</v>
      </c>
      <c r="AJ59" s="89">
        <f>IF('P31'!$E55&gt;"",'P31'!$E55&amp;" "&amp;CHAR(10)&amp;'P31'!$F55,'P31'!$E55)</f>
        <v>0</v>
      </c>
      <c r="AK59" s="89">
        <f>IF('P32'!$E55&gt;"",'P32'!$E55&amp;" "&amp;CHAR(10)&amp;'P32'!$F55,'P32'!$E55)</f>
        <v>0</v>
      </c>
      <c r="AL59" s="89">
        <f>IF('P33'!$E55&gt;"",'P33'!$E55&amp;" "&amp;CHAR(10)&amp;'P33'!$F55,'P33'!$E55)</f>
        <v>0</v>
      </c>
      <c r="AM59" s="89">
        <f>IF('P34'!$E55&gt;"",'P34'!$E55&amp;" "&amp;CHAR(10)&amp;'P34'!$F55,'P34'!$E55)</f>
        <v>0</v>
      </c>
      <c r="AN59" s="89">
        <f>IF('P35'!$E55&gt;"",'P35'!$E55&amp;" "&amp;CHAR(10)&amp;'P35'!$F55,'P35'!$E55)</f>
        <v>0</v>
      </c>
      <c r="AO59" s="89">
        <f>IF('P36'!$E55&gt;"",'P36'!$E55&amp;" "&amp;CHAR(10)&amp;'P36'!$F55,'P36'!$E55)</f>
        <v>0</v>
      </c>
      <c r="AP59" s="89">
        <f>IF('P37'!$E55&gt;"",'P37'!$E55&amp;" "&amp;CHAR(10)&amp;'P37'!$F55,'P37'!$E55)</f>
        <v>0</v>
      </c>
      <c r="AQ59" s="89">
        <f>IF('P38'!$E55&gt;"",'P38'!$E55&amp;" "&amp;CHAR(10)&amp;'P38'!$F55,'P38'!$E55)</f>
        <v>0</v>
      </c>
      <c r="AR59" s="89">
        <f>IF('P39'!$E55&gt;"",'P39'!$E55&amp;" "&amp;CHAR(10)&amp;'P39'!$F55,'P39'!$E55)</f>
        <v>0</v>
      </c>
      <c r="AS59" s="89">
        <f>IF('P40'!$E55&gt;"",'P40'!$E55&amp;" "&amp;CHAR(10)&amp;'P40'!$F55,'P40'!$E55)</f>
        <v>0</v>
      </c>
      <c r="AT59" s="55">
        <f t="shared" si="5"/>
        <v>0</v>
      </c>
      <c r="AU59" s="9">
        <f t="shared" si="6"/>
        <v>0</v>
      </c>
      <c r="AV59" s="55">
        <f t="shared" si="7"/>
        <v>0</v>
      </c>
      <c r="AW59" s="38" t="str">
        <f t="shared" si="8"/>
        <v>NT</v>
      </c>
      <c r="AX59" s="12"/>
      <c r="AY59" s="10"/>
      <c r="AZ59" s="10"/>
      <c r="BA59" s="10" t="str">
        <f>IF('P01'!$G55&lt;&gt;"", 'P01'!$G55, "non")</f>
        <v>non</v>
      </c>
      <c r="BB59" s="10" t="str">
        <f>IF('P02'!$G55&lt;&gt;"", 'P02'!$G55, "non")</f>
        <v>non</v>
      </c>
      <c r="BC59" s="10" t="str">
        <f>IF('P03'!$G55&lt;&gt;"", 'P03'!$G55, "non")</f>
        <v>non</v>
      </c>
      <c r="BD59" s="10" t="str">
        <f>IF('P04'!$G55&lt;&gt;"", 'P04'!$G55, "non")</f>
        <v>non</v>
      </c>
      <c r="BE59" s="10" t="str">
        <f>IF('P05'!$G55&lt;&gt;"", 'P05'!$G55, "non")</f>
        <v>non</v>
      </c>
      <c r="BF59" s="10" t="str">
        <f>IF('P06'!$G55&lt;&gt;"", 'P06'!$G55, "non")</f>
        <v>non</v>
      </c>
      <c r="BG59" s="10" t="str">
        <f>IF('P07'!$G55&lt;&gt;"", 'P07'!$G55, "non")</f>
        <v>non</v>
      </c>
      <c r="BH59" s="10" t="str">
        <f>IF('P08'!$G55&lt;&gt;"", 'P08'!$G55, "non")</f>
        <v>non</v>
      </c>
      <c r="BI59" s="10" t="str">
        <f>IF('P09'!$G55&lt;&gt;"", 'P09'!$G55, "non")</f>
        <v>non</v>
      </c>
      <c r="BJ59" s="10" t="str">
        <f>IF('P10'!$G55&lt;&gt;"", 'P10'!$G55, "non")</f>
        <v>non</v>
      </c>
      <c r="BK59" s="10" t="str">
        <f>IF('P11'!$G55&lt;&gt;"", 'P11'!$G55, "non")</f>
        <v>non</v>
      </c>
      <c r="BL59" s="10" t="str">
        <f>IF('P12'!$G55&lt;&gt;"", 'P12'!$G55, "non")</f>
        <v>non</v>
      </c>
      <c r="BM59" s="10" t="str">
        <f>IF('P13'!$G55&lt;&gt;"", 'P13'!$G55, "non")</f>
        <v>non</v>
      </c>
      <c r="BN59" s="10" t="str">
        <f>IF('P14'!$G55&lt;&gt;"", 'P14'!$G55, "non")</f>
        <v>non</v>
      </c>
      <c r="BO59" s="10" t="str">
        <f>IF('P15'!$G55&lt;&gt;"", 'P15'!$G55, "non")</f>
        <v>non</v>
      </c>
      <c r="BP59" s="10" t="str">
        <f>IF('P16'!$G55&lt;&gt;"", 'P16'!$G55, "non")</f>
        <v>non</v>
      </c>
      <c r="BQ59" s="10" t="str">
        <f>IF('P17'!$G55&lt;&gt;"", 'P17'!$G55, "non")</f>
        <v>non</v>
      </c>
      <c r="BR59" s="10" t="str">
        <f>IF('P18'!$G55&lt;&gt;"", 'P18'!$G55, "non")</f>
        <v>non</v>
      </c>
      <c r="BS59" s="10" t="str">
        <f>IF('P19'!$G55&lt;&gt;"", 'P19'!$G55, "non")</f>
        <v>non</v>
      </c>
      <c r="BT59" s="11" t="str">
        <f>IF('P20'!$G55&lt;&gt;"", 'P20'!$G55, "non")</f>
        <v>non</v>
      </c>
      <c r="BU59" s="10" t="str">
        <f>IF('P21'!$G55&lt;&gt;"", 'P21'!$G55, "non")</f>
        <v>non</v>
      </c>
      <c r="BV59" s="11" t="str">
        <f>IF('P22'!$G55&lt;&gt;"", 'P22'!$G55, "non")</f>
        <v>non</v>
      </c>
      <c r="BW59" s="10" t="str">
        <f>IF('P23'!$G55&lt;&gt;"", 'P23'!$G55, "non")</f>
        <v>non</v>
      </c>
      <c r="BX59" s="11" t="str">
        <f>IF('P24'!$G55&lt;&gt;"", 'P24'!$G55, "non")</f>
        <v>non</v>
      </c>
      <c r="BY59" s="10" t="str">
        <f>IF('P25'!$G55&lt;&gt;"", 'P25'!$G55, "non")</f>
        <v>non</v>
      </c>
      <c r="BZ59" s="11" t="str">
        <f>IF('P26'!$G55&lt;&gt;"", 'P26'!$G55, "non")</f>
        <v>non</v>
      </c>
      <c r="CA59" s="10" t="str">
        <f>IF('P27'!$G55&lt;&gt;"", 'P27'!$G55, "non")</f>
        <v>non</v>
      </c>
      <c r="CB59" s="11" t="str">
        <f>IF('P28'!$G55&lt;&gt;"", 'P28'!$G55, "non")</f>
        <v>non</v>
      </c>
      <c r="CC59" s="10" t="str">
        <f>IF('P29'!$G55&lt;&gt;"", 'P29'!$G55, "non")</f>
        <v>non</v>
      </c>
      <c r="CD59" s="11" t="str">
        <f>IF('P30'!$G55&lt;&gt;"", 'P30'!$G55, "non")</f>
        <v>non</v>
      </c>
      <c r="CE59" s="10" t="str">
        <f>IF('P31'!$G55&lt;&gt;"", 'P31'!$G55, "non")</f>
        <v>non</v>
      </c>
      <c r="CF59" s="11" t="str">
        <f>IF('P32'!$G55&lt;&gt;"", 'P32'!$G55, "non")</f>
        <v>non</v>
      </c>
      <c r="CG59" s="10" t="str">
        <f>IF('P33'!$G55&lt;&gt;"", 'P33'!$G55, "non")</f>
        <v>non</v>
      </c>
      <c r="CH59" s="10" t="str">
        <f>IF('P34'!$G55&lt;&gt;"", 'P34'!$G55, "non")</f>
        <v>non</v>
      </c>
      <c r="CI59" s="11" t="str">
        <f>IF('P35'!$G55&lt;&gt;"", 'P35'!$G55, "non")</f>
        <v>non</v>
      </c>
      <c r="CJ59" s="10" t="str">
        <f>IF('P36'!$G55&lt;&gt;"", 'P36'!$G55, "non")</f>
        <v>non</v>
      </c>
      <c r="CK59" s="11" t="str">
        <f>IF('P37'!$G55&lt;&gt;"", 'P37'!$G55, "non")</f>
        <v>non</v>
      </c>
      <c r="CL59" s="10" t="str">
        <f>IF('P38'!$G55&lt;&gt;"", 'P38'!$G55, "non")</f>
        <v>non</v>
      </c>
      <c r="CM59" s="11" t="str">
        <f>IF('P39'!$G55&lt;&gt;"", 'P39'!$G55, "non")</f>
        <v>non</v>
      </c>
      <c r="CN59" s="10" t="str">
        <f>IF('P40'!$G55&lt;&gt;"", 'P40'!$G55, "non")</f>
        <v>non</v>
      </c>
    </row>
    <row r="60" spans="1:92" ht="39.75" customHeight="1">
      <c r="A60" s="122" t="str">
        <f>'Critères et tests'!B55</f>
        <v>STRUCTURATION</v>
      </c>
      <c r="B60" s="124" t="str">
        <f>'Critères et tests'!$A55</f>
        <v>9.1</v>
      </c>
      <c r="C60" s="192" t="str">
        <f>VLOOKUP(B60,'Critères et tests'!$1:$1048576,5,FALSE)</f>
        <v>Dans chaque page web, l’information est-elle structurée par l’utilisation appropriée de titres ?</v>
      </c>
      <c r="D60" s="124" t="str">
        <f>'Critères et tests'!$C55</f>
        <v>A</v>
      </c>
      <c r="E60" s="156" t="s">
        <v>460</v>
      </c>
      <c r="F60" s="88">
        <f>IF('P01'!$E56&gt;"",'P01'!$E56&amp;" "&amp;CHAR(10)&amp;'P01'!$F56,'P01'!$E56)</f>
        <v>0</v>
      </c>
      <c r="G60" s="89">
        <f>IF('P02'!$E56&gt;"",'P02'!$E56&amp;" "&amp;CHAR(10)&amp;'P02'!$F56,'P02'!$E56)</f>
        <v>0</v>
      </c>
      <c r="H60" s="89">
        <f>IF('P03'!$E56&gt;"",'P03'!$E56&amp;" "&amp;CHAR(10)&amp;'P03'!$F56,'P03'!$E56)</f>
        <v>0</v>
      </c>
      <c r="I60" s="89">
        <f>IF('P04'!$E56&gt;"",'P04'!$E56&amp;" "&amp;CHAR(10)&amp;'P04'!$F56,'P04'!$E56)</f>
        <v>0</v>
      </c>
      <c r="J60" s="89">
        <f>IF('P05'!$E56&gt;"",'P05'!$E56&amp;" "&amp;CHAR(10)&amp;'P05'!$F56,'P05'!$E56)</f>
        <v>0</v>
      </c>
      <c r="K60" s="89">
        <f>IF('P06'!$E56&gt;"",'P06'!$E56&amp;" "&amp;CHAR(10)&amp;'P06'!$F56,'P06'!$E56)</f>
        <v>0</v>
      </c>
      <c r="L60" s="89">
        <f>IF('P07'!$E56&gt;"",'P07'!$E56&amp;" "&amp;CHAR(10)&amp;'P07'!$F56,'P07'!$E56)</f>
        <v>0</v>
      </c>
      <c r="M60" s="89">
        <f>IF('P08'!$E56&gt;"",'P08'!$E56&amp;" "&amp;CHAR(10)&amp;'P08'!$F56,'P08'!$E56)</f>
        <v>0</v>
      </c>
      <c r="N60" s="89">
        <f>IF('P09'!$E56&gt;"",'P09'!$E56&amp;" "&amp;CHAR(10)&amp;'P09'!$F56,'P09'!$E56)</f>
        <v>0</v>
      </c>
      <c r="O60" s="89">
        <f>IF('P10'!$E56&gt;"",'P10'!$E56&amp;" "&amp;CHAR(10)&amp;'P10'!$F56,'P10'!$E56)</f>
        <v>0</v>
      </c>
      <c r="P60" s="89">
        <f>IF('P11'!$E56&gt;"",'P11'!$E56&amp;" "&amp;CHAR(10)&amp;'P11'!$F56,'P11'!$E56)</f>
        <v>0</v>
      </c>
      <c r="Q60" s="89">
        <f>IF('P12'!$E56&gt;"",'P12'!$E56&amp;" "&amp;CHAR(10)&amp;'P12'!$F56,'P12'!$E56)</f>
        <v>0</v>
      </c>
      <c r="R60" s="89">
        <f>IF('P13'!$E56&gt;"",'P13'!$E56&amp;" "&amp;CHAR(10)&amp;'P13'!$F56,'P13'!$E56)</f>
        <v>0</v>
      </c>
      <c r="S60" s="89">
        <f>IF('P14'!$E56&gt;"",'P14'!$E56&amp;" "&amp;CHAR(10)&amp;'P14'!$F56,'P14'!$E56)</f>
        <v>0</v>
      </c>
      <c r="T60" s="89">
        <f>IF('P15'!$E56&gt;"",'P15'!$E56&amp;" "&amp;CHAR(10)&amp;'P15'!$F56,'P15'!$E56)</f>
        <v>0</v>
      </c>
      <c r="U60" s="89">
        <f>IF('P16'!$E56&gt;"",'P16'!$E56&amp;" "&amp;CHAR(10)&amp;'P16'!$F56,'P16'!$E56)</f>
        <v>0</v>
      </c>
      <c r="V60" s="89">
        <f>IF('P17'!$E56&gt;"",'P17'!$E56&amp;" "&amp;CHAR(10)&amp;'P17'!$F56,'P17'!$E56)</f>
        <v>0</v>
      </c>
      <c r="W60" s="89">
        <f>IF('P18'!$E56&gt;"",'P18'!$E56&amp;" "&amp;CHAR(10)&amp;'P18'!$F56,'P18'!$E56)</f>
        <v>0</v>
      </c>
      <c r="X60" s="89">
        <f>IF('P19'!$E56&gt;"",'P19'!$E56&amp;" "&amp;CHAR(10)&amp;'P19'!$F56,'P19'!$E56)</f>
        <v>0</v>
      </c>
      <c r="Y60" s="89">
        <f>IF('P20'!$E56&gt;"",'P20'!$E56&amp;" "&amp;CHAR(10)&amp;'P20'!$F56,'P20'!$E56)</f>
        <v>0</v>
      </c>
      <c r="Z60" s="89">
        <f>IF('P21'!$E56&gt;"",'P21'!$E56&amp;" "&amp;CHAR(10)&amp;'P21'!$F56,'P21'!$E56)</f>
        <v>0</v>
      </c>
      <c r="AA60" s="89">
        <f>IF('P22'!$E56&gt;"",'P22'!$E56&amp;" "&amp;CHAR(10)&amp;'P22'!$F56,'P22'!$E56)</f>
        <v>0</v>
      </c>
      <c r="AB60" s="89">
        <f>IF('P23'!$E56&gt;"",'P23'!$E56&amp;" "&amp;CHAR(10)&amp;'P23'!$F56,'P23'!$E56)</f>
        <v>0</v>
      </c>
      <c r="AC60" s="89">
        <f>IF('P24'!$E56&gt;"",'P24'!$E56&amp;" "&amp;CHAR(10)&amp;'P24'!$F56,'P24'!$E56)</f>
        <v>0</v>
      </c>
      <c r="AD60" s="89">
        <f>IF('P25'!$E56&gt;"",'P25'!$E56&amp;" "&amp;CHAR(10)&amp;'P25'!$F56,'P25'!$E56)</f>
        <v>0</v>
      </c>
      <c r="AE60" s="89">
        <f>IF('P26'!$E56&gt;"",'P26'!$E56&amp;" "&amp;CHAR(10)&amp;'P26'!$F56,'P26'!$E56)</f>
        <v>0</v>
      </c>
      <c r="AF60" s="89">
        <f>IF('P27'!$E56&gt;"",'P27'!$E56&amp;" "&amp;CHAR(10)&amp;'P27'!$F56,'P27'!$E56)</f>
        <v>0</v>
      </c>
      <c r="AG60" s="89">
        <f>IF('P28'!$E56&gt;"",'P28'!$E56&amp;" "&amp;CHAR(10)&amp;'P28'!$F56,'P28'!$E56)</f>
        <v>0</v>
      </c>
      <c r="AH60" s="89">
        <f>IF('P29'!$E56&gt;"",'P29'!$E56&amp;" "&amp;CHAR(10)&amp;'P29'!$F56,'P29'!$E56)</f>
        <v>0</v>
      </c>
      <c r="AI60" s="89">
        <f>IF('P30'!$E56&gt;"",'P30'!$E56&amp;" "&amp;CHAR(10)&amp;'P30'!$F56,'P30'!$E56)</f>
        <v>0</v>
      </c>
      <c r="AJ60" s="89">
        <f>IF('P31'!$E56&gt;"",'P31'!$E56&amp;" "&amp;CHAR(10)&amp;'P31'!$F56,'P31'!$E56)</f>
        <v>0</v>
      </c>
      <c r="AK60" s="89">
        <f>IF('P32'!$E56&gt;"",'P32'!$E56&amp;" "&amp;CHAR(10)&amp;'P32'!$F56,'P32'!$E56)</f>
        <v>0</v>
      </c>
      <c r="AL60" s="89">
        <f>IF('P33'!$E56&gt;"",'P33'!$E56&amp;" "&amp;CHAR(10)&amp;'P33'!$F56,'P33'!$E56)</f>
        <v>0</v>
      </c>
      <c r="AM60" s="89">
        <f>IF('P34'!$E56&gt;"",'P34'!$E56&amp;" "&amp;CHAR(10)&amp;'P34'!$F56,'P34'!$E56)</f>
        <v>0</v>
      </c>
      <c r="AN60" s="89">
        <f>IF('P35'!$E56&gt;"",'P35'!$E56&amp;" "&amp;CHAR(10)&amp;'P35'!$F56,'P35'!$E56)</f>
        <v>0</v>
      </c>
      <c r="AO60" s="89">
        <f>IF('P36'!$E56&gt;"",'P36'!$E56&amp;" "&amp;CHAR(10)&amp;'P36'!$F56,'P36'!$E56)</f>
        <v>0</v>
      </c>
      <c r="AP60" s="89">
        <f>IF('P37'!$E56&gt;"",'P37'!$E56&amp;" "&amp;CHAR(10)&amp;'P37'!$F56,'P37'!$E56)</f>
        <v>0</v>
      </c>
      <c r="AQ60" s="89">
        <f>IF('P38'!$E56&gt;"",'P38'!$E56&amp;" "&amp;CHAR(10)&amp;'P38'!$F56,'P38'!$E56)</f>
        <v>0</v>
      </c>
      <c r="AR60" s="89">
        <f>IF('P39'!$E56&gt;"",'P39'!$E56&amp;" "&amp;CHAR(10)&amp;'P39'!$F56,'P39'!$E56)</f>
        <v>0</v>
      </c>
      <c r="AS60" s="89">
        <f>IF('P40'!$E56&gt;"",'P40'!$E56&amp;" "&amp;CHAR(10)&amp;'P40'!$F56,'P40'!$E56)</f>
        <v>0</v>
      </c>
      <c r="AT60" s="55">
        <f t="shared" si="5"/>
        <v>0</v>
      </c>
      <c r="AU60" s="9">
        <f t="shared" si="6"/>
        <v>0</v>
      </c>
      <c r="AV60" s="55">
        <f t="shared" si="7"/>
        <v>0</v>
      </c>
      <c r="AW60" s="38" t="str">
        <f t="shared" si="8"/>
        <v>NT</v>
      </c>
      <c r="AX60" s="12"/>
      <c r="AY60" s="10"/>
      <c r="AZ60" s="10"/>
      <c r="BA60" s="10" t="str">
        <f>IF('P01'!$G56&lt;&gt;"", 'P01'!$G56, "non")</f>
        <v>non</v>
      </c>
      <c r="BB60" s="10" t="str">
        <f>IF('P02'!$G56&lt;&gt;"", 'P02'!$G56, "non")</f>
        <v>non</v>
      </c>
      <c r="BC60" s="10" t="str">
        <f>IF('P03'!$G56&lt;&gt;"", 'P03'!$G56, "non")</f>
        <v>non</v>
      </c>
      <c r="BD60" s="10" t="str">
        <f>IF('P04'!$G56&lt;&gt;"", 'P04'!$G56, "non")</f>
        <v>non</v>
      </c>
      <c r="BE60" s="10" t="str">
        <f>IF('P05'!$G56&lt;&gt;"", 'P05'!$G56, "non")</f>
        <v>non</v>
      </c>
      <c r="BF60" s="10" t="str">
        <f>IF('P06'!$G56&lt;&gt;"", 'P06'!$G56, "non")</f>
        <v>non</v>
      </c>
      <c r="BG60" s="10" t="str">
        <f>IF('P07'!$G56&lt;&gt;"", 'P07'!$G56, "non")</f>
        <v>non</v>
      </c>
      <c r="BH60" s="10" t="str">
        <f>IF('P08'!$G56&lt;&gt;"", 'P08'!$G56, "non")</f>
        <v>non</v>
      </c>
      <c r="BI60" s="10" t="str">
        <f>IF('P09'!$G56&lt;&gt;"", 'P09'!$G56, "non")</f>
        <v>non</v>
      </c>
      <c r="BJ60" s="10" t="str">
        <f>IF('P10'!$G56&lt;&gt;"", 'P10'!$G56, "non")</f>
        <v>non</v>
      </c>
      <c r="BK60" s="10" t="str">
        <f>IF('P11'!$G56&lt;&gt;"", 'P11'!$G56, "non")</f>
        <v>non</v>
      </c>
      <c r="BL60" s="10" t="str">
        <f>IF('P12'!$G56&lt;&gt;"", 'P12'!$G56, "non")</f>
        <v>non</v>
      </c>
      <c r="BM60" s="10" t="str">
        <f>IF('P13'!$G56&lt;&gt;"", 'P13'!$G56, "non")</f>
        <v>non</v>
      </c>
      <c r="BN60" s="10" t="str">
        <f>IF('P14'!$G56&lt;&gt;"", 'P14'!$G56, "non")</f>
        <v>non</v>
      </c>
      <c r="BO60" s="10" t="str">
        <f>IF('P15'!$G56&lt;&gt;"", 'P15'!$G56, "non")</f>
        <v>non</v>
      </c>
      <c r="BP60" s="10" t="str">
        <f>IF('P16'!$G56&lt;&gt;"", 'P16'!$G56, "non")</f>
        <v>non</v>
      </c>
      <c r="BQ60" s="10" t="str">
        <f>IF('P17'!$G56&lt;&gt;"", 'P17'!$G56, "non")</f>
        <v>non</v>
      </c>
      <c r="BR60" s="10" t="str">
        <f>IF('P18'!$G56&lt;&gt;"", 'P18'!$G56, "non")</f>
        <v>non</v>
      </c>
      <c r="BS60" s="10" t="str">
        <f>IF('P19'!$G56&lt;&gt;"", 'P19'!$G56, "non")</f>
        <v>non</v>
      </c>
      <c r="BT60" s="11" t="str">
        <f>IF('P20'!$G56&lt;&gt;"", 'P20'!$G56, "non")</f>
        <v>non</v>
      </c>
      <c r="BU60" s="10" t="str">
        <f>IF('P21'!$G56&lt;&gt;"", 'P21'!$G56, "non")</f>
        <v>non</v>
      </c>
      <c r="BV60" s="11" t="str">
        <f>IF('P22'!$G56&lt;&gt;"", 'P22'!$G56, "non")</f>
        <v>non</v>
      </c>
      <c r="BW60" s="10" t="str">
        <f>IF('P23'!$G56&lt;&gt;"", 'P23'!$G56, "non")</f>
        <v>non</v>
      </c>
      <c r="BX60" s="11" t="str">
        <f>IF('P24'!$G56&lt;&gt;"", 'P24'!$G56, "non")</f>
        <v>non</v>
      </c>
      <c r="BY60" s="10" t="str">
        <f>IF('P25'!$G56&lt;&gt;"", 'P25'!$G56, "non")</f>
        <v>non</v>
      </c>
      <c r="BZ60" s="11" t="str">
        <f>IF('P26'!$G56&lt;&gt;"", 'P26'!$G56, "non")</f>
        <v>non</v>
      </c>
      <c r="CA60" s="10" t="str">
        <f>IF('P27'!$G56&lt;&gt;"", 'P27'!$G56, "non")</f>
        <v>non</v>
      </c>
      <c r="CB60" s="11" t="str">
        <f>IF('P28'!$G56&lt;&gt;"", 'P28'!$G56, "non")</f>
        <v>non</v>
      </c>
      <c r="CC60" s="10" t="str">
        <f>IF('P29'!$G56&lt;&gt;"", 'P29'!$G56, "non")</f>
        <v>non</v>
      </c>
      <c r="CD60" s="11" t="str">
        <f>IF('P30'!$G56&lt;&gt;"", 'P30'!$G56, "non")</f>
        <v>non</v>
      </c>
      <c r="CE60" s="10" t="str">
        <f>IF('P31'!$G56&lt;&gt;"", 'P31'!$G56, "non")</f>
        <v>non</v>
      </c>
      <c r="CF60" s="11" t="str">
        <f>IF('P32'!$G56&lt;&gt;"", 'P32'!$G56, "non")</f>
        <v>non</v>
      </c>
      <c r="CG60" s="10" t="str">
        <f>IF('P33'!$G56&lt;&gt;"", 'P33'!$G56, "non")</f>
        <v>non</v>
      </c>
      <c r="CH60" s="10" t="str">
        <f>IF('P34'!$G56&lt;&gt;"", 'P34'!$G56, "non")</f>
        <v>non</v>
      </c>
      <c r="CI60" s="11" t="str">
        <f>IF('P35'!$G56&lt;&gt;"", 'P35'!$G56, "non")</f>
        <v>non</v>
      </c>
      <c r="CJ60" s="10" t="str">
        <f>IF('P36'!$G56&lt;&gt;"", 'P36'!$G56, "non")</f>
        <v>non</v>
      </c>
      <c r="CK60" s="11" t="str">
        <f>IF('P37'!$G56&lt;&gt;"", 'P37'!$G56, "non")</f>
        <v>non</v>
      </c>
      <c r="CL60" s="10" t="str">
        <f>IF('P38'!$G56&lt;&gt;"", 'P38'!$G56, "non")</f>
        <v>non</v>
      </c>
      <c r="CM60" s="11" t="str">
        <f>IF('P39'!$G56&lt;&gt;"", 'P39'!$G56, "non")</f>
        <v>non</v>
      </c>
      <c r="CN60" s="10" t="str">
        <f>IF('P40'!$G56&lt;&gt;"", 'P40'!$G56, "non")</f>
        <v>non</v>
      </c>
    </row>
    <row r="61" spans="1:92" ht="39.75" customHeight="1">
      <c r="A61" s="122" t="str">
        <f>'Critères et tests'!B56</f>
        <v>STRUCTURATION</v>
      </c>
      <c r="B61" s="124" t="str">
        <f>'Critères et tests'!$A56</f>
        <v>9.2</v>
      </c>
      <c r="C61" s="192" t="str">
        <f>VLOOKUP(B61,'Critères et tests'!$1:$1048576,5,FALSE)</f>
        <v>Dans chaque page web, la structure du document est-elle cohérente (hors cas particuliers) ?</v>
      </c>
      <c r="D61" s="124" t="str">
        <f>'Critères et tests'!$C56</f>
        <v>A</v>
      </c>
      <c r="E61" s="156" t="s">
        <v>460</v>
      </c>
      <c r="F61" s="88">
        <f>IF('P01'!$E57&gt;"",'P01'!$E57&amp;" "&amp;CHAR(10)&amp;'P01'!$F57,'P01'!$E57)</f>
        <v>0</v>
      </c>
      <c r="G61" s="89">
        <f>IF('P02'!$E57&gt;"",'P02'!$E57&amp;" "&amp;CHAR(10)&amp;'P02'!$F57,'P02'!$E57)</f>
        <v>0</v>
      </c>
      <c r="H61" s="89">
        <f>IF('P03'!$E57&gt;"",'P03'!$E57&amp;" "&amp;CHAR(10)&amp;'P03'!$F57,'P03'!$E57)</f>
        <v>0</v>
      </c>
      <c r="I61" s="89">
        <f>IF('P04'!$E57&gt;"",'P04'!$E57&amp;" "&amp;CHAR(10)&amp;'P04'!$F57,'P04'!$E57)</f>
        <v>0</v>
      </c>
      <c r="J61" s="89">
        <f>IF('P05'!$E57&gt;"",'P05'!$E57&amp;" "&amp;CHAR(10)&amp;'P05'!$F57,'P05'!$E57)</f>
        <v>0</v>
      </c>
      <c r="K61" s="89">
        <f>IF('P06'!$E57&gt;"",'P06'!$E57&amp;" "&amp;CHAR(10)&amp;'P06'!$F57,'P06'!$E57)</f>
        <v>0</v>
      </c>
      <c r="L61" s="89">
        <f>IF('P07'!$E57&gt;"",'P07'!$E57&amp;" "&amp;CHAR(10)&amp;'P07'!$F57,'P07'!$E57)</f>
        <v>0</v>
      </c>
      <c r="M61" s="89">
        <f>IF('P08'!$E57&gt;"",'P08'!$E57&amp;" "&amp;CHAR(10)&amp;'P08'!$F57,'P08'!$E57)</f>
        <v>0</v>
      </c>
      <c r="N61" s="89">
        <f>IF('P09'!$E57&gt;"",'P09'!$E57&amp;" "&amp;CHAR(10)&amp;'P09'!$F57,'P09'!$E57)</f>
        <v>0</v>
      </c>
      <c r="O61" s="89">
        <f>IF('P10'!$E57&gt;"",'P10'!$E57&amp;" "&amp;CHAR(10)&amp;'P10'!$F57,'P10'!$E57)</f>
        <v>0</v>
      </c>
      <c r="P61" s="89">
        <f>IF('P11'!$E57&gt;"",'P11'!$E57&amp;" "&amp;CHAR(10)&amp;'P11'!$F57,'P11'!$E57)</f>
        <v>0</v>
      </c>
      <c r="Q61" s="89">
        <f>IF('P12'!$E57&gt;"",'P12'!$E57&amp;" "&amp;CHAR(10)&amp;'P12'!$F57,'P12'!$E57)</f>
        <v>0</v>
      </c>
      <c r="R61" s="89">
        <f>IF('P13'!$E57&gt;"",'P13'!$E57&amp;" "&amp;CHAR(10)&amp;'P13'!$F57,'P13'!$E57)</f>
        <v>0</v>
      </c>
      <c r="S61" s="89">
        <f>IF('P14'!$E57&gt;"",'P14'!$E57&amp;" "&amp;CHAR(10)&amp;'P14'!$F57,'P14'!$E57)</f>
        <v>0</v>
      </c>
      <c r="T61" s="89">
        <f>IF('P15'!$E57&gt;"",'P15'!$E57&amp;" "&amp;CHAR(10)&amp;'P15'!$F57,'P15'!$E57)</f>
        <v>0</v>
      </c>
      <c r="U61" s="89">
        <f>IF('P16'!$E57&gt;"",'P16'!$E57&amp;" "&amp;CHAR(10)&amp;'P16'!$F57,'P16'!$E57)</f>
        <v>0</v>
      </c>
      <c r="V61" s="89">
        <f>IF('P17'!$E57&gt;"",'P17'!$E57&amp;" "&amp;CHAR(10)&amp;'P17'!$F57,'P17'!$E57)</f>
        <v>0</v>
      </c>
      <c r="W61" s="89">
        <f>IF('P18'!$E57&gt;"",'P18'!$E57&amp;" "&amp;CHAR(10)&amp;'P18'!$F57,'P18'!$E57)</f>
        <v>0</v>
      </c>
      <c r="X61" s="89">
        <f>IF('P19'!$E57&gt;"",'P19'!$E57&amp;" "&amp;CHAR(10)&amp;'P19'!$F57,'P19'!$E57)</f>
        <v>0</v>
      </c>
      <c r="Y61" s="89">
        <f>IF('P20'!$E57&gt;"",'P20'!$E57&amp;" "&amp;CHAR(10)&amp;'P20'!$F57,'P20'!$E57)</f>
        <v>0</v>
      </c>
      <c r="Z61" s="89">
        <f>IF('P21'!$E57&gt;"",'P21'!$E57&amp;" "&amp;CHAR(10)&amp;'P21'!$F57,'P21'!$E57)</f>
        <v>0</v>
      </c>
      <c r="AA61" s="89">
        <f>IF('P22'!$E57&gt;"",'P22'!$E57&amp;" "&amp;CHAR(10)&amp;'P22'!$F57,'P22'!$E57)</f>
        <v>0</v>
      </c>
      <c r="AB61" s="89">
        <f>IF('P23'!$E57&gt;"",'P23'!$E57&amp;" "&amp;CHAR(10)&amp;'P23'!$F57,'P23'!$E57)</f>
        <v>0</v>
      </c>
      <c r="AC61" s="89">
        <f>IF('P24'!$E57&gt;"",'P24'!$E57&amp;" "&amp;CHAR(10)&amp;'P24'!$F57,'P24'!$E57)</f>
        <v>0</v>
      </c>
      <c r="AD61" s="89">
        <f>IF('P25'!$E57&gt;"",'P25'!$E57&amp;" "&amp;CHAR(10)&amp;'P25'!$F57,'P25'!$E57)</f>
        <v>0</v>
      </c>
      <c r="AE61" s="89">
        <f>IF('P26'!$E57&gt;"",'P26'!$E57&amp;" "&amp;CHAR(10)&amp;'P26'!$F57,'P26'!$E57)</f>
        <v>0</v>
      </c>
      <c r="AF61" s="89">
        <f>IF('P27'!$E57&gt;"",'P27'!$E57&amp;" "&amp;CHAR(10)&amp;'P27'!$F57,'P27'!$E57)</f>
        <v>0</v>
      </c>
      <c r="AG61" s="89">
        <f>IF('P28'!$E57&gt;"",'P28'!$E57&amp;" "&amp;CHAR(10)&amp;'P28'!$F57,'P28'!$E57)</f>
        <v>0</v>
      </c>
      <c r="AH61" s="89">
        <f>IF('P29'!$E57&gt;"",'P29'!$E57&amp;" "&amp;CHAR(10)&amp;'P29'!$F57,'P29'!$E57)</f>
        <v>0</v>
      </c>
      <c r="AI61" s="89">
        <f>IF('P30'!$E57&gt;"",'P30'!$E57&amp;" "&amp;CHAR(10)&amp;'P30'!$F57,'P30'!$E57)</f>
        <v>0</v>
      </c>
      <c r="AJ61" s="89">
        <f>IF('P31'!$E57&gt;"",'P31'!$E57&amp;" "&amp;CHAR(10)&amp;'P31'!$F57,'P31'!$E57)</f>
        <v>0</v>
      </c>
      <c r="AK61" s="89">
        <f>IF('P32'!$E57&gt;"",'P32'!$E57&amp;" "&amp;CHAR(10)&amp;'P32'!$F57,'P32'!$E57)</f>
        <v>0</v>
      </c>
      <c r="AL61" s="89">
        <f>IF('P33'!$E57&gt;"",'P33'!$E57&amp;" "&amp;CHAR(10)&amp;'P33'!$F57,'P33'!$E57)</f>
        <v>0</v>
      </c>
      <c r="AM61" s="89">
        <f>IF('P34'!$E57&gt;"",'P34'!$E57&amp;" "&amp;CHAR(10)&amp;'P34'!$F57,'P34'!$E57)</f>
        <v>0</v>
      </c>
      <c r="AN61" s="89">
        <f>IF('P35'!$E57&gt;"",'P35'!$E57&amp;" "&amp;CHAR(10)&amp;'P35'!$F57,'P35'!$E57)</f>
        <v>0</v>
      </c>
      <c r="AO61" s="89">
        <f>IF('P36'!$E57&gt;"",'P36'!$E57&amp;" "&amp;CHAR(10)&amp;'P36'!$F57,'P36'!$E57)</f>
        <v>0</v>
      </c>
      <c r="AP61" s="89">
        <f>IF('P37'!$E57&gt;"",'P37'!$E57&amp;" "&amp;CHAR(10)&amp;'P37'!$F57,'P37'!$E57)</f>
        <v>0</v>
      </c>
      <c r="AQ61" s="89">
        <f>IF('P38'!$E57&gt;"",'P38'!$E57&amp;" "&amp;CHAR(10)&amp;'P38'!$F57,'P38'!$E57)</f>
        <v>0</v>
      </c>
      <c r="AR61" s="89">
        <f>IF('P39'!$E57&gt;"",'P39'!$E57&amp;" "&amp;CHAR(10)&amp;'P39'!$F57,'P39'!$E57)</f>
        <v>0</v>
      </c>
      <c r="AS61" s="89">
        <f>IF('P40'!$E57&gt;"",'P40'!$E57&amp;" "&amp;CHAR(10)&amp;'P40'!$F57,'P40'!$E57)</f>
        <v>0</v>
      </c>
      <c r="AT61" s="55">
        <f t="shared" si="5"/>
        <v>0</v>
      </c>
      <c r="AU61" s="9">
        <f t="shared" si="6"/>
        <v>0</v>
      </c>
      <c r="AV61" s="55">
        <f t="shared" si="7"/>
        <v>0</v>
      </c>
      <c r="AW61" s="38" t="str">
        <f t="shared" si="8"/>
        <v>NT</v>
      </c>
      <c r="AX61" s="12"/>
      <c r="AY61" s="10"/>
      <c r="AZ61" s="10"/>
      <c r="BA61" s="10" t="str">
        <f>IF('P01'!$G57&lt;&gt;"", 'P01'!$G57, "non")</f>
        <v>non</v>
      </c>
      <c r="BB61" s="10" t="str">
        <f>IF('P02'!$G57&lt;&gt;"", 'P02'!$G57, "non")</f>
        <v>non</v>
      </c>
      <c r="BC61" s="10" t="str">
        <f>IF('P03'!$G57&lt;&gt;"", 'P03'!$G57, "non")</f>
        <v>non</v>
      </c>
      <c r="BD61" s="10" t="str">
        <f>IF('P04'!$G57&lt;&gt;"", 'P04'!$G57, "non")</f>
        <v>non</v>
      </c>
      <c r="BE61" s="10" t="str">
        <f>IF('P05'!$G57&lt;&gt;"", 'P05'!$G57, "non")</f>
        <v>non</v>
      </c>
      <c r="BF61" s="10" t="str">
        <f>IF('P06'!$G57&lt;&gt;"", 'P06'!$G57, "non")</f>
        <v>non</v>
      </c>
      <c r="BG61" s="10" t="str">
        <f>IF('P07'!$G57&lt;&gt;"", 'P07'!$G57, "non")</f>
        <v>non</v>
      </c>
      <c r="BH61" s="10" t="str">
        <f>IF('P08'!$G57&lt;&gt;"", 'P08'!$G57, "non")</f>
        <v>non</v>
      </c>
      <c r="BI61" s="10" t="str">
        <f>IF('P09'!$G57&lt;&gt;"", 'P09'!$G57, "non")</f>
        <v>non</v>
      </c>
      <c r="BJ61" s="10" t="str">
        <f>IF('P10'!$G57&lt;&gt;"", 'P10'!$G57, "non")</f>
        <v>non</v>
      </c>
      <c r="BK61" s="10" t="str">
        <f>IF('P11'!$G57&lt;&gt;"", 'P11'!$G57, "non")</f>
        <v>non</v>
      </c>
      <c r="BL61" s="10" t="str">
        <f>IF('P12'!$G57&lt;&gt;"", 'P12'!$G57, "non")</f>
        <v>non</v>
      </c>
      <c r="BM61" s="10" t="str">
        <f>IF('P13'!$G57&lt;&gt;"", 'P13'!$G57, "non")</f>
        <v>non</v>
      </c>
      <c r="BN61" s="10" t="str">
        <f>IF('P14'!$G57&lt;&gt;"", 'P14'!$G57, "non")</f>
        <v>non</v>
      </c>
      <c r="BO61" s="10" t="str">
        <f>IF('P15'!$G57&lt;&gt;"", 'P15'!$G57, "non")</f>
        <v>non</v>
      </c>
      <c r="BP61" s="10" t="str">
        <f>IF('P16'!$G57&lt;&gt;"", 'P16'!$G57, "non")</f>
        <v>non</v>
      </c>
      <c r="BQ61" s="10" t="str">
        <f>IF('P17'!$G57&lt;&gt;"", 'P17'!$G57, "non")</f>
        <v>non</v>
      </c>
      <c r="BR61" s="10" t="str">
        <f>IF('P18'!$G57&lt;&gt;"", 'P18'!$G57, "non")</f>
        <v>non</v>
      </c>
      <c r="BS61" s="10" t="str">
        <f>IF('P19'!$G57&lt;&gt;"", 'P19'!$G57, "non")</f>
        <v>non</v>
      </c>
      <c r="BT61" s="11" t="str">
        <f>IF('P20'!$G57&lt;&gt;"", 'P20'!$G57, "non")</f>
        <v>non</v>
      </c>
      <c r="BU61" s="10" t="str">
        <f>IF('P21'!$G57&lt;&gt;"", 'P21'!$G57, "non")</f>
        <v>non</v>
      </c>
      <c r="BV61" s="11" t="str">
        <f>IF('P22'!$G57&lt;&gt;"", 'P22'!$G57, "non")</f>
        <v>non</v>
      </c>
      <c r="BW61" s="10" t="str">
        <f>IF('P23'!$G57&lt;&gt;"", 'P23'!$G57, "non")</f>
        <v>non</v>
      </c>
      <c r="BX61" s="11" t="str">
        <f>IF('P24'!$G57&lt;&gt;"", 'P24'!$G57, "non")</f>
        <v>non</v>
      </c>
      <c r="BY61" s="10" t="str">
        <f>IF('P25'!$G57&lt;&gt;"", 'P25'!$G57, "non")</f>
        <v>non</v>
      </c>
      <c r="BZ61" s="11" t="str">
        <f>IF('P26'!$G57&lt;&gt;"", 'P26'!$G57, "non")</f>
        <v>non</v>
      </c>
      <c r="CA61" s="10" t="str">
        <f>IF('P27'!$G57&lt;&gt;"", 'P27'!$G57, "non")</f>
        <v>non</v>
      </c>
      <c r="CB61" s="11" t="str">
        <f>IF('P28'!$G57&lt;&gt;"", 'P28'!$G57, "non")</f>
        <v>non</v>
      </c>
      <c r="CC61" s="10" t="str">
        <f>IF('P29'!$G57&lt;&gt;"", 'P29'!$G57, "non")</f>
        <v>non</v>
      </c>
      <c r="CD61" s="11" t="str">
        <f>IF('P30'!$G57&lt;&gt;"", 'P30'!$G57, "non")</f>
        <v>non</v>
      </c>
      <c r="CE61" s="10" t="str">
        <f>IF('P31'!$G57&lt;&gt;"", 'P31'!$G57, "non")</f>
        <v>non</v>
      </c>
      <c r="CF61" s="11" t="str">
        <f>IF('P32'!$G57&lt;&gt;"", 'P32'!$G57, "non")</f>
        <v>non</v>
      </c>
      <c r="CG61" s="10" t="str">
        <f>IF('P33'!$G57&lt;&gt;"", 'P33'!$G57, "non")</f>
        <v>non</v>
      </c>
      <c r="CH61" s="10" t="str">
        <f>IF('P34'!$G57&lt;&gt;"", 'P34'!$G57, "non")</f>
        <v>non</v>
      </c>
      <c r="CI61" s="11" t="str">
        <f>IF('P35'!$G57&lt;&gt;"", 'P35'!$G57, "non")</f>
        <v>non</v>
      </c>
      <c r="CJ61" s="10" t="str">
        <f>IF('P36'!$G57&lt;&gt;"", 'P36'!$G57, "non")</f>
        <v>non</v>
      </c>
      <c r="CK61" s="11" t="str">
        <f>IF('P37'!$G57&lt;&gt;"", 'P37'!$G57, "non")</f>
        <v>non</v>
      </c>
      <c r="CL61" s="10" t="str">
        <f>IF('P38'!$G57&lt;&gt;"", 'P38'!$G57, "non")</f>
        <v>non</v>
      </c>
      <c r="CM61" s="11" t="str">
        <f>IF('P39'!$G57&lt;&gt;"", 'P39'!$G57, "non")</f>
        <v>non</v>
      </c>
      <c r="CN61" s="10" t="str">
        <f>IF('P40'!$G57&lt;&gt;"", 'P40'!$G57, "non")</f>
        <v>non</v>
      </c>
    </row>
    <row r="62" spans="1:92" ht="39.75" customHeight="1">
      <c r="A62" s="122" t="str">
        <f>'Critères et tests'!B57</f>
        <v>STRUCTURATION</v>
      </c>
      <c r="B62" s="124" t="str">
        <f>'Critères et tests'!$A57</f>
        <v>9.3</v>
      </c>
      <c r="C62" s="192" t="str">
        <f>VLOOKUP(B62,'Critères et tests'!$1:$1048576,5,FALSE)</f>
        <v>Dans chaque page web, chaque liste est-elle correctement structurée ?</v>
      </c>
      <c r="D62" s="124" t="str">
        <f>'Critères et tests'!$C57</f>
        <v>A</v>
      </c>
      <c r="E62" s="156" t="s">
        <v>460</v>
      </c>
      <c r="F62" s="88">
        <f>IF('P01'!$E58&gt;"",'P01'!$E58&amp;" "&amp;CHAR(10)&amp;'P01'!$F58,'P01'!$E58)</f>
        <v>0</v>
      </c>
      <c r="G62" s="89">
        <f>IF('P02'!$E58&gt;"",'P02'!$E58&amp;" "&amp;CHAR(10)&amp;'P02'!$F58,'P02'!$E58)</f>
        <v>0</v>
      </c>
      <c r="H62" s="89">
        <f>IF('P03'!$E58&gt;"",'P03'!$E58&amp;" "&amp;CHAR(10)&amp;'P03'!$F58,'P03'!$E58)</f>
        <v>0</v>
      </c>
      <c r="I62" s="89">
        <f>IF('P04'!$E58&gt;"",'P04'!$E58&amp;" "&amp;CHAR(10)&amp;'P04'!$F58,'P04'!$E58)</f>
        <v>0</v>
      </c>
      <c r="J62" s="89">
        <f>IF('P05'!$E58&gt;"",'P05'!$E58&amp;" "&amp;CHAR(10)&amp;'P05'!$F58,'P05'!$E58)</f>
        <v>0</v>
      </c>
      <c r="K62" s="89">
        <f>IF('P06'!$E58&gt;"",'P06'!$E58&amp;" "&amp;CHAR(10)&amp;'P06'!$F58,'P06'!$E58)</f>
        <v>0</v>
      </c>
      <c r="L62" s="89">
        <f>IF('P07'!$E58&gt;"",'P07'!$E58&amp;" "&amp;CHAR(10)&amp;'P07'!$F58,'P07'!$E58)</f>
        <v>0</v>
      </c>
      <c r="M62" s="89">
        <f>IF('P08'!$E58&gt;"",'P08'!$E58&amp;" "&amp;CHAR(10)&amp;'P08'!$F58,'P08'!$E58)</f>
        <v>0</v>
      </c>
      <c r="N62" s="89">
        <f>IF('P09'!$E58&gt;"",'P09'!$E58&amp;" "&amp;CHAR(10)&amp;'P09'!$F58,'P09'!$E58)</f>
        <v>0</v>
      </c>
      <c r="O62" s="89">
        <f>IF('P10'!$E58&gt;"",'P10'!$E58&amp;" "&amp;CHAR(10)&amp;'P10'!$F58,'P10'!$E58)</f>
        <v>0</v>
      </c>
      <c r="P62" s="89">
        <f>IF('P11'!$E58&gt;"",'P11'!$E58&amp;" "&amp;CHAR(10)&amp;'P11'!$F58,'P11'!$E58)</f>
        <v>0</v>
      </c>
      <c r="Q62" s="89">
        <f>IF('P12'!$E58&gt;"",'P12'!$E58&amp;" "&amp;CHAR(10)&amp;'P12'!$F58,'P12'!$E58)</f>
        <v>0</v>
      </c>
      <c r="R62" s="89">
        <f>IF('P13'!$E58&gt;"",'P13'!$E58&amp;" "&amp;CHAR(10)&amp;'P13'!$F58,'P13'!$E58)</f>
        <v>0</v>
      </c>
      <c r="S62" s="89">
        <f>IF('P14'!$E58&gt;"",'P14'!$E58&amp;" "&amp;CHAR(10)&amp;'P14'!$F58,'P14'!$E58)</f>
        <v>0</v>
      </c>
      <c r="T62" s="89">
        <f>IF('P15'!$E58&gt;"",'P15'!$E58&amp;" "&amp;CHAR(10)&amp;'P15'!$F58,'P15'!$E58)</f>
        <v>0</v>
      </c>
      <c r="U62" s="89">
        <f>IF('P16'!$E58&gt;"",'P16'!$E58&amp;" "&amp;CHAR(10)&amp;'P16'!$F58,'P16'!$E58)</f>
        <v>0</v>
      </c>
      <c r="V62" s="89">
        <f>IF('P17'!$E58&gt;"",'P17'!$E58&amp;" "&amp;CHAR(10)&amp;'P17'!$F58,'P17'!$E58)</f>
        <v>0</v>
      </c>
      <c r="W62" s="89">
        <f>IF('P18'!$E58&gt;"",'P18'!$E58&amp;" "&amp;CHAR(10)&amp;'P18'!$F58,'P18'!$E58)</f>
        <v>0</v>
      </c>
      <c r="X62" s="89">
        <f>IF('P19'!$E58&gt;"",'P19'!$E58&amp;" "&amp;CHAR(10)&amp;'P19'!$F58,'P19'!$E58)</f>
        <v>0</v>
      </c>
      <c r="Y62" s="89">
        <f>IF('P20'!$E58&gt;"",'P20'!$E58&amp;" "&amp;CHAR(10)&amp;'P20'!$F58,'P20'!$E58)</f>
        <v>0</v>
      </c>
      <c r="Z62" s="89">
        <f>IF('P21'!$E58&gt;"",'P21'!$E58&amp;" "&amp;CHAR(10)&amp;'P21'!$F58,'P21'!$E58)</f>
        <v>0</v>
      </c>
      <c r="AA62" s="89">
        <f>IF('P22'!$E58&gt;"",'P22'!$E58&amp;" "&amp;CHAR(10)&amp;'P22'!$F58,'P22'!$E58)</f>
        <v>0</v>
      </c>
      <c r="AB62" s="89">
        <f>IF('P23'!$E58&gt;"",'P23'!$E58&amp;" "&amp;CHAR(10)&amp;'P23'!$F58,'P23'!$E58)</f>
        <v>0</v>
      </c>
      <c r="AC62" s="89">
        <f>IF('P24'!$E58&gt;"",'P24'!$E58&amp;" "&amp;CHAR(10)&amp;'P24'!$F58,'P24'!$E58)</f>
        <v>0</v>
      </c>
      <c r="AD62" s="89">
        <f>IF('P25'!$E58&gt;"",'P25'!$E58&amp;" "&amp;CHAR(10)&amp;'P25'!$F58,'P25'!$E58)</f>
        <v>0</v>
      </c>
      <c r="AE62" s="89">
        <f>IF('P26'!$E58&gt;"",'P26'!$E58&amp;" "&amp;CHAR(10)&amp;'P26'!$F58,'P26'!$E58)</f>
        <v>0</v>
      </c>
      <c r="AF62" s="89">
        <f>IF('P27'!$E58&gt;"",'P27'!$E58&amp;" "&amp;CHAR(10)&amp;'P27'!$F58,'P27'!$E58)</f>
        <v>0</v>
      </c>
      <c r="AG62" s="89">
        <f>IF('P28'!$E58&gt;"",'P28'!$E58&amp;" "&amp;CHAR(10)&amp;'P28'!$F58,'P28'!$E58)</f>
        <v>0</v>
      </c>
      <c r="AH62" s="89">
        <f>IF('P29'!$E58&gt;"",'P29'!$E58&amp;" "&amp;CHAR(10)&amp;'P29'!$F58,'P29'!$E58)</f>
        <v>0</v>
      </c>
      <c r="AI62" s="89">
        <f>IF('P30'!$E58&gt;"",'P30'!$E58&amp;" "&amp;CHAR(10)&amp;'P30'!$F58,'P30'!$E58)</f>
        <v>0</v>
      </c>
      <c r="AJ62" s="89">
        <f>IF('P31'!$E58&gt;"",'P31'!$E58&amp;" "&amp;CHAR(10)&amp;'P31'!$F58,'P31'!$E58)</f>
        <v>0</v>
      </c>
      <c r="AK62" s="89">
        <f>IF('P32'!$E58&gt;"",'P32'!$E58&amp;" "&amp;CHAR(10)&amp;'P32'!$F58,'P32'!$E58)</f>
        <v>0</v>
      </c>
      <c r="AL62" s="89">
        <f>IF('P33'!$E58&gt;"",'P33'!$E58&amp;" "&amp;CHAR(10)&amp;'P33'!$F58,'P33'!$E58)</f>
        <v>0</v>
      </c>
      <c r="AM62" s="89">
        <f>IF('P34'!$E58&gt;"",'P34'!$E58&amp;" "&amp;CHAR(10)&amp;'P34'!$F58,'P34'!$E58)</f>
        <v>0</v>
      </c>
      <c r="AN62" s="89">
        <f>IF('P35'!$E58&gt;"",'P35'!$E58&amp;" "&amp;CHAR(10)&amp;'P35'!$F58,'P35'!$E58)</f>
        <v>0</v>
      </c>
      <c r="AO62" s="89">
        <f>IF('P36'!$E58&gt;"",'P36'!$E58&amp;" "&amp;CHAR(10)&amp;'P36'!$F58,'P36'!$E58)</f>
        <v>0</v>
      </c>
      <c r="AP62" s="89">
        <f>IF('P37'!$E58&gt;"",'P37'!$E58&amp;" "&amp;CHAR(10)&amp;'P37'!$F58,'P37'!$E58)</f>
        <v>0</v>
      </c>
      <c r="AQ62" s="89">
        <f>IF('P38'!$E58&gt;"",'P38'!$E58&amp;" "&amp;CHAR(10)&amp;'P38'!$F58,'P38'!$E58)</f>
        <v>0</v>
      </c>
      <c r="AR62" s="89">
        <f>IF('P39'!$E58&gt;"",'P39'!$E58&amp;" "&amp;CHAR(10)&amp;'P39'!$F58,'P39'!$E58)</f>
        <v>0</v>
      </c>
      <c r="AS62" s="89">
        <f>IF('P40'!$E58&gt;"",'P40'!$E58&amp;" "&amp;CHAR(10)&amp;'P40'!$F58,'P40'!$E58)</f>
        <v>0</v>
      </c>
      <c r="AT62" s="55">
        <f t="shared" si="5"/>
        <v>0</v>
      </c>
      <c r="AU62" s="9">
        <f t="shared" si="6"/>
        <v>0</v>
      </c>
      <c r="AV62" s="55">
        <f t="shared" si="7"/>
        <v>0</v>
      </c>
      <c r="AW62" s="38" t="str">
        <f t="shared" si="8"/>
        <v>NT</v>
      </c>
      <c r="AX62" s="12"/>
      <c r="AY62" s="10"/>
      <c r="AZ62" s="10"/>
      <c r="BA62" s="10" t="str">
        <f>IF('P01'!$G58&lt;&gt;"", 'P01'!$G58, "non")</f>
        <v>non</v>
      </c>
      <c r="BB62" s="10" t="str">
        <f>IF('P02'!$G58&lt;&gt;"", 'P02'!$G58, "non")</f>
        <v>non</v>
      </c>
      <c r="BC62" s="10" t="str">
        <f>IF('P03'!$G58&lt;&gt;"", 'P03'!$G58, "non")</f>
        <v>non</v>
      </c>
      <c r="BD62" s="10" t="str">
        <f>IF('P04'!$G58&lt;&gt;"", 'P04'!$G58, "non")</f>
        <v>non</v>
      </c>
      <c r="BE62" s="10" t="str">
        <f>IF('P05'!$G58&lt;&gt;"", 'P05'!$G58, "non")</f>
        <v>non</v>
      </c>
      <c r="BF62" s="10" t="str">
        <f>IF('P06'!$G58&lt;&gt;"", 'P06'!$G58, "non")</f>
        <v>non</v>
      </c>
      <c r="BG62" s="10" t="str">
        <f>IF('P07'!$G58&lt;&gt;"", 'P07'!$G58, "non")</f>
        <v>non</v>
      </c>
      <c r="BH62" s="10" t="str">
        <f>IF('P08'!$G58&lt;&gt;"", 'P08'!$G58, "non")</f>
        <v>non</v>
      </c>
      <c r="BI62" s="10" t="str">
        <f>IF('P09'!$G58&lt;&gt;"", 'P09'!$G58, "non")</f>
        <v>non</v>
      </c>
      <c r="BJ62" s="10" t="str">
        <f>IF('P10'!$G58&lt;&gt;"", 'P10'!$G58, "non")</f>
        <v>non</v>
      </c>
      <c r="BK62" s="10" t="str">
        <f>IF('P11'!$G58&lt;&gt;"", 'P11'!$G58, "non")</f>
        <v>non</v>
      </c>
      <c r="BL62" s="10" t="str">
        <f>IF('P12'!$G58&lt;&gt;"", 'P12'!$G58, "non")</f>
        <v>non</v>
      </c>
      <c r="BM62" s="10" t="str">
        <f>IF('P13'!$G58&lt;&gt;"", 'P13'!$G58, "non")</f>
        <v>non</v>
      </c>
      <c r="BN62" s="10" t="str">
        <f>IF('P14'!$G58&lt;&gt;"", 'P14'!$G58, "non")</f>
        <v>non</v>
      </c>
      <c r="BO62" s="10" t="str">
        <f>IF('P15'!$G58&lt;&gt;"", 'P15'!$G58, "non")</f>
        <v>non</v>
      </c>
      <c r="BP62" s="10" t="str">
        <f>IF('P16'!$G58&lt;&gt;"", 'P16'!$G58, "non")</f>
        <v>non</v>
      </c>
      <c r="BQ62" s="10" t="str">
        <f>IF('P17'!$G58&lt;&gt;"", 'P17'!$G58, "non")</f>
        <v>non</v>
      </c>
      <c r="BR62" s="10" t="str">
        <f>IF('P18'!$G58&lt;&gt;"", 'P18'!$G58, "non")</f>
        <v>non</v>
      </c>
      <c r="BS62" s="10" t="str">
        <f>IF('P19'!$G58&lt;&gt;"", 'P19'!$G58, "non")</f>
        <v>non</v>
      </c>
      <c r="BT62" s="11" t="str">
        <f>IF('P20'!$G58&lt;&gt;"", 'P20'!$G58, "non")</f>
        <v>non</v>
      </c>
      <c r="BU62" s="10" t="str">
        <f>IF('P21'!$G58&lt;&gt;"", 'P21'!$G58, "non")</f>
        <v>non</v>
      </c>
      <c r="BV62" s="11" t="str">
        <f>IF('P22'!$G58&lt;&gt;"", 'P22'!$G58, "non")</f>
        <v>non</v>
      </c>
      <c r="BW62" s="10" t="str">
        <f>IF('P23'!$G58&lt;&gt;"", 'P23'!$G58, "non")</f>
        <v>non</v>
      </c>
      <c r="BX62" s="11" t="str">
        <f>IF('P24'!$G58&lt;&gt;"", 'P24'!$G58, "non")</f>
        <v>non</v>
      </c>
      <c r="BY62" s="10" t="str">
        <f>IF('P25'!$G58&lt;&gt;"", 'P25'!$G58, "non")</f>
        <v>non</v>
      </c>
      <c r="BZ62" s="11" t="str">
        <f>IF('P26'!$G58&lt;&gt;"", 'P26'!$G58, "non")</f>
        <v>non</v>
      </c>
      <c r="CA62" s="10" t="str">
        <f>IF('P27'!$G58&lt;&gt;"", 'P27'!$G58, "non")</f>
        <v>non</v>
      </c>
      <c r="CB62" s="11" t="str">
        <f>IF('P28'!$G58&lt;&gt;"", 'P28'!$G58, "non")</f>
        <v>non</v>
      </c>
      <c r="CC62" s="10" t="str">
        <f>IF('P29'!$G58&lt;&gt;"", 'P29'!$G58, "non")</f>
        <v>non</v>
      </c>
      <c r="CD62" s="11" t="str">
        <f>IF('P30'!$G58&lt;&gt;"", 'P30'!$G58, "non")</f>
        <v>non</v>
      </c>
      <c r="CE62" s="10" t="str">
        <f>IF('P31'!$G58&lt;&gt;"", 'P31'!$G58, "non")</f>
        <v>non</v>
      </c>
      <c r="CF62" s="11" t="str">
        <f>IF('P32'!$G58&lt;&gt;"", 'P32'!$G58, "non")</f>
        <v>non</v>
      </c>
      <c r="CG62" s="10" t="str">
        <f>IF('P33'!$G58&lt;&gt;"", 'P33'!$G58, "non")</f>
        <v>non</v>
      </c>
      <c r="CH62" s="10" t="str">
        <f>IF('P34'!$G58&lt;&gt;"", 'P34'!$G58, "non")</f>
        <v>non</v>
      </c>
      <c r="CI62" s="11" t="str">
        <f>IF('P35'!$G58&lt;&gt;"", 'P35'!$G58, "non")</f>
        <v>non</v>
      </c>
      <c r="CJ62" s="10" t="str">
        <f>IF('P36'!$G58&lt;&gt;"", 'P36'!$G58, "non")</f>
        <v>non</v>
      </c>
      <c r="CK62" s="11" t="str">
        <f>IF('P37'!$G58&lt;&gt;"", 'P37'!$G58, "non")</f>
        <v>non</v>
      </c>
      <c r="CL62" s="10" t="str">
        <f>IF('P38'!$G58&lt;&gt;"", 'P38'!$G58, "non")</f>
        <v>non</v>
      </c>
      <c r="CM62" s="11" t="str">
        <f>IF('P39'!$G58&lt;&gt;"", 'P39'!$G58, "non")</f>
        <v>non</v>
      </c>
      <c r="CN62" s="10" t="str">
        <f>IF('P40'!$G58&lt;&gt;"", 'P40'!$G58, "non")</f>
        <v>non</v>
      </c>
    </row>
    <row r="63" spans="1:92" ht="39.75" customHeight="1">
      <c r="A63" s="122" t="str">
        <f>'Critères et tests'!B58</f>
        <v>STRUCTURATION</v>
      </c>
      <c r="B63" s="124" t="str">
        <f>'Critères et tests'!$A58</f>
        <v>9.4</v>
      </c>
      <c r="C63" s="192" t="str">
        <f>VLOOKUP(B63,'Critères et tests'!$1:$1048576,5,FALSE)</f>
        <v>Dans chaque page web, chaque citation est-elle correctement indiquée ?</v>
      </c>
      <c r="D63" s="124" t="str">
        <f>'Critères et tests'!$C58</f>
        <v>A</v>
      </c>
      <c r="E63" s="156" t="s">
        <v>460</v>
      </c>
      <c r="F63" s="88">
        <f>IF('P01'!$E59&gt;"",'P01'!$E59&amp;" "&amp;CHAR(10)&amp;'P01'!$F59,'P01'!$E59)</f>
        <v>0</v>
      </c>
      <c r="G63" s="89">
        <f>IF('P02'!$E59&gt;"",'P02'!$E59&amp;" "&amp;CHAR(10)&amp;'P02'!$F59,'P02'!$E59)</f>
        <v>0</v>
      </c>
      <c r="H63" s="89">
        <f>IF('P03'!$E59&gt;"",'P03'!$E59&amp;" "&amp;CHAR(10)&amp;'P03'!$F59,'P03'!$E59)</f>
        <v>0</v>
      </c>
      <c r="I63" s="89">
        <f>IF('P04'!$E59&gt;"",'P04'!$E59&amp;" "&amp;CHAR(10)&amp;'P04'!$F59,'P04'!$E59)</f>
        <v>0</v>
      </c>
      <c r="J63" s="89">
        <f>IF('P05'!$E59&gt;"",'P05'!$E59&amp;" "&amp;CHAR(10)&amp;'P05'!$F59,'P05'!$E59)</f>
        <v>0</v>
      </c>
      <c r="K63" s="89">
        <f>IF('P06'!$E59&gt;"",'P06'!$E59&amp;" "&amp;CHAR(10)&amp;'P06'!$F59,'P06'!$E59)</f>
        <v>0</v>
      </c>
      <c r="L63" s="89">
        <f>IF('P07'!$E59&gt;"",'P07'!$E59&amp;" "&amp;CHAR(10)&amp;'P07'!$F59,'P07'!$E59)</f>
        <v>0</v>
      </c>
      <c r="M63" s="89">
        <f>IF('P08'!$E59&gt;"",'P08'!$E59&amp;" "&amp;CHAR(10)&amp;'P08'!$F59,'P08'!$E59)</f>
        <v>0</v>
      </c>
      <c r="N63" s="89">
        <f>IF('P09'!$E59&gt;"",'P09'!$E59&amp;" "&amp;CHAR(10)&amp;'P09'!$F59,'P09'!$E59)</f>
        <v>0</v>
      </c>
      <c r="O63" s="89">
        <f>IF('P10'!$E59&gt;"",'P10'!$E59&amp;" "&amp;CHAR(10)&amp;'P10'!$F59,'P10'!$E59)</f>
        <v>0</v>
      </c>
      <c r="P63" s="89">
        <f>IF('P11'!$E59&gt;"",'P11'!$E59&amp;" "&amp;CHAR(10)&amp;'P11'!$F59,'P11'!$E59)</f>
        <v>0</v>
      </c>
      <c r="Q63" s="89">
        <f>IF('P12'!$E59&gt;"",'P12'!$E59&amp;" "&amp;CHAR(10)&amp;'P12'!$F59,'P12'!$E59)</f>
        <v>0</v>
      </c>
      <c r="R63" s="89">
        <f>IF('P13'!$E59&gt;"",'P13'!$E59&amp;" "&amp;CHAR(10)&amp;'P13'!$F59,'P13'!$E59)</f>
        <v>0</v>
      </c>
      <c r="S63" s="89">
        <f>IF('P14'!$E59&gt;"",'P14'!$E59&amp;" "&amp;CHAR(10)&amp;'P14'!$F59,'P14'!$E59)</f>
        <v>0</v>
      </c>
      <c r="T63" s="89">
        <f>IF('P15'!$E59&gt;"",'P15'!$E59&amp;" "&amp;CHAR(10)&amp;'P15'!$F59,'P15'!$E59)</f>
        <v>0</v>
      </c>
      <c r="U63" s="89">
        <f>IF('P16'!$E59&gt;"",'P16'!$E59&amp;" "&amp;CHAR(10)&amp;'P16'!$F59,'P16'!$E59)</f>
        <v>0</v>
      </c>
      <c r="V63" s="89">
        <f>IF('P17'!$E59&gt;"",'P17'!$E59&amp;" "&amp;CHAR(10)&amp;'P17'!$F59,'P17'!$E59)</f>
        <v>0</v>
      </c>
      <c r="W63" s="89">
        <f>IF('P18'!$E59&gt;"",'P18'!$E59&amp;" "&amp;CHAR(10)&amp;'P18'!$F59,'P18'!$E59)</f>
        <v>0</v>
      </c>
      <c r="X63" s="89">
        <f>IF('P19'!$E59&gt;"",'P19'!$E59&amp;" "&amp;CHAR(10)&amp;'P19'!$F59,'P19'!$E59)</f>
        <v>0</v>
      </c>
      <c r="Y63" s="89">
        <f>IF('P20'!$E59&gt;"",'P20'!$E59&amp;" "&amp;CHAR(10)&amp;'P20'!$F59,'P20'!$E59)</f>
        <v>0</v>
      </c>
      <c r="Z63" s="89">
        <f>IF('P21'!$E59&gt;"",'P21'!$E59&amp;" "&amp;CHAR(10)&amp;'P21'!$F59,'P21'!$E59)</f>
        <v>0</v>
      </c>
      <c r="AA63" s="89">
        <f>IF('P22'!$E59&gt;"",'P22'!$E59&amp;" "&amp;CHAR(10)&amp;'P22'!$F59,'P22'!$E59)</f>
        <v>0</v>
      </c>
      <c r="AB63" s="89">
        <f>IF('P23'!$E59&gt;"",'P23'!$E59&amp;" "&amp;CHAR(10)&amp;'P23'!$F59,'P23'!$E59)</f>
        <v>0</v>
      </c>
      <c r="AC63" s="89">
        <f>IF('P24'!$E59&gt;"",'P24'!$E59&amp;" "&amp;CHAR(10)&amp;'P24'!$F59,'P24'!$E59)</f>
        <v>0</v>
      </c>
      <c r="AD63" s="89">
        <f>IF('P25'!$E59&gt;"",'P25'!$E59&amp;" "&amp;CHAR(10)&amp;'P25'!$F59,'P25'!$E59)</f>
        <v>0</v>
      </c>
      <c r="AE63" s="89">
        <f>IF('P26'!$E59&gt;"",'P26'!$E59&amp;" "&amp;CHAR(10)&amp;'P26'!$F59,'P26'!$E59)</f>
        <v>0</v>
      </c>
      <c r="AF63" s="89">
        <f>IF('P27'!$E59&gt;"",'P27'!$E59&amp;" "&amp;CHAR(10)&amp;'P27'!$F59,'P27'!$E59)</f>
        <v>0</v>
      </c>
      <c r="AG63" s="89">
        <f>IF('P28'!$E59&gt;"",'P28'!$E59&amp;" "&amp;CHAR(10)&amp;'P28'!$F59,'P28'!$E59)</f>
        <v>0</v>
      </c>
      <c r="AH63" s="89">
        <f>IF('P29'!$E59&gt;"",'P29'!$E59&amp;" "&amp;CHAR(10)&amp;'P29'!$F59,'P29'!$E59)</f>
        <v>0</v>
      </c>
      <c r="AI63" s="89">
        <f>IF('P30'!$E59&gt;"",'P30'!$E59&amp;" "&amp;CHAR(10)&amp;'P30'!$F59,'P30'!$E59)</f>
        <v>0</v>
      </c>
      <c r="AJ63" s="89">
        <f>IF('P31'!$E59&gt;"",'P31'!$E59&amp;" "&amp;CHAR(10)&amp;'P31'!$F59,'P31'!$E59)</f>
        <v>0</v>
      </c>
      <c r="AK63" s="89">
        <f>IF('P32'!$E59&gt;"",'P32'!$E59&amp;" "&amp;CHAR(10)&amp;'P32'!$F59,'P32'!$E59)</f>
        <v>0</v>
      </c>
      <c r="AL63" s="89">
        <f>IF('P33'!$E59&gt;"",'P33'!$E59&amp;" "&amp;CHAR(10)&amp;'P33'!$F59,'P33'!$E59)</f>
        <v>0</v>
      </c>
      <c r="AM63" s="89">
        <f>IF('P34'!$E59&gt;"",'P34'!$E59&amp;" "&amp;CHAR(10)&amp;'P34'!$F59,'P34'!$E59)</f>
        <v>0</v>
      </c>
      <c r="AN63" s="89">
        <f>IF('P35'!$E59&gt;"",'P35'!$E59&amp;" "&amp;CHAR(10)&amp;'P35'!$F59,'P35'!$E59)</f>
        <v>0</v>
      </c>
      <c r="AO63" s="89">
        <f>IF('P36'!$E59&gt;"",'P36'!$E59&amp;" "&amp;CHAR(10)&amp;'P36'!$F59,'P36'!$E59)</f>
        <v>0</v>
      </c>
      <c r="AP63" s="89">
        <f>IF('P37'!$E59&gt;"",'P37'!$E59&amp;" "&amp;CHAR(10)&amp;'P37'!$F59,'P37'!$E59)</f>
        <v>0</v>
      </c>
      <c r="AQ63" s="89">
        <f>IF('P38'!$E59&gt;"",'P38'!$E59&amp;" "&amp;CHAR(10)&amp;'P38'!$F59,'P38'!$E59)</f>
        <v>0</v>
      </c>
      <c r="AR63" s="89">
        <f>IF('P39'!$E59&gt;"",'P39'!$E59&amp;" "&amp;CHAR(10)&amp;'P39'!$F59,'P39'!$E59)</f>
        <v>0</v>
      </c>
      <c r="AS63" s="89">
        <f>IF('P40'!$E59&gt;"",'P40'!$E59&amp;" "&amp;CHAR(10)&amp;'P40'!$F59,'P40'!$E59)</f>
        <v>0</v>
      </c>
      <c r="AT63" s="55">
        <f t="shared" si="5"/>
        <v>0</v>
      </c>
      <c r="AU63" s="9">
        <f t="shared" si="6"/>
        <v>0</v>
      </c>
      <c r="AV63" s="55">
        <f t="shared" si="7"/>
        <v>0</v>
      </c>
      <c r="AW63" s="38" t="str">
        <f t="shared" si="8"/>
        <v>NT</v>
      </c>
      <c r="AX63" s="12"/>
      <c r="AY63" s="10"/>
      <c r="AZ63" s="10"/>
      <c r="BA63" s="10" t="str">
        <f>IF('P01'!$G59&lt;&gt;"", 'P01'!$G59, "non")</f>
        <v>non</v>
      </c>
      <c r="BB63" s="10" t="str">
        <f>IF('P02'!$G59&lt;&gt;"", 'P02'!$G59, "non")</f>
        <v>non</v>
      </c>
      <c r="BC63" s="10" t="str">
        <f>IF('P03'!$G59&lt;&gt;"", 'P03'!$G59, "non")</f>
        <v>non</v>
      </c>
      <c r="BD63" s="10" t="str">
        <f>IF('P04'!$G59&lt;&gt;"", 'P04'!$G59, "non")</f>
        <v>non</v>
      </c>
      <c r="BE63" s="10" t="str">
        <f>IF('P05'!$G59&lt;&gt;"", 'P05'!$G59, "non")</f>
        <v>non</v>
      </c>
      <c r="BF63" s="10" t="str">
        <f>IF('P06'!$G59&lt;&gt;"", 'P06'!$G59, "non")</f>
        <v>non</v>
      </c>
      <c r="BG63" s="10" t="str">
        <f>IF('P07'!$G59&lt;&gt;"", 'P07'!$G59, "non")</f>
        <v>non</v>
      </c>
      <c r="BH63" s="10" t="str">
        <f>IF('P08'!$G59&lt;&gt;"", 'P08'!$G59, "non")</f>
        <v>non</v>
      </c>
      <c r="BI63" s="10" t="str">
        <f>IF('P09'!$G59&lt;&gt;"", 'P09'!$G59, "non")</f>
        <v>non</v>
      </c>
      <c r="BJ63" s="10" t="str">
        <f>IF('P10'!$G59&lt;&gt;"", 'P10'!$G59, "non")</f>
        <v>non</v>
      </c>
      <c r="BK63" s="10" t="str">
        <f>IF('P11'!$G59&lt;&gt;"", 'P11'!$G59, "non")</f>
        <v>non</v>
      </c>
      <c r="BL63" s="10" t="str">
        <f>IF('P12'!$G59&lt;&gt;"", 'P12'!$G59, "non")</f>
        <v>non</v>
      </c>
      <c r="BM63" s="10" t="str">
        <f>IF('P13'!$G59&lt;&gt;"", 'P13'!$G59, "non")</f>
        <v>non</v>
      </c>
      <c r="BN63" s="10" t="str">
        <f>IF('P14'!$G59&lt;&gt;"", 'P14'!$G59, "non")</f>
        <v>non</v>
      </c>
      <c r="BO63" s="10" t="str">
        <f>IF('P15'!$G59&lt;&gt;"", 'P15'!$G59, "non")</f>
        <v>non</v>
      </c>
      <c r="BP63" s="10" t="str">
        <f>IF('P16'!$G59&lt;&gt;"", 'P16'!$G59, "non")</f>
        <v>non</v>
      </c>
      <c r="BQ63" s="10" t="str">
        <f>IF('P17'!$G59&lt;&gt;"", 'P17'!$G59, "non")</f>
        <v>non</v>
      </c>
      <c r="BR63" s="10" t="str">
        <f>IF('P18'!$G59&lt;&gt;"", 'P18'!$G59, "non")</f>
        <v>non</v>
      </c>
      <c r="BS63" s="10" t="str">
        <f>IF('P19'!$G59&lt;&gt;"", 'P19'!$G59, "non")</f>
        <v>non</v>
      </c>
      <c r="BT63" s="11" t="str">
        <f>IF('P20'!$G59&lt;&gt;"", 'P20'!$G59, "non")</f>
        <v>non</v>
      </c>
      <c r="BU63" s="10" t="str">
        <f>IF('P21'!$G59&lt;&gt;"", 'P21'!$G59, "non")</f>
        <v>non</v>
      </c>
      <c r="BV63" s="11" t="str">
        <f>IF('P22'!$G59&lt;&gt;"", 'P22'!$G59, "non")</f>
        <v>non</v>
      </c>
      <c r="BW63" s="10" t="str">
        <f>IF('P23'!$G59&lt;&gt;"", 'P23'!$G59, "non")</f>
        <v>non</v>
      </c>
      <c r="BX63" s="11" t="str">
        <f>IF('P24'!$G59&lt;&gt;"", 'P24'!$G59, "non")</f>
        <v>non</v>
      </c>
      <c r="BY63" s="10" t="str">
        <f>IF('P25'!$G59&lt;&gt;"", 'P25'!$G59, "non")</f>
        <v>non</v>
      </c>
      <c r="BZ63" s="11" t="str">
        <f>IF('P26'!$G59&lt;&gt;"", 'P26'!$G59, "non")</f>
        <v>non</v>
      </c>
      <c r="CA63" s="10" t="str">
        <f>IF('P27'!$G59&lt;&gt;"", 'P27'!$G59, "non")</f>
        <v>non</v>
      </c>
      <c r="CB63" s="11" t="str">
        <f>IF('P28'!$G59&lt;&gt;"", 'P28'!$G59, "non")</f>
        <v>non</v>
      </c>
      <c r="CC63" s="10" t="str">
        <f>IF('P29'!$G59&lt;&gt;"", 'P29'!$G59, "non")</f>
        <v>non</v>
      </c>
      <c r="CD63" s="11" t="str">
        <f>IF('P30'!$G59&lt;&gt;"", 'P30'!$G59, "non")</f>
        <v>non</v>
      </c>
      <c r="CE63" s="10" t="str">
        <f>IF('P31'!$G59&lt;&gt;"", 'P31'!$G59, "non")</f>
        <v>non</v>
      </c>
      <c r="CF63" s="11" t="str">
        <f>IF('P32'!$G59&lt;&gt;"", 'P32'!$G59, "non")</f>
        <v>non</v>
      </c>
      <c r="CG63" s="10" t="str">
        <f>IF('P33'!$G59&lt;&gt;"", 'P33'!$G59, "non")</f>
        <v>non</v>
      </c>
      <c r="CH63" s="10" t="str">
        <f>IF('P34'!$G59&lt;&gt;"", 'P34'!$G59, "non")</f>
        <v>non</v>
      </c>
      <c r="CI63" s="11" t="str">
        <f>IF('P35'!$G59&lt;&gt;"", 'P35'!$G59, "non")</f>
        <v>non</v>
      </c>
      <c r="CJ63" s="10" t="str">
        <f>IF('P36'!$G59&lt;&gt;"", 'P36'!$G59, "non")</f>
        <v>non</v>
      </c>
      <c r="CK63" s="11" t="str">
        <f>IF('P37'!$G59&lt;&gt;"", 'P37'!$G59, "non")</f>
        <v>non</v>
      </c>
      <c r="CL63" s="10" t="str">
        <f>IF('P38'!$G59&lt;&gt;"", 'P38'!$G59, "non")</f>
        <v>non</v>
      </c>
      <c r="CM63" s="11" t="str">
        <f>IF('P39'!$G59&lt;&gt;"", 'P39'!$G59, "non")</f>
        <v>non</v>
      </c>
      <c r="CN63" s="10" t="str">
        <f>IF('P40'!$G59&lt;&gt;"", 'P40'!$G59, "non")</f>
        <v>non</v>
      </c>
    </row>
    <row r="64" spans="1:92" ht="39.75" customHeight="1">
      <c r="A64" s="122" t="str">
        <f>'Critères et tests'!B59</f>
        <v>PRÉSENTATION</v>
      </c>
      <c r="B64" s="124" t="str">
        <f>'Critères et tests'!$A59</f>
        <v>10.1</v>
      </c>
      <c r="C64" s="192" t="str">
        <f>VLOOKUP(B64,'Critères et tests'!$1:$1048576,5,FALSE)</f>
        <v>Dans le site web, des feuilles de styles sont-elles utilisées pour contrôler la présentation de l’information ?</v>
      </c>
      <c r="D64" s="124" t="str">
        <f>'Critères et tests'!$C59</f>
        <v>A</v>
      </c>
      <c r="E64" s="156" t="s">
        <v>460</v>
      </c>
      <c r="F64" s="88">
        <f>IF('P01'!$E60&gt;"",'P01'!$E60&amp;" "&amp;CHAR(10)&amp;'P01'!$F60,'P01'!$E60)</f>
        <v>0</v>
      </c>
      <c r="G64" s="89">
        <f>IF('P02'!$E60&gt;"",'P02'!$E60&amp;" "&amp;CHAR(10)&amp;'P02'!$F60,'P02'!$E60)</f>
        <v>0</v>
      </c>
      <c r="H64" s="89">
        <f>IF('P03'!$E60&gt;"",'P03'!$E60&amp;" "&amp;CHAR(10)&amp;'P03'!$F60,'P03'!$E60)</f>
        <v>0</v>
      </c>
      <c r="I64" s="89">
        <f>IF('P04'!$E60&gt;"",'P04'!$E60&amp;" "&amp;CHAR(10)&amp;'P04'!$F60,'P04'!$E60)</f>
        <v>0</v>
      </c>
      <c r="J64" s="89">
        <f>IF('P05'!$E60&gt;"",'P05'!$E60&amp;" "&amp;CHAR(10)&amp;'P05'!$F60,'P05'!$E60)</f>
        <v>0</v>
      </c>
      <c r="K64" s="89">
        <f>IF('P06'!$E60&gt;"",'P06'!$E60&amp;" "&amp;CHAR(10)&amp;'P06'!$F60,'P06'!$E60)</f>
        <v>0</v>
      </c>
      <c r="L64" s="89">
        <f>IF('P07'!$E60&gt;"",'P07'!$E60&amp;" "&amp;CHAR(10)&amp;'P07'!$F60,'P07'!$E60)</f>
        <v>0</v>
      </c>
      <c r="M64" s="89">
        <f>IF('P08'!$E60&gt;"",'P08'!$E60&amp;" "&amp;CHAR(10)&amp;'P08'!$F60,'P08'!$E60)</f>
        <v>0</v>
      </c>
      <c r="N64" s="89">
        <f>IF('P09'!$E60&gt;"",'P09'!$E60&amp;" "&amp;CHAR(10)&amp;'P09'!$F60,'P09'!$E60)</f>
        <v>0</v>
      </c>
      <c r="O64" s="89">
        <f>IF('P10'!$E60&gt;"",'P10'!$E60&amp;" "&amp;CHAR(10)&amp;'P10'!$F60,'P10'!$E60)</f>
        <v>0</v>
      </c>
      <c r="P64" s="89">
        <f>IF('P11'!$E60&gt;"",'P11'!$E60&amp;" "&amp;CHAR(10)&amp;'P11'!$F60,'P11'!$E60)</f>
        <v>0</v>
      </c>
      <c r="Q64" s="89">
        <f>IF('P12'!$E60&gt;"",'P12'!$E60&amp;" "&amp;CHAR(10)&amp;'P12'!$F60,'P12'!$E60)</f>
        <v>0</v>
      </c>
      <c r="R64" s="89">
        <f>IF('P13'!$E60&gt;"",'P13'!$E60&amp;" "&amp;CHAR(10)&amp;'P13'!$F60,'P13'!$E60)</f>
        <v>0</v>
      </c>
      <c r="S64" s="89">
        <f>IF('P14'!$E60&gt;"",'P14'!$E60&amp;" "&amp;CHAR(10)&amp;'P14'!$F60,'P14'!$E60)</f>
        <v>0</v>
      </c>
      <c r="T64" s="89">
        <f>IF('P15'!$E60&gt;"",'P15'!$E60&amp;" "&amp;CHAR(10)&amp;'P15'!$F60,'P15'!$E60)</f>
        <v>0</v>
      </c>
      <c r="U64" s="89">
        <f>IF('P16'!$E60&gt;"",'P16'!$E60&amp;" "&amp;CHAR(10)&amp;'P16'!$F60,'P16'!$E60)</f>
        <v>0</v>
      </c>
      <c r="V64" s="89">
        <f>IF('P17'!$E60&gt;"",'P17'!$E60&amp;" "&amp;CHAR(10)&amp;'P17'!$F60,'P17'!$E60)</f>
        <v>0</v>
      </c>
      <c r="W64" s="89">
        <f>IF('P18'!$E60&gt;"",'P18'!$E60&amp;" "&amp;CHAR(10)&amp;'P18'!$F60,'P18'!$E60)</f>
        <v>0</v>
      </c>
      <c r="X64" s="89">
        <f>IF('P19'!$E60&gt;"",'P19'!$E60&amp;" "&amp;CHAR(10)&amp;'P19'!$F60,'P19'!$E60)</f>
        <v>0</v>
      </c>
      <c r="Y64" s="89">
        <f>IF('P20'!$E60&gt;"",'P20'!$E60&amp;" "&amp;CHAR(10)&amp;'P20'!$F60,'P20'!$E60)</f>
        <v>0</v>
      </c>
      <c r="Z64" s="89">
        <f>IF('P21'!$E60&gt;"",'P21'!$E60&amp;" "&amp;CHAR(10)&amp;'P21'!$F60,'P21'!$E60)</f>
        <v>0</v>
      </c>
      <c r="AA64" s="89">
        <f>IF('P22'!$E60&gt;"",'P22'!$E60&amp;" "&amp;CHAR(10)&amp;'P22'!$F60,'P22'!$E60)</f>
        <v>0</v>
      </c>
      <c r="AB64" s="89">
        <f>IF('P23'!$E60&gt;"",'P23'!$E60&amp;" "&amp;CHAR(10)&amp;'P23'!$F60,'P23'!$E60)</f>
        <v>0</v>
      </c>
      <c r="AC64" s="89">
        <f>IF('P24'!$E60&gt;"",'P24'!$E60&amp;" "&amp;CHAR(10)&amp;'P24'!$F60,'P24'!$E60)</f>
        <v>0</v>
      </c>
      <c r="AD64" s="89">
        <f>IF('P25'!$E60&gt;"",'P25'!$E60&amp;" "&amp;CHAR(10)&amp;'P25'!$F60,'P25'!$E60)</f>
        <v>0</v>
      </c>
      <c r="AE64" s="89">
        <f>IF('P26'!$E60&gt;"",'P26'!$E60&amp;" "&amp;CHAR(10)&amp;'P26'!$F60,'P26'!$E60)</f>
        <v>0</v>
      </c>
      <c r="AF64" s="89">
        <f>IF('P27'!$E60&gt;"",'P27'!$E60&amp;" "&amp;CHAR(10)&amp;'P27'!$F60,'P27'!$E60)</f>
        <v>0</v>
      </c>
      <c r="AG64" s="89">
        <f>IF('P28'!$E60&gt;"",'P28'!$E60&amp;" "&amp;CHAR(10)&amp;'P28'!$F60,'P28'!$E60)</f>
        <v>0</v>
      </c>
      <c r="AH64" s="89">
        <f>IF('P29'!$E60&gt;"",'P29'!$E60&amp;" "&amp;CHAR(10)&amp;'P29'!$F60,'P29'!$E60)</f>
        <v>0</v>
      </c>
      <c r="AI64" s="89">
        <f>IF('P30'!$E60&gt;"",'P30'!$E60&amp;" "&amp;CHAR(10)&amp;'P30'!$F60,'P30'!$E60)</f>
        <v>0</v>
      </c>
      <c r="AJ64" s="89">
        <f>IF('P31'!$E60&gt;"",'P31'!$E60&amp;" "&amp;CHAR(10)&amp;'P31'!$F60,'P31'!$E60)</f>
        <v>0</v>
      </c>
      <c r="AK64" s="89">
        <f>IF('P32'!$E60&gt;"",'P32'!$E60&amp;" "&amp;CHAR(10)&amp;'P32'!$F60,'P32'!$E60)</f>
        <v>0</v>
      </c>
      <c r="AL64" s="89">
        <f>IF('P33'!$E60&gt;"",'P33'!$E60&amp;" "&amp;CHAR(10)&amp;'P33'!$F60,'P33'!$E60)</f>
        <v>0</v>
      </c>
      <c r="AM64" s="89">
        <f>IF('P34'!$E60&gt;"",'P34'!$E60&amp;" "&amp;CHAR(10)&amp;'P34'!$F60,'P34'!$E60)</f>
        <v>0</v>
      </c>
      <c r="AN64" s="89">
        <f>IF('P35'!$E60&gt;"",'P35'!$E60&amp;" "&amp;CHAR(10)&amp;'P35'!$F60,'P35'!$E60)</f>
        <v>0</v>
      </c>
      <c r="AO64" s="89">
        <f>IF('P36'!$E60&gt;"",'P36'!$E60&amp;" "&amp;CHAR(10)&amp;'P36'!$F60,'P36'!$E60)</f>
        <v>0</v>
      </c>
      <c r="AP64" s="89">
        <f>IF('P37'!$E60&gt;"",'P37'!$E60&amp;" "&amp;CHAR(10)&amp;'P37'!$F60,'P37'!$E60)</f>
        <v>0</v>
      </c>
      <c r="AQ64" s="89">
        <f>IF('P38'!$E60&gt;"",'P38'!$E60&amp;" "&amp;CHAR(10)&amp;'P38'!$F60,'P38'!$E60)</f>
        <v>0</v>
      </c>
      <c r="AR64" s="89">
        <f>IF('P39'!$E60&gt;"",'P39'!$E60&amp;" "&amp;CHAR(10)&amp;'P39'!$F60,'P39'!$E60)</f>
        <v>0</v>
      </c>
      <c r="AS64" s="89">
        <f>IF('P40'!$E60&gt;"",'P40'!$E60&amp;" "&amp;CHAR(10)&amp;'P40'!$F60,'P40'!$E60)</f>
        <v>0</v>
      </c>
      <c r="AT64" s="55">
        <f t="shared" si="5"/>
        <v>0</v>
      </c>
      <c r="AU64" s="9">
        <f t="shared" si="6"/>
        <v>0</v>
      </c>
      <c r="AV64" s="55">
        <f t="shared" si="7"/>
        <v>0</v>
      </c>
      <c r="AW64" s="38" t="str">
        <f t="shared" si="8"/>
        <v>NT</v>
      </c>
      <c r="AX64" s="12"/>
      <c r="AY64" s="10"/>
      <c r="AZ64" s="10"/>
      <c r="BA64" s="10" t="str">
        <f>IF('P01'!$G60&lt;&gt;"", 'P01'!$G60, "non")</f>
        <v>non</v>
      </c>
      <c r="BB64" s="10" t="str">
        <f>IF('P02'!$G60&lt;&gt;"", 'P02'!$G60, "non")</f>
        <v>non</v>
      </c>
      <c r="BC64" s="10" t="str">
        <f>IF('P03'!$G60&lt;&gt;"", 'P03'!$G60, "non")</f>
        <v>non</v>
      </c>
      <c r="BD64" s="10" t="str">
        <f>IF('P04'!$G60&lt;&gt;"", 'P04'!$G60, "non")</f>
        <v>non</v>
      </c>
      <c r="BE64" s="10" t="str">
        <f>IF('P05'!$G60&lt;&gt;"", 'P05'!$G60, "non")</f>
        <v>non</v>
      </c>
      <c r="BF64" s="10" t="str">
        <f>IF('P06'!$G60&lt;&gt;"", 'P06'!$G60, "non")</f>
        <v>non</v>
      </c>
      <c r="BG64" s="10" t="str">
        <f>IF('P07'!$G60&lt;&gt;"", 'P07'!$G60, "non")</f>
        <v>non</v>
      </c>
      <c r="BH64" s="10" t="str">
        <f>IF('P08'!$G60&lt;&gt;"", 'P08'!$G60, "non")</f>
        <v>non</v>
      </c>
      <c r="BI64" s="10" t="str">
        <f>IF('P09'!$G60&lt;&gt;"", 'P09'!$G60, "non")</f>
        <v>non</v>
      </c>
      <c r="BJ64" s="10" t="str">
        <f>IF('P10'!$G60&lt;&gt;"", 'P10'!$G60, "non")</f>
        <v>non</v>
      </c>
      <c r="BK64" s="10" t="str">
        <f>IF('P11'!$G60&lt;&gt;"", 'P11'!$G60, "non")</f>
        <v>non</v>
      </c>
      <c r="BL64" s="10" t="str">
        <f>IF('P12'!$G60&lt;&gt;"", 'P12'!$G60, "non")</f>
        <v>non</v>
      </c>
      <c r="BM64" s="10" t="str">
        <f>IF('P13'!$G60&lt;&gt;"", 'P13'!$G60, "non")</f>
        <v>non</v>
      </c>
      <c r="BN64" s="10" t="str">
        <f>IF('P14'!$G60&lt;&gt;"", 'P14'!$G60, "non")</f>
        <v>non</v>
      </c>
      <c r="BO64" s="10" t="str">
        <f>IF('P15'!$G60&lt;&gt;"", 'P15'!$G60, "non")</f>
        <v>non</v>
      </c>
      <c r="BP64" s="10" t="str">
        <f>IF('P16'!$G60&lt;&gt;"", 'P16'!$G60, "non")</f>
        <v>non</v>
      </c>
      <c r="BQ64" s="10" t="str">
        <f>IF('P17'!$G60&lt;&gt;"", 'P17'!$G60, "non")</f>
        <v>non</v>
      </c>
      <c r="BR64" s="10" t="str">
        <f>IF('P18'!$G60&lt;&gt;"", 'P18'!$G60, "non")</f>
        <v>non</v>
      </c>
      <c r="BS64" s="10" t="str">
        <f>IF('P19'!$G60&lt;&gt;"", 'P19'!$G60, "non")</f>
        <v>non</v>
      </c>
      <c r="BT64" s="11" t="str">
        <f>IF('P20'!$G60&lt;&gt;"", 'P20'!$G60, "non")</f>
        <v>non</v>
      </c>
      <c r="BU64" s="10" t="str">
        <f>IF('P21'!$G60&lt;&gt;"", 'P21'!$G60, "non")</f>
        <v>non</v>
      </c>
      <c r="BV64" s="11" t="str">
        <f>IF('P22'!$G60&lt;&gt;"", 'P22'!$G60, "non")</f>
        <v>non</v>
      </c>
      <c r="BW64" s="10" t="str">
        <f>IF('P23'!$G60&lt;&gt;"", 'P23'!$G60, "non")</f>
        <v>non</v>
      </c>
      <c r="BX64" s="11" t="str">
        <f>IF('P24'!$G60&lt;&gt;"", 'P24'!$G60, "non")</f>
        <v>non</v>
      </c>
      <c r="BY64" s="10" t="str">
        <f>IF('P25'!$G60&lt;&gt;"", 'P25'!$G60, "non")</f>
        <v>non</v>
      </c>
      <c r="BZ64" s="11" t="str">
        <f>IF('P26'!$G60&lt;&gt;"", 'P26'!$G60, "non")</f>
        <v>non</v>
      </c>
      <c r="CA64" s="10" t="str">
        <f>IF('P27'!$G60&lt;&gt;"", 'P27'!$G60, "non")</f>
        <v>non</v>
      </c>
      <c r="CB64" s="11" t="str">
        <f>IF('P28'!$G60&lt;&gt;"", 'P28'!$G60, "non")</f>
        <v>non</v>
      </c>
      <c r="CC64" s="10" t="str">
        <f>IF('P29'!$G60&lt;&gt;"", 'P29'!$G60, "non")</f>
        <v>non</v>
      </c>
      <c r="CD64" s="11" t="str">
        <f>IF('P30'!$G60&lt;&gt;"", 'P30'!$G60, "non")</f>
        <v>non</v>
      </c>
      <c r="CE64" s="10" t="str">
        <f>IF('P31'!$G60&lt;&gt;"", 'P31'!$G60, "non")</f>
        <v>non</v>
      </c>
      <c r="CF64" s="11" t="str">
        <f>IF('P32'!$G60&lt;&gt;"", 'P32'!$G60, "non")</f>
        <v>non</v>
      </c>
      <c r="CG64" s="10" t="str">
        <f>IF('P33'!$G60&lt;&gt;"", 'P33'!$G60, "non")</f>
        <v>non</v>
      </c>
      <c r="CH64" s="10" t="str">
        <f>IF('P34'!$G60&lt;&gt;"", 'P34'!$G60, "non")</f>
        <v>non</v>
      </c>
      <c r="CI64" s="11" t="str">
        <f>IF('P35'!$G60&lt;&gt;"", 'P35'!$G60, "non")</f>
        <v>non</v>
      </c>
      <c r="CJ64" s="10" t="str">
        <f>IF('P36'!$G60&lt;&gt;"", 'P36'!$G60, "non")</f>
        <v>non</v>
      </c>
      <c r="CK64" s="11" t="str">
        <f>IF('P37'!$G60&lt;&gt;"", 'P37'!$G60, "non")</f>
        <v>non</v>
      </c>
      <c r="CL64" s="10" t="str">
        <f>IF('P38'!$G60&lt;&gt;"", 'P38'!$G60, "non")</f>
        <v>non</v>
      </c>
      <c r="CM64" s="11" t="str">
        <f>IF('P39'!$G60&lt;&gt;"", 'P39'!$G60, "non")</f>
        <v>non</v>
      </c>
      <c r="CN64" s="10" t="str">
        <f>IF('P40'!$G60&lt;&gt;"", 'P40'!$G60, "non")</f>
        <v>non</v>
      </c>
    </row>
    <row r="65" spans="1:92" ht="39.75" customHeight="1">
      <c r="A65" s="122" t="str">
        <f>'Critères et tests'!B60</f>
        <v>PRÉSENTATION</v>
      </c>
      <c r="B65" s="124" t="str">
        <f>'Critères et tests'!$A60</f>
        <v>10.2</v>
      </c>
      <c r="C65" s="192" t="str">
        <f>VLOOKUP(B65,'Critères et tests'!$1:$1048576,5,FALSE)</f>
        <v>Dans chaque page web, le contenu visible porteur d’information reste-t-il présent lorsque les feuilles de styles sont désactivées ?</v>
      </c>
      <c r="D65" s="124" t="str">
        <f>'Critères et tests'!$C60</f>
        <v>A</v>
      </c>
      <c r="E65" s="156" t="s">
        <v>460</v>
      </c>
      <c r="F65" s="88">
        <f>IF('P01'!$E61&gt;"",'P01'!$E61&amp;" "&amp;CHAR(10)&amp;'P01'!$F61,'P01'!$E61)</f>
        <v>0</v>
      </c>
      <c r="G65" s="89">
        <f>IF('P02'!$E61&gt;"",'P02'!$E61&amp;" "&amp;CHAR(10)&amp;'P02'!$F61,'P02'!$E61)</f>
        <v>0</v>
      </c>
      <c r="H65" s="89">
        <f>IF('P03'!$E61&gt;"",'P03'!$E61&amp;" "&amp;CHAR(10)&amp;'P03'!$F61,'P03'!$E61)</f>
        <v>0</v>
      </c>
      <c r="I65" s="89">
        <f>IF('P04'!$E61&gt;"",'P04'!$E61&amp;" "&amp;CHAR(10)&amp;'P04'!$F61,'P04'!$E61)</f>
        <v>0</v>
      </c>
      <c r="J65" s="89">
        <f>IF('P05'!$E61&gt;"",'P05'!$E61&amp;" "&amp;CHAR(10)&amp;'P05'!$F61,'P05'!$E61)</f>
        <v>0</v>
      </c>
      <c r="K65" s="89">
        <f>IF('P06'!$E61&gt;"",'P06'!$E61&amp;" "&amp;CHAR(10)&amp;'P06'!$F61,'P06'!$E61)</f>
        <v>0</v>
      </c>
      <c r="L65" s="89">
        <f>IF('P07'!$E61&gt;"",'P07'!$E61&amp;" "&amp;CHAR(10)&amp;'P07'!$F61,'P07'!$E61)</f>
        <v>0</v>
      </c>
      <c r="M65" s="89">
        <f>IF('P08'!$E61&gt;"",'P08'!$E61&amp;" "&amp;CHAR(10)&amp;'P08'!$F61,'P08'!$E61)</f>
        <v>0</v>
      </c>
      <c r="N65" s="89">
        <f>IF('P09'!$E61&gt;"",'P09'!$E61&amp;" "&amp;CHAR(10)&amp;'P09'!$F61,'P09'!$E61)</f>
        <v>0</v>
      </c>
      <c r="O65" s="89">
        <f>IF('P10'!$E61&gt;"",'P10'!$E61&amp;" "&amp;CHAR(10)&amp;'P10'!$F61,'P10'!$E61)</f>
        <v>0</v>
      </c>
      <c r="P65" s="89">
        <f>IF('P11'!$E61&gt;"",'P11'!$E61&amp;" "&amp;CHAR(10)&amp;'P11'!$F61,'P11'!$E61)</f>
        <v>0</v>
      </c>
      <c r="Q65" s="89">
        <f>IF('P12'!$E61&gt;"",'P12'!$E61&amp;" "&amp;CHAR(10)&amp;'P12'!$F61,'P12'!$E61)</f>
        <v>0</v>
      </c>
      <c r="R65" s="89">
        <f>IF('P13'!$E61&gt;"",'P13'!$E61&amp;" "&amp;CHAR(10)&amp;'P13'!$F61,'P13'!$E61)</f>
        <v>0</v>
      </c>
      <c r="S65" s="89">
        <f>IF('P14'!$E61&gt;"",'P14'!$E61&amp;" "&amp;CHAR(10)&amp;'P14'!$F61,'P14'!$E61)</f>
        <v>0</v>
      </c>
      <c r="T65" s="89">
        <f>IF('P15'!$E61&gt;"",'P15'!$E61&amp;" "&amp;CHAR(10)&amp;'P15'!$F61,'P15'!$E61)</f>
        <v>0</v>
      </c>
      <c r="U65" s="89">
        <f>IF('P16'!$E61&gt;"",'P16'!$E61&amp;" "&amp;CHAR(10)&amp;'P16'!$F61,'P16'!$E61)</f>
        <v>0</v>
      </c>
      <c r="V65" s="89">
        <f>IF('P17'!$E61&gt;"",'P17'!$E61&amp;" "&amp;CHAR(10)&amp;'P17'!$F61,'P17'!$E61)</f>
        <v>0</v>
      </c>
      <c r="W65" s="89">
        <f>IF('P18'!$E61&gt;"",'P18'!$E61&amp;" "&amp;CHAR(10)&amp;'P18'!$F61,'P18'!$E61)</f>
        <v>0</v>
      </c>
      <c r="X65" s="89">
        <f>IF('P19'!$E61&gt;"",'P19'!$E61&amp;" "&amp;CHAR(10)&amp;'P19'!$F61,'P19'!$E61)</f>
        <v>0</v>
      </c>
      <c r="Y65" s="89">
        <f>IF('P20'!$E61&gt;"",'P20'!$E61&amp;" "&amp;CHAR(10)&amp;'P20'!$F61,'P20'!$E61)</f>
        <v>0</v>
      </c>
      <c r="Z65" s="89">
        <f>IF('P21'!$E61&gt;"",'P21'!$E61&amp;" "&amp;CHAR(10)&amp;'P21'!$F61,'P21'!$E61)</f>
        <v>0</v>
      </c>
      <c r="AA65" s="89">
        <f>IF('P22'!$E61&gt;"",'P22'!$E61&amp;" "&amp;CHAR(10)&amp;'P22'!$F61,'P22'!$E61)</f>
        <v>0</v>
      </c>
      <c r="AB65" s="89">
        <f>IF('P23'!$E61&gt;"",'P23'!$E61&amp;" "&amp;CHAR(10)&amp;'P23'!$F61,'P23'!$E61)</f>
        <v>0</v>
      </c>
      <c r="AC65" s="89">
        <f>IF('P24'!$E61&gt;"",'P24'!$E61&amp;" "&amp;CHAR(10)&amp;'P24'!$F61,'P24'!$E61)</f>
        <v>0</v>
      </c>
      <c r="AD65" s="89">
        <f>IF('P25'!$E61&gt;"",'P25'!$E61&amp;" "&amp;CHAR(10)&amp;'P25'!$F61,'P25'!$E61)</f>
        <v>0</v>
      </c>
      <c r="AE65" s="89">
        <f>IF('P26'!$E61&gt;"",'P26'!$E61&amp;" "&amp;CHAR(10)&amp;'P26'!$F61,'P26'!$E61)</f>
        <v>0</v>
      </c>
      <c r="AF65" s="89">
        <f>IF('P27'!$E61&gt;"",'P27'!$E61&amp;" "&amp;CHAR(10)&amp;'P27'!$F61,'P27'!$E61)</f>
        <v>0</v>
      </c>
      <c r="AG65" s="89">
        <f>IF('P28'!$E61&gt;"",'P28'!$E61&amp;" "&amp;CHAR(10)&amp;'P28'!$F61,'P28'!$E61)</f>
        <v>0</v>
      </c>
      <c r="AH65" s="89">
        <f>IF('P29'!$E61&gt;"",'P29'!$E61&amp;" "&amp;CHAR(10)&amp;'P29'!$F61,'P29'!$E61)</f>
        <v>0</v>
      </c>
      <c r="AI65" s="89">
        <f>IF('P30'!$E61&gt;"",'P30'!$E61&amp;" "&amp;CHAR(10)&amp;'P30'!$F61,'P30'!$E61)</f>
        <v>0</v>
      </c>
      <c r="AJ65" s="89">
        <f>IF('P31'!$E61&gt;"",'P31'!$E61&amp;" "&amp;CHAR(10)&amp;'P31'!$F61,'P31'!$E61)</f>
        <v>0</v>
      </c>
      <c r="AK65" s="89">
        <f>IF('P32'!$E61&gt;"",'P32'!$E61&amp;" "&amp;CHAR(10)&amp;'P32'!$F61,'P32'!$E61)</f>
        <v>0</v>
      </c>
      <c r="AL65" s="89">
        <f>IF('P33'!$E61&gt;"",'P33'!$E61&amp;" "&amp;CHAR(10)&amp;'P33'!$F61,'P33'!$E61)</f>
        <v>0</v>
      </c>
      <c r="AM65" s="89">
        <f>IF('P34'!$E61&gt;"",'P34'!$E61&amp;" "&amp;CHAR(10)&amp;'P34'!$F61,'P34'!$E61)</f>
        <v>0</v>
      </c>
      <c r="AN65" s="89">
        <f>IF('P35'!$E61&gt;"",'P35'!$E61&amp;" "&amp;CHAR(10)&amp;'P35'!$F61,'P35'!$E61)</f>
        <v>0</v>
      </c>
      <c r="AO65" s="89">
        <f>IF('P36'!$E61&gt;"",'P36'!$E61&amp;" "&amp;CHAR(10)&amp;'P36'!$F61,'P36'!$E61)</f>
        <v>0</v>
      </c>
      <c r="AP65" s="89">
        <f>IF('P37'!$E61&gt;"",'P37'!$E61&amp;" "&amp;CHAR(10)&amp;'P37'!$F61,'P37'!$E61)</f>
        <v>0</v>
      </c>
      <c r="AQ65" s="89">
        <f>IF('P38'!$E61&gt;"",'P38'!$E61&amp;" "&amp;CHAR(10)&amp;'P38'!$F61,'P38'!$E61)</f>
        <v>0</v>
      </c>
      <c r="AR65" s="89">
        <f>IF('P39'!$E61&gt;"",'P39'!$E61&amp;" "&amp;CHAR(10)&amp;'P39'!$F61,'P39'!$E61)</f>
        <v>0</v>
      </c>
      <c r="AS65" s="89">
        <f>IF('P40'!$E61&gt;"",'P40'!$E61&amp;" "&amp;CHAR(10)&amp;'P40'!$F61,'P40'!$E61)</f>
        <v>0</v>
      </c>
      <c r="AT65" s="55">
        <f t="shared" si="5"/>
        <v>0</v>
      </c>
      <c r="AU65" s="9">
        <f t="shared" si="6"/>
        <v>0</v>
      </c>
      <c r="AV65" s="55">
        <f t="shared" si="7"/>
        <v>0</v>
      </c>
      <c r="AW65" s="38" t="str">
        <f t="shared" si="8"/>
        <v>NT</v>
      </c>
      <c r="AX65" s="12"/>
      <c r="AY65" s="10"/>
      <c r="AZ65" s="10"/>
      <c r="BA65" s="10" t="str">
        <f>IF('P01'!$G61&lt;&gt;"", 'P01'!$G61, "non")</f>
        <v>non</v>
      </c>
      <c r="BB65" s="10" t="str">
        <f>IF('P02'!$G61&lt;&gt;"", 'P02'!$G61, "non")</f>
        <v>non</v>
      </c>
      <c r="BC65" s="10" t="str">
        <f>IF('P03'!$G61&lt;&gt;"", 'P03'!$G61, "non")</f>
        <v>non</v>
      </c>
      <c r="BD65" s="10" t="str">
        <f>IF('P04'!$G61&lt;&gt;"", 'P04'!$G61, "non")</f>
        <v>non</v>
      </c>
      <c r="BE65" s="10" t="str">
        <f>IF('P05'!$G61&lt;&gt;"", 'P05'!$G61, "non")</f>
        <v>non</v>
      </c>
      <c r="BF65" s="10" t="str">
        <f>IF('P06'!$G61&lt;&gt;"", 'P06'!$G61, "non")</f>
        <v>non</v>
      </c>
      <c r="BG65" s="10" t="str">
        <f>IF('P07'!$G61&lt;&gt;"", 'P07'!$G61, "non")</f>
        <v>non</v>
      </c>
      <c r="BH65" s="10" t="str">
        <f>IF('P08'!$G61&lt;&gt;"", 'P08'!$G61, "non")</f>
        <v>non</v>
      </c>
      <c r="BI65" s="10" t="str">
        <f>IF('P09'!$G61&lt;&gt;"", 'P09'!$G61, "non")</f>
        <v>non</v>
      </c>
      <c r="BJ65" s="10" t="str">
        <f>IF('P10'!$G61&lt;&gt;"", 'P10'!$G61, "non")</f>
        <v>non</v>
      </c>
      <c r="BK65" s="10" t="str">
        <f>IF('P11'!$G61&lt;&gt;"", 'P11'!$G61, "non")</f>
        <v>non</v>
      </c>
      <c r="BL65" s="10" t="str">
        <f>IF('P12'!$G61&lt;&gt;"", 'P12'!$G61, "non")</f>
        <v>non</v>
      </c>
      <c r="BM65" s="10" t="str">
        <f>IF('P13'!$G61&lt;&gt;"", 'P13'!$G61, "non")</f>
        <v>non</v>
      </c>
      <c r="BN65" s="10" t="str">
        <f>IF('P14'!$G61&lt;&gt;"", 'P14'!$G61, "non")</f>
        <v>non</v>
      </c>
      <c r="BO65" s="10" t="str">
        <f>IF('P15'!$G61&lt;&gt;"", 'P15'!$G61, "non")</f>
        <v>non</v>
      </c>
      <c r="BP65" s="10" t="str">
        <f>IF('P16'!$G61&lt;&gt;"", 'P16'!$G61, "non")</f>
        <v>non</v>
      </c>
      <c r="BQ65" s="10" t="str">
        <f>IF('P17'!$G61&lt;&gt;"", 'P17'!$G61, "non")</f>
        <v>non</v>
      </c>
      <c r="BR65" s="10" t="str">
        <f>IF('P18'!$G61&lt;&gt;"", 'P18'!$G61, "non")</f>
        <v>non</v>
      </c>
      <c r="BS65" s="10" t="str">
        <f>IF('P19'!$G61&lt;&gt;"", 'P19'!$G61, "non")</f>
        <v>non</v>
      </c>
      <c r="BT65" s="11" t="str">
        <f>IF('P20'!$G61&lt;&gt;"", 'P20'!$G61, "non")</f>
        <v>non</v>
      </c>
      <c r="BU65" s="10" t="str">
        <f>IF('P21'!$G61&lt;&gt;"", 'P21'!$G61, "non")</f>
        <v>non</v>
      </c>
      <c r="BV65" s="11" t="str">
        <f>IF('P22'!$G61&lt;&gt;"", 'P22'!$G61, "non")</f>
        <v>non</v>
      </c>
      <c r="BW65" s="10" t="str">
        <f>IF('P23'!$G61&lt;&gt;"", 'P23'!$G61, "non")</f>
        <v>non</v>
      </c>
      <c r="BX65" s="11" t="str">
        <f>IF('P24'!$G61&lt;&gt;"", 'P24'!$G61, "non")</f>
        <v>non</v>
      </c>
      <c r="BY65" s="10" t="str">
        <f>IF('P25'!$G61&lt;&gt;"", 'P25'!$G61, "non")</f>
        <v>non</v>
      </c>
      <c r="BZ65" s="11" t="str">
        <f>IF('P26'!$G61&lt;&gt;"", 'P26'!$G61, "non")</f>
        <v>non</v>
      </c>
      <c r="CA65" s="10" t="str">
        <f>IF('P27'!$G61&lt;&gt;"", 'P27'!$G61, "non")</f>
        <v>non</v>
      </c>
      <c r="CB65" s="11" t="str">
        <f>IF('P28'!$G61&lt;&gt;"", 'P28'!$G61, "non")</f>
        <v>non</v>
      </c>
      <c r="CC65" s="10" t="str">
        <f>IF('P29'!$G61&lt;&gt;"", 'P29'!$G61, "non")</f>
        <v>non</v>
      </c>
      <c r="CD65" s="11" t="str">
        <f>IF('P30'!$G61&lt;&gt;"", 'P30'!$G61, "non")</f>
        <v>non</v>
      </c>
      <c r="CE65" s="10" t="str">
        <f>IF('P31'!$G61&lt;&gt;"", 'P31'!$G61, "non")</f>
        <v>non</v>
      </c>
      <c r="CF65" s="11" t="str">
        <f>IF('P32'!$G61&lt;&gt;"", 'P32'!$G61, "non")</f>
        <v>non</v>
      </c>
      <c r="CG65" s="10" t="str">
        <f>IF('P33'!$G61&lt;&gt;"", 'P33'!$G61, "non")</f>
        <v>non</v>
      </c>
      <c r="CH65" s="10" t="str">
        <f>IF('P34'!$G61&lt;&gt;"", 'P34'!$G61, "non")</f>
        <v>non</v>
      </c>
      <c r="CI65" s="11" t="str">
        <f>IF('P35'!$G61&lt;&gt;"", 'P35'!$G61, "non")</f>
        <v>non</v>
      </c>
      <c r="CJ65" s="10" t="str">
        <f>IF('P36'!$G61&lt;&gt;"", 'P36'!$G61, "non")</f>
        <v>non</v>
      </c>
      <c r="CK65" s="11" t="str">
        <f>IF('P37'!$G61&lt;&gt;"", 'P37'!$G61, "non")</f>
        <v>non</v>
      </c>
      <c r="CL65" s="10" t="str">
        <f>IF('P38'!$G61&lt;&gt;"", 'P38'!$G61, "non")</f>
        <v>non</v>
      </c>
      <c r="CM65" s="11" t="str">
        <f>IF('P39'!$G61&lt;&gt;"", 'P39'!$G61, "non")</f>
        <v>non</v>
      </c>
      <c r="CN65" s="10" t="str">
        <f>IF('P40'!$G61&lt;&gt;"", 'P40'!$G61, "non")</f>
        <v>non</v>
      </c>
    </row>
    <row r="66" spans="1:92" ht="39.75" customHeight="1">
      <c r="A66" s="122" t="str">
        <f>'Critères et tests'!B61</f>
        <v>PRÉSENTATION</v>
      </c>
      <c r="B66" s="124" t="str">
        <f>'Critères et tests'!$A61</f>
        <v>10.3</v>
      </c>
      <c r="C66" s="192" t="str">
        <f>VLOOKUP(B66,'Critères et tests'!$1:$1048576,5,FALSE)</f>
        <v>Dans chaque page web, l’information reste-t-elle compréhensible lorsque les feuilles de styles sont désactivées ?</v>
      </c>
      <c r="D66" s="124" t="str">
        <f>'Critères et tests'!$C61</f>
        <v>A</v>
      </c>
      <c r="E66" s="156" t="s">
        <v>460</v>
      </c>
      <c r="F66" s="88">
        <f>IF('P01'!$E62&gt;"",'P01'!$E62&amp;" "&amp;CHAR(10)&amp;'P01'!$F62,'P01'!$E62)</f>
        <v>0</v>
      </c>
      <c r="G66" s="89">
        <f>IF('P02'!$E62&gt;"",'P02'!$E62&amp;" "&amp;CHAR(10)&amp;'P02'!$F62,'P02'!$E62)</f>
        <v>0</v>
      </c>
      <c r="H66" s="89">
        <f>IF('P03'!$E62&gt;"",'P03'!$E62&amp;" "&amp;CHAR(10)&amp;'P03'!$F62,'P03'!$E62)</f>
        <v>0</v>
      </c>
      <c r="I66" s="89">
        <f>IF('P04'!$E62&gt;"",'P04'!$E62&amp;" "&amp;CHAR(10)&amp;'P04'!$F62,'P04'!$E62)</f>
        <v>0</v>
      </c>
      <c r="J66" s="89">
        <f>IF('P05'!$E62&gt;"",'P05'!$E62&amp;" "&amp;CHAR(10)&amp;'P05'!$F62,'P05'!$E62)</f>
        <v>0</v>
      </c>
      <c r="K66" s="89">
        <f>IF('P06'!$E62&gt;"",'P06'!$E62&amp;" "&amp;CHAR(10)&amp;'P06'!$F62,'P06'!$E62)</f>
        <v>0</v>
      </c>
      <c r="L66" s="89">
        <f>IF('P07'!$E62&gt;"",'P07'!$E62&amp;" "&amp;CHAR(10)&amp;'P07'!$F62,'P07'!$E62)</f>
        <v>0</v>
      </c>
      <c r="M66" s="89">
        <f>IF('P08'!$E62&gt;"",'P08'!$E62&amp;" "&amp;CHAR(10)&amp;'P08'!$F62,'P08'!$E62)</f>
        <v>0</v>
      </c>
      <c r="N66" s="89">
        <f>IF('P09'!$E62&gt;"",'P09'!$E62&amp;" "&amp;CHAR(10)&amp;'P09'!$F62,'P09'!$E62)</f>
        <v>0</v>
      </c>
      <c r="O66" s="89">
        <f>IF('P10'!$E62&gt;"",'P10'!$E62&amp;" "&amp;CHAR(10)&amp;'P10'!$F62,'P10'!$E62)</f>
        <v>0</v>
      </c>
      <c r="P66" s="89">
        <f>IF('P11'!$E62&gt;"",'P11'!$E62&amp;" "&amp;CHAR(10)&amp;'P11'!$F62,'P11'!$E62)</f>
        <v>0</v>
      </c>
      <c r="Q66" s="89">
        <f>IF('P12'!$E62&gt;"",'P12'!$E62&amp;" "&amp;CHAR(10)&amp;'P12'!$F62,'P12'!$E62)</f>
        <v>0</v>
      </c>
      <c r="R66" s="89">
        <f>IF('P13'!$E62&gt;"",'P13'!$E62&amp;" "&amp;CHAR(10)&amp;'P13'!$F62,'P13'!$E62)</f>
        <v>0</v>
      </c>
      <c r="S66" s="89">
        <f>IF('P14'!$E62&gt;"",'P14'!$E62&amp;" "&amp;CHAR(10)&amp;'P14'!$F62,'P14'!$E62)</f>
        <v>0</v>
      </c>
      <c r="T66" s="89">
        <f>IF('P15'!$E62&gt;"",'P15'!$E62&amp;" "&amp;CHAR(10)&amp;'P15'!$F62,'P15'!$E62)</f>
        <v>0</v>
      </c>
      <c r="U66" s="89">
        <f>IF('P16'!$E62&gt;"",'P16'!$E62&amp;" "&amp;CHAR(10)&amp;'P16'!$F62,'P16'!$E62)</f>
        <v>0</v>
      </c>
      <c r="V66" s="89">
        <f>IF('P17'!$E62&gt;"",'P17'!$E62&amp;" "&amp;CHAR(10)&amp;'P17'!$F62,'P17'!$E62)</f>
        <v>0</v>
      </c>
      <c r="W66" s="89">
        <f>IF('P18'!$E62&gt;"",'P18'!$E62&amp;" "&amp;CHAR(10)&amp;'P18'!$F62,'P18'!$E62)</f>
        <v>0</v>
      </c>
      <c r="X66" s="89">
        <f>IF('P19'!$E62&gt;"",'P19'!$E62&amp;" "&amp;CHAR(10)&amp;'P19'!$F62,'P19'!$E62)</f>
        <v>0</v>
      </c>
      <c r="Y66" s="89">
        <f>IF('P20'!$E62&gt;"",'P20'!$E62&amp;" "&amp;CHAR(10)&amp;'P20'!$F62,'P20'!$E62)</f>
        <v>0</v>
      </c>
      <c r="Z66" s="89">
        <f>IF('P21'!$E62&gt;"",'P21'!$E62&amp;" "&amp;CHAR(10)&amp;'P21'!$F62,'P21'!$E62)</f>
        <v>0</v>
      </c>
      <c r="AA66" s="89">
        <f>IF('P22'!$E62&gt;"",'P22'!$E62&amp;" "&amp;CHAR(10)&amp;'P22'!$F62,'P22'!$E62)</f>
        <v>0</v>
      </c>
      <c r="AB66" s="89">
        <f>IF('P23'!$E62&gt;"",'P23'!$E62&amp;" "&amp;CHAR(10)&amp;'P23'!$F62,'P23'!$E62)</f>
        <v>0</v>
      </c>
      <c r="AC66" s="89">
        <f>IF('P24'!$E62&gt;"",'P24'!$E62&amp;" "&amp;CHAR(10)&amp;'P24'!$F62,'P24'!$E62)</f>
        <v>0</v>
      </c>
      <c r="AD66" s="89">
        <f>IF('P25'!$E62&gt;"",'P25'!$E62&amp;" "&amp;CHAR(10)&amp;'P25'!$F62,'P25'!$E62)</f>
        <v>0</v>
      </c>
      <c r="AE66" s="89">
        <f>IF('P26'!$E62&gt;"",'P26'!$E62&amp;" "&amp;CHAR(10)&amp;'P26'!$F62,'P26'!$E62)</f>
        <v>0</v>
      </c>
      <c r="AF66" s="89">
        <f>IF('P27'!$E62&gt;"",'P27'!$E62&amp;" "&amp;CHAR(10)&amp;'P27'!$F62,'P27'!$E62)</f>
        <v>0</v>
      </c>
      <c r="AG66" s="89">
        <f>IF('P28'!$E62&gt;"",'P28'!$E62&amp;" "&amp;CHAR(10)&amp;'P28'!$F62,'P28'!$E62)</f>
        <v>0</v>
      </c>
      <c r="AH66" s="89">
        <f>IF('P29'!$E62&gt;"",'P29'!$E62&amp;" "&amp;CHAR(10)&amp;'P29'!$F62,'P29'!$E62)</f>
        <v>0</v>
      </c>
      <c r="AI66" s="89">
        <f>IF('P30'!$E62&gt;"",'P30'!$E62&amp;" "&amp;CHAR(10)&amp;'P30'!$F62,'P30'!$E62)</f>
        <v>0</v>
      </c>
      <c r="AJ66" s="89">
        <f>IF('P31'!$E62&gt;"",'P31'!$E62&amp;" "&amp;CHAR(10)&amp;'P31'!$F62,'P31'!$E62)</f>
        <v>0</v>
      </c>
      <c r="AK66" s="89">
        <f>IF('P32'!$E62&gt;"",'P32'!$E62&amp;" "&amp;CHAR(10)&amp;'P32'!$F62,'P32'!$E62)</f>
        <v>0</v>
      </c>
      <c r="AL66" s="89">
        <f>IF('P33'!$E62&gt;"",'P33'!$E62&amp;" "&amp;CHAR(10)&amp;'P33'!$F62,'P33'!$E62)</f>
        <v>0</v>
      </c>
      <c r="AM66" s="89">
        <f>IF('P34'!$E62&gt;"",'P34'!$E62&amp;" "&amp;CHAR(10)&amp;'P34'!$F62,'P34'!$E62)</f>
        <v>0</v>
      </c>
      <c r="AN66" s="89">
        <f>IF('P35'!$E62&gt;"",'P35'!$E62&amp;" "&amp;CHAR(10)&amp;'P35'!$F62,'P35'!$E62)</f>
        <v>0</v>
      </c>
      <c r="AO66" s="89">
        <f>IF('P36'!$E62&gt;"",'P36'!$E62&amp;" "&amp;CHAR(10)&amp;'P36'!$F62,'P36'!$E62)</f>
        <v>0</v>
      </c>
      <c r="AP66" s="89">
        <f>IF('P37'!$E62&gt;"",'P37'!$E62&amp;" "&amp;CHAR(10)&amp;'P37'!$F62,'P37'!$E62)</f>
        <v>0</v>
      </c>
      <c r="AQ66" s="89">
        <f>IF('P38'!$E62&gt;"",'P38'!$E62&amp;" "&amp;CHAR(10)&amp;'P38'!$F62,'P38'!$E62)</f>
        <v>0</v>
      </c>
      <c r="AR66" s="89">
        <f>IF('P39'!$E62&gt;"",'P39'!$E62&amp;" "&amp;CHAR(10)&amp;'P39'!$F62,'P39'!$E62)</f>
        <v>0</v>
      </c>
      <c r="AS66" s="89">
        <f>IF('P40'!$E62&gt;"",'P40'!$E62&amp;" "&amp;CHAR(10)&amp;'P40'!$F62,'P40'!$E62)</f>
        <v>0</v>
      </c>
      <c r="AT66" s="55">
        <f t="shared" si="5"/>
        <v>0</v>
      </c>
      <c r="AU66" s="9">
        <f t="shared" si="6"/>
        <v>0</v>
      </c>
      <c r="AV66" s="55">
        <f t="shared" si="7"/>
        <v>0</v>
      </c>
      <c r="AW66" s="38" t="str">
        <f t="shared" si="8"/>
        <v>NT</v>
      </c>
      <c r="AX66" s="12"/>
      <c r="AY66" s="10"/>
      <c r="AZ66" s="10"/>
      <c r="BA66" s="10" t="str">
        <f>IF('P01'!$G62&lt;&gt;"", 'P01'!$G62, "non")</f>
        <v>non</v>
      </c>
      <c r="BB66" s="10" t="str">
        <f>IF('P02'!$G62&lt;&gt;"", 'P02'!$G62, "non")</f>
        <v>non</v>
      </c>
      <c r="BC66" s="10" t="str">
        <f>IF('P03'!$G62&lt;&gt;"", 'P03'!$G62, "non")</f>
        <v>non</v>
      </c>
      <c r="BD66" s="10" t="str">
        <f>IF('P04'!$G62&lt;&gt;"", 'P04'!$G62, "non")</f>
        <v>non</v>
      </c>
      <c r="BE66" s="10" t="str">
        <f>IF('P05'!$G62&lt;&gt;"", 'P05'!$G62, "non")</f>
        <v>non</v>
      </c>
      <c r="BF66" s="10" t="str">
        <f>IF('P06'!$G62&lt;&gt;"", 'P06'!$G62, "non")</f>
        <v>non</v>
      </c>
      <c r="BG66" s="10" t="str">
        <f>IF('P07'!$G62&lt;&gt;"", 'P07'!$G62, "non")</f>
        <v>non</v>
      </c>
      <c r="BH66" s="10" t="str">
        <f>IF('P08'!$G62&lt;&gt;"", 'P08'!$G62, "non")</f>
        <v>non</v>
      </c>
      <c r="BI66" s="10" t="str">
        <f>IF('P09'!$G62&lt;&gt;"", 'P09'!$G62, "non")</f>
        <v>non</v>
      </c>
      <c r="BJ66" s="10" t="str">
        <f>IF('P10'!$G62&lt;&gt;"", 'P10'!$G62, "non")</f>
        <v>non</v>
      </c>
      <c r="BK66" s="10" t="str">
        <f>IF('P11'!$G62&lt;&gt;"", 'P11'!$G62, "non")</f>
        <v>non</v>
      </c>
      <c r="BL66" s="10" t="str">
        <f>IF('P12'!$G62&lt;&gt;"", 'P12'!$G62, "non")</f>
        <v>non</v>
      </c>
      <c r="BM66" s="10" t="str">
        <f>IF('P13'!$G62&lt;&gt;"", 'P13'!$G62, "non")</f>
        <v>non</v>
      </c>
      <c r="BN66" s="10" t="str">
        <f>IF('P14'!$G62&lt;&gt;"", 'P14'!$G62, "non")</f>
        <v>non</v>
      </c>
      <c r="BO66" s="10" t="str">
        <f>IF('P15'!$G62&lt;&gt;"", 'P15'!$G62, "non")</f>
        <v>non</v>
      </c>
      <c r="BP66" s="10" t="str">
        <f>IF('P16'!$G62&lt;&gt;"", 'P16'!$G62, "non")</f>
        <v>non</v>
      </c>
      <c r="BQ66" s="10" t="str">
        <f>IF('P17'!$G62&lt;&gt;"", 'P17'!$G62, "non")</f>
        <v>non</v>
      </c>
      <c r="BR66" s="10" t="str">
        <f>IF('P18'!$G62&lt;&gt;"", 'P18'!$G62, "non")</f>
        <v>non</v>
      </c>
      <c r="BS66" s="10" t="str">
        <f>IF('P19'!$G62&lt;&gt;"", 'P19'!$G62, "non")</f>
        <v>non</v>
      </c>
      <c r="BT66" s="11" t="str">
        <f>IF('P20'!$G62&lt;&gt;"", 'P20'!$G62, "non")</f>
        <v>non</v>
      </c>
      <c r="BU66" s="10" t="str">
        <f>IF('P21'!$G62&lt;&gt;"", 'P21'!$G62, "non")</f>
        <v>non</v>
      </c>
      <c r="BV66" s="11" t="str">
        <f>IF('P22'!$G62&lt;&gt;"", 'P22'!$G62, "non")</f>
        <v>non</v>
      </c>
      <c r="BW66" s="10" t="str">
        <f>IF('P23'!$G62&lt;&gt;"", 'P23'!$G62, "non")</f>
        <v>non</v>
      </c>
      <c r="BX66" s="11" t="str">
        <f>IF('P24'!$G62&lt;&gt;"", 'P24'!$G62, "non")</f>
        <v>non</v>
      </c>
      <c r="BY66" s="10" t="str">
        <f>IF('P25'!$G62&lt;&gt;"", 'P25'!$G62, "non")</f>
        <v>non</v>
      </c>
      <c r="BZ66" s="11" t="str">
        <f>IF('P26'!$G62&lt;&gt;"", 'P26'!$G62, "non")</f>
        <v>non</v>
      </c>
      <c r="CA66" s="10" t="str">
        <f>IF('P27'!$G62&lt;&gt;"", 'P27'!$G62, "non")</f>
        <v>non</v>
      </c>
      <c r="CB66" s="11" t="str">
        <f>IF('P28'!$G62&lt;&gt;"", 'P28'!$G62, "non")</f>
        <v>non</v>
      </c>
      <c r="CC66" s="10" t="str">
        <f>IF('P29'!$G62&lt;&gt;"", 'P29'!$G62, "non")</f>
        <v>non</v>
      </c>
      <c r="CD66" s="11" t="str">
        <f>IF('P30'!$G62&lt;&gt;"", 'P30'!$G62, "non")</f>
        <v>non</v>
      </c>
      <c r="CE66" s="10" t="str">
        <f>IF('P31'!$G62&lt;&gt;"", 'P31'!$G62, "non")</f>
        <v>non</v>
      </c>
      <c r="CF66" s="11" t="str">
        <f>IF('P32'!$G62&lt;&gt;"", 'P32'!$G62, "non")</f>
        <v>non</v>
      </c>
      <c r="CG66" s="10" t="str">
        <f>IF('P33'!$G62&lt;&gt;"", 'P33'!$G62, "non")</f>
        <v>non</v>
      </c>
      <c r="CH66" s="10" t="str">
        <f>IF('P34'!$G62&lt;&gt;"", 'P34'!$G62, "non")</f>
        <v>non</v>
      </c>
      <c r="CI66" s="11" t="str">
        <f>IF('P35'!$G62&lt;&gt;"", 'P35'!$G62, "non")</f>
        <v>non</v>
      </c>
      <c r="CJ66" s="10" t="str">
        <f>IF('P36'!$G62&lt;&gt;"", 'P36'!$G62, "non")</f>
        <v>non</v>
      </c>
      <c r="CK66" s="11" t="str">
        <f>IF('P37'!$G62&lt;&gt;"", 'P37'!$G62, "non")</f>
        <v>non</v>
      </c>
      <c r="CL66" s="10" t="str">
        <f>IF('P38'!$G62&lt;&gt;"", 'P38'!$G62, "non")</f>
        <v>non</v>
      </c>
      <c r="CM66" s="11" t="str">
        <f>IF('P39'!$G62&lt;&gt;"", 'P39'!$G62, "non")</f>
        <v>non</v>
      </c>
      <c r="CN66" s="10" t="str">
        <f>IF('P40'!$G62&lt;&gt;"", 'P40'!$G62, "non")</f>
        <v>non</v>
      </c>
    </row>
    <row r="67" spans="1:92" ht="39.75" customHeight="1">
      <c r="A67" s="122" t="str">
        <f>'Critères et tests'!B62</f>
        <v>PRÉSENTATION</v>
      </c>
      <c r="B67" s="124" t="str">
        <f>'Critères et tests'!$A62</f>
        <v>10.4</v>
      </c>
      <c r="C67" s="192" t="str">
        <f>VLOOKUP(B67,'Critères et tests'!$1:$1048576,5,FALSE)</f>
        <v>Dans chaque page web, le texte reste-t-il lisible lorsque la taille des caractères est augmentée jusqu’à 200%, au moins (hors cas particuliers) ?</v>
      </c>
      <c r="D67" s="124" t="str">
        <f>'Critères et tests'!$C62</f>
        <v>AA</v>
      </c>
      <c r="E67" s="156" t="s">
        <v>460</v>
      </c>
      <c r="F67" s="88">
        <f>IF('P01'!$E63&gt;"",'P01'!$E63&amp;" "&amp;CHAR(10)&amp;'P01'!$F63,'P01'!$E63)</f>
        <v>0</v>
      </c>
      <c r="G67" s="89">
        <f>IF('P02'!$E63&gt;"",'P02'!$E63&amp;" "&amp;CHAR(10)&amp;'P02'!$F63,'P02'!$E63)</f>
        <v>0</v>
      </c>
      <c r="H67" s="89">
        <f>IF('P03'!$E63&gt;"",'P03'!$E63&amp;" "&amp;CHAR(10)&amp;'P03'!$F63,'P03'!$E63)</f>
        <v>0</v>
      </c>
      <c r="I67" s="89">
        <f>IF('P04'!$E63&gt;"",'P04'!$E63&amp;" "&amp;CHAR(10)&amp;'P04'!$F63,'P04'!$E63)</f>
        <v>0</v>
      </c>
      <c r="J67" s="89">
        <f>IF('P05'!$E63&gt;"",'P05'!$E63&amp;" "&amp;CHAR(10)&amp;'P05'!$F63,'P05'!$E63)</f>
        <v>0</v>
      </c>
      <c r="K67" s="89">
        <f>IF('P06'!$E63&gt;"",'P06'!$E63&amp;" "&amp;CHAR(10)&amp;'P06'!$F63,'P06'!$E63)</f>
        <v>0</v>
      </c>
      <c r="L67" s="89">
        <f>IF('P07'!$E63&gt;"",'P07'!$E63&amp;" "&amp;CHAR(10)&amp;'P07'!$F63,'P07'!$E63)</f>
        <v>0</v>
      </c>
      <c r="M67" s="89">
        <f>IF('P08'!$E63&gt;"",'P08'!$E63&amp;" "&amp;CHAR(10)&amp;'P08'!$F63,'P08'!$E63)</f>
        <v>0</v>
      </c>
      <c r="N67" s="89">
        <f>IF('P09'!$E63&gt;"",'P09'!$E63&amp;" "&amp;CHAR(10)&amp;'P09'!$F63,'P09'!$E63)</f>
        <v>0</v>
      </c>
      <c r="O67" s="89">
        <f>IF('P10'!$E63&gt;"",'P10'!$E63&amp;" "&amp;CHAR(10)&amp;'P10'!$F63,'P10'!$E63)</f>
        <v>0</v>
      </c>
      <c r="P67" s="89">
        <f>IF('P11'!$E63&gt;"",'P11'!$E63&amp;" "&amp;CHAR(10)&amp;'P11'!$F63,'P11'!$E63)</f>
        <v>0</v>
      </c>
      <c r="Q67" s="89">
        <f>IF('P12'!$E63&gt;"",'P12'!$E63&amp;" "&amp;CHAR(10)&amp;'P12'!$F63,'P12'!$E63)</f>
        <v>0</v>
      </c>
      <c r="R67" s="89">
        <f>IF('P13'!$E63&gt;"",'P13'!$E63&amp;" "&amp;CHAR(10)&amp;'P13'!$F63,'P13'!$E63)</f>
        <v>0</v>
      </c>
      <c r="S67" s="89">
        <f>IF('P14'!$E63&gt;"",'P14'!$E63&amp;" "&amp;CHAR(10)&amp;'P14'!$F63,'P14'!$E63)</f>
        <v>0</v>
      </c>
      <c r="T67" s="89">
        <f>IF('P15'!$E63&gt;"",'P15'!$E63&amp;" "&amp;CHAR(10)&amp;'P15'!$F63,'P15'!$E63)</f>
        <v>0</v>
      </c>
      <c r="U67" s="89">
        <f>IF('P16'!$E63&gt;"",'P16'!$E63&amp;" "&amp;CHAR(10)&amp;'P16'!$F63,'P16'!$E63)</f>
        <v>0</v>
      </c>
      <c r="V67" s="89">
        <f>IF('P17'!$E63&gt;"",'P17'!$E63&amp;" "&amp;CHAR(10)&amp;'P17'!$F63,'P17'!$E63)</f>
        <v>0</v>
      </c>
      <c r="W67" s="89">
        <f>IF('P18'!$E63&gt;"",'P18'!$E63&amp;" "&amp;CHAR(10)&amp;'P18'!$F63,'P18'!$E63)</f>
        <v>0</v>
      </c>
      <c r="X67" s="89">
        <f>IF('P19'!$E63&gt;"",'P19'!$E63&amp;" "&amp;CHAR(10)&amp;'P19'!$F63,'P19'!$E63)</f>
        <v>0</v>
      </c>
      <c r="Y67" s="89">
        <f>IF('P20'!$E63&gt;"",'P20'!$E63&amp;" "&amp;CHAR(10)&amp;'P20'!$F63,'P20'!$E63)</f>
        <v>0</v>
      </c>
      <c r="Z67" s="89">
        <f>IF('P21'!$E63&gt;"",'P21'!$E63&amp;" "&amp;CHAR(10)&amp;'P21'!$F63,'P21'!$E63)</f>
        <v>0</v>
      </c>
      <c r="AA67" s="89">
        <f>IF('P22'!$E63&gt;"",'P22'!$E63&amp;" "&amp;CHAR(10)&amp;'P22'!$F63,'P22'!$E63)</f>
        <v>0</v>
      </c>
      <c r="AB67" s="89">
        <f>IF('P23'!$E63&gt;"",'P23'!$E63&amp;" "&amp;CHAR(10)&amp;'P23'!$F63,'P23'!$E63)</f>
        <v>0</v>
      </c>
      <c r="AC67" s="89">
        <f>IF('P24'!$E63&gt;"",'P24'!$E63&amp;" "&amp;CHAR(10)&amp;'P24'!$F63,'P24'!$E63)</f>
        <v>0</v>
      </c>
      <c r="AD67" s="89">
        <f>IF('P25'!$E63&gt;"",'P25'!$E63&amp;" "&amp;CHAR(10)&amp;'P25'!$F63,'P25'!$E63)</f>
        <v>0</v>
      </c>
      <c r="AE67" s="89">
        <f>IF('P26'!$E63&gt;"",'P26'!$E63&amp;" "&amp;CHAR(10)&amp;'P26'!$F63,'P26'!$E63)</f>
        <v>0</v>
      </c>
      <c r="AF67" s="89">
        <f>IF('P27'!$E63&gt;"",'P27'!$E63&amp;" "&amp;CHAR(10)&amp;'P27'!$F63,'P27'!$E63)</f>
        <v>0</v>
      </c>
      <c r="AG67" s="89">
        <f>IF('P28'!$E63&gt;"",'P28'!$E63&amp;" "&amp;CHAR(10)&amp;'P28'!$F63,'P28'!$E63)</f>
        <v>0</v>
      </c>
      <c r="AH67" s="89">
        <f>IF('P29'!$E63&gt;"",'P29'!$E63&amp;" "&amp;CHAR(10)&amp;'P29'!$F63,'P29'!$E63)</f>
        <v>0</v>
      </c>
      <c r="AI67" s="89">
        <f>IF('P30'!$E63&gt;"",'P30'!$E63&amp;" "&amp;CHAR(10)&amp;'P30'!$F63,'P30'!$E63)</f>
        <v>0</v>
      </c>
      <c r="AJ67" s="89">
        <f>IF('P31'!$E63&gt;"",'P31'!$E63&amp;" "&amp;CHAR(10)&amp;'P31'!$F63,'P31'!$E63)</f>
        <v>0</v>
      </c>
      <c r="AK67" s="89">
        <f>IF('P32'!$E63&gt;"",'P32'!$E63&amp;" "&amp;CHAR(10)&amp;'P32'!$F63,'P32'!$E63)</f>
        <v>0</v>
      </c>
      <c r="AL67" s="89">
        <f>IF('P33'!$E63&gt;"",'P33'!$E63&amp;" "&amp;CHAR(10)&amp;'P33'!$F63,'P33'!$E63)</f>
        <v>0</v>
      </c>
      <c r="AM67" s="89">
        <f>IF('P34'!$E63&gt;"",'P34'!$E63&amp;" "&amp;CHAR(10)&amp;'P34'!$F63,'P34'!$E63)</f>
        <v>0</v>
      </c>
      <c r="AN67" s="89">
        <f>IF('P35'!$E63&gt;"",'P35'!$E63&amp;" "&amp;CHAR(10)&amp;'P35'!$F63,'P35'!$E63)</f>
        <v>0</v>
      </c>
      <c r="AO67" s="89">
        <f>IF('P36'!$E63&gt;"",'P36'!$E63&amp;" "&amp;CHAR(10)&amp;'P36'!$F63,'P36'!$E63)</f>
        <v>0</v>
      </c>
      <c r="AP67" s="89">
        <f>IF('P37'!$E63&gt;"",'P37'!$E63&amp;" "&amp;CHAR(10)&amp;'P37'!$F63,'P37'!$E63)</f>
        <v>0</v>
      </c>
      <c r="AQ67" s="89">
        <f>IF('P38'!$E63&gt;"",'P38'!$E63&amp;" "&amp;CHAR(10)&amp;'P38'!$F63,'P38'!$E63)</f>
        <v>0</v>
      </c>
      <c r="AR67" s="89">
        <f>IF('P39'!$E63&gt;"",'P39'!$E63&amp;" "&amp;CHAR(10)&amp;'P39'!$F63,'P39'!$E63)</f>
        <v>0</v>
      </c>
      <c r="AS67" s="89">
        <f>IF('P40'!$E63&gt;"",'P40'!$E63&amp;" "&amp;CHAR(10)&amp;'P40'!$F63,'P40'!$E63)</f>
        <v>0</v>
      </c>
      <c r="AT67" s="55">
        <f t="shared" si="5"/>
        <v>0</v>
      </c>
      <c r="AU67" s="9">
        <f t="shared" si="6"/>
        <v>0</v>
      </c>
      <c r="AV67" s="55">
        <f t="shared" si="7"/>
        <v>0</v>
      </c>
      <c r="AW67" s="38" t="str">
        <f t="shared" si="8"/>
        <v>NT</v>
      </c>
      <c r="AX67" s="12"/>
      <c r="AY67" s="10"/>
      <c r="AZ67" s="10"/>
      <c r="BA67" s="10" t="str">
        <f>IF('P01'!$G63&lt;&gt;"", 'P01'!$G63, "non")</f>
        <v>non</v>
      </c>
      <c r="BB67" s="10" t="str">
        <f>IF('P02'!$G63&lt;&gt;"", 'P02'!$G63, "non")</f>
        <v>non</v>
      </c>
      <c r="BC67" s="10" t="str">
        <f>IF('P03'!$G63&lt;&gt;"", 'P03'!$G63, "non")</f>
        <v>non</v>
      </c>
      <c r="BD67" s="10" t="str">
        <f>IF('P04'!$G63&lt;&gt;"", 'P04'!$G63, "non")</f>
        <v>non</v>
      </c>
      <c r="BE67" s="10" t="str">
        <f>IF('P05'!$G63&lt;&gt;"", 'P05'!$G63, "non")</f>
        <v>non</v>
      </c>
      <c r="BF67" s="10" t="str">
        <f>IF('P06'!$G63&lt;&gt;"", 'P06'!$G63, "non")</f>
        <v>non</v>
      </c>
      <c r="BG67" s="10" t="str">
        <f>IF('P07'!$G63&lt;&gt;"", 'P07'!$G63, "non")</f>
        <v>non</v>
      </c>
      <c r="BH67" s="10" t="str">
        <f>IF('P08'!$G63&lt;&gt;"", 'P08'!$G63, "non")</f>
        <v>non</v>
      </c>
      <c r="BI67" s="10" t="str">
        <f>IF('P09'!$G63&lt;&gt;"", 'P09'!$G63, "non")</f>
        <v>non</v>
      </c>
      <c r="BJ67" s="10" t="str">
        <f>IF('P10'!$G63&lt;&gt;"", 'P10'!$G63, "non")</f>
        <v>non</v>
      </c>
      <c r="BK67" s="10" t="str">
        <f>IF('P11'!$G63&lt;&gt;"", 'P11'!$G63, "non")</f>
        <v>non</v>
      </c>
      <c r="BL67" s="10" t="str">
        <f>IF('P12'!$G63&lt;&gt;"", 'P12'!$G63, "non")</f>
        <v>non</v>
      </c>
      <c r="BM67" s="10" t="str">
        <f>IF('P13'!$G63&lt;&gt;"", 'P13'!$G63, "non")</f>
        <v>non</v>
      </c>
      <c r="BN67" s="10" t="str">
        <f>IF('P14'!$G63&lt;&gt;"", 'P14'!$G63, "non")</f>
        <v>non</v>
      </c>
      <c r="BO67" s="10" t="str">
        <f>IF('P15'!$G63&lt;&gt;"", 'P15'!$G63, "non")</f>
        <v>non</v>
      </c>
      <c r="BP67" s="10" t="str">
        <f>IF('P16'!$G63&lt;&gt;"", 'P16'!$G63, "non")</f>
        <v>non</v>
      </c>
      <c r="BQ67" s="10" t="str">
        <f>IF('P17'!$G63&lt;&gt;"", 'P17'!$G63, "non")</f>
        <v>non</v>
      </c>
      <c r="BR67" s="10" t="str">
        <f>IF('P18'!$G63&lt;&gt;"", 'P18'!$G63, "non")</f>
        <v>non</v>
      </c>
      <c r="BS67" s="10" t="str">
        <f>IF('P19'!$G63&lt;&gt;"", 'P19'!$G63, "non")</f>
        <v>non</v>
      </c>
      <c r="BT67" s="11" t="str">
        <f>IF('P20'!$G63&lt;&gt;"", 'P20'!$G63, "non")</f>
        <v>non</v>
      </c>
      <c r="BU67" s="10" t="str">
        <f>IF('P21'!$G63&lt;&gt;"", 'P21'!$G63, "non")</f>
        <v>non</v>
      </c>
      <c r="BV67" s="11" t="str">
        <f>IF('P22'!$G63&lt;&gt;"", 'P22'!$G63, "non")</f>
        <v>non</v>
      </c>
      <c r="BW67" s="10" t="str">
        <f>IF('P23'!$G63&lt;&gt;"", 'P23'!$G63, "non")</f>
        <v>non</v>
      </c>
      <c r="BX67" s="11" t="str">
        <f>IF('P24'!$G63&lt;&gt;"", 'P24'!$G63, "non")</f>
        <v>non</v>
      </c>
      <c r="BY67" s="10" t="str">
        <f>IF('P25'!$G63&lt;&gt;"", 'P25'!$G63, "non")</f>
        <v>non</v>
      </c>
      <c r="BZ67" s="11" t="str">
        <f>IF('P26'!$G63&lt;&gt;"", 'P26'!$G63, "non")</f>
        <v>non</v>
      </c>
      <c r="CA67" s="10" t="str">
        <f>IF('P27'!$G63&lt;&gt;"", 'P27'!$G63, "non")</f>
        <v>non</v>
      </c>
      <c r="CB67" s="11" t="str">
        <f>IF('P28'!$G63&lt;&gt;"", 'P28'!$G63, "non")</f>
        <v>non</v>
      </c>
      <c r="CC67" s="10" t="str">
        <f>IF('P29'!$G63&lt;&gt;"", 'P29'!$G63, "non")</f>
        <v>non</v>
      </c>
      <c r="CD67" s="11" t="str">
        <f>IF('P30'!$G63&lt;&gt;"", 'P30'!$G63, "non")</f>
        <v>non</v>
      </c>
      <c r="CE67" s="10" t="str">
        <f>IF('P31'!$G63&lt;&gt;"", 'P31'!$G63, "non")</f>
        <v>non</v>
      </c>
      <c r="CF67" s="11" t="str">
        <f>IF('P32'!$G63&lt;&gt;"", 'P32'!$G63, "non")</f>
        <v>non</v>
      </c>
      <c r="CG67" s="10" t="str">
        <f>IF('P33'!$G63&lt;&gt;"", 'P33'!$G63, "non")</f>
        <v>non</v>
      </c>
      <c r="CH67" s="10" t="str">
        <f>IF('P34'!$G63&lt;&gt;"", 'P34'!$G63, "non")</f>
        <v>non</v>
      </c>
      <c r="CI67" s="11" t="str">
        <f>IF('P35'!$G63&lt;&gt;"", 'P35'!$G63, "non")</f>
        <v>non</v>
      </c>
      <c r="CJ67" s="10" t="str">
        <f>IF('P36'!$G63&lt;&gt;"", 'P36'!$G63, "non")</f>
        <v>non</v>
      </c>
      <c r="CK67" s="11" t="str">
        <f>IF('P37'!$G63&lt;&gt;"", 'P37'!$G63, "non")</f>
        <v>non</v>
      </c>
      <c r="CL67" s="10" t="str">
        <f>IF('P38'!$G63&lt;&gt;"", 'P38'!$G63, "non")</f>
        <v>non</v>
      </c>
      <c r="CM67" s="11" t="str">
        <f>IF('P39'!$G63&lt;&gt;"", 'P39'!$G63, "non")</f>
        <v>non</v>
      </c>
      <c r="CN67" s="10" t="str">
        <f>IF('P40'!$G63&lt;&gt;"", 'P40'!$G63, "non")</f>
        <v>non</v>
      </c>
    </row>
    <row r="68" spans="1:92" ht="39.75" customHeight="1">
      <c r="A68" s="122" t="str">
        <f>'Critères et tests'!B63</f>
        <v>PRÉSENTATION</v>
      </c>
      <c r="B68" s="124" t="str">
        <f>'Critères et tests'!$A63</f>
        <v>10.5</v>
      </c>
      <c r="C68" s="192" t="str">
        <f>VLOOKUP(B68,'Critères et tests'!$1:$1048576,5,FALSE)</f>
        <v>Dans chaque page web, les déclarations CSS de couleurs de fond d’élément et de police sont-elles correctement utilisées ?</v>
      </c>
      <c r="D68" s="124" t="str">
        <f>'Critères et tests'!$C63</f>
        <v>AA</v>
      </c>
      <c r="E68" s="156" t="s">
        <v>460</v>
      </c>
      <c r="F68" s="88">
        <f>IF('P01'!$E64&gt;"",'P01'!$E64&amp;" "&amp;CHAR(10)&amp;'P01'!$F64,'P01'!$E64)</f>
        <v>0</v>
      </c>
      <c r="G68" s="89">
        <f>IF('P02'!$E64&gt;"",'P02'!$E64&amp;" "&amp;CHAR(10)&amp;'P02'!$F64,'P02'!$E64)</f>
        <v>0</v>
      </c>
      <c r="H68" s="89">
        <f>IF('P03'!$E64&gt;"",'P03'!$E64&amp;" "&amp;CHAR(10)&amp;'P03'!$F64,'P03'!$E64)</f>
        <v>0</v>
      </c>
      <c r="I68" s="89">
        <f>IF('P04'!$E64&gt;"",'P04'!$E64&amp;" "&amp;CHAR(10)&amp;'P04'!$F64,'P04'!$E64)</f>
        <v>0</v>
      </c>
      <c r="J68" s="89">
        <f>IF('P05'!$E64&gt;"",'P05'!$E64&amp;" "&amp;CHAR(10)&amp;'P05'!$F64,'P05'!$E64)</f>
        <v>0</v>
      </c>
      <c r="K68" s="89">
        <f>IF('P06'!$E64&gt;"",'P06'!$E64&amp;" "&amp;CHAR(10)&amp;'P06'!$F64,'P06'!$E64)</f>
        <v>0</v>
      </c>
      <c r="L68" s="89">
        <f>IF('P07'!$E64&gt;"",'P07'!$E64&amp;" "&amp;CHAR(10)&amp;'P07'!$F64,'P07'!$E64)</f>
        <v>0</v>
      </c>
      <c r="M68" s="89">
        <f>IF('P08'!$E64&gt;"",'P08'!$E64&amp;" "&amp;CHAR(10)&amp;'P08'!$F64,'P08'!$E64)</f>
        <v>0</v>
      </c>
      <c r="N68" s="89">
        <f>IF('P09'!$E64&gt;"",'P09'!$E64&amp;" "&amp;CHAR(10)&amp;'P09'!$F64,'P09'!$E64)</f>
        <v>0</v>
      </c>
      <c r="O68" s="89">
        <f>IF('P10'!$E64&gt;"",'P10'!$E64&amp;" "&amp;CHAR(10)&amp;'P10'!$F64,'P10'!$E64)</f>
        <v>0</v>
      </c>
      <c r="P68" s="89">
        <f>IF('P11'!$E64&gt;"",'P11'!$E64&amp;" "&amp;CHAR(10)&amp;'P11'!$F64,'P11'!$E64)</f>
        <v>0</v>
      </c>
      <c r="Q68" s="89">
        <f>IF('P12'!$E64&gt;"",'P12'!$E64&amp;" "&amp;CHAR(10)&amp;'P12'!$F64,'P12'!$E64)</f>
        <v>0</v>
      </c>
      <c r="R68" s="89">
        <f>IF('P13'!$E64&gt;"",'P13'!$E64&amp;" "&amp;CHAR(10)&amp;'P13'!$F64,'P13'!$E64)</f>
        <v>0</v>
      </c>
      <c r="S68" s="89">
        <f>IF('P14'!$E64&gt;"",'P14'!$E64&amp;" "&amp;CHAR(10)&amp;'P14'!$F64,'P14'!$E64)</f>
        <v>0</v>
      </c>
      <c r="T68" s="89">
        <f>IF('P15'!$E64&gt;"",'P15'!$E64&amp;" "&amp;CHAR(10)&amp;'P15'!$F64,'P15'!$E64)</f>
        <v>0</v>
      </c>
      <c r="U68" s="89">
        <f>IF('P16'!$E64&gt;"",'P16'!$E64&amp;" "&amp;CHAR(10)&amp;'P16'!$F64,'P16'!$E64)</f>
        <v>0</v>
      </c>
      <c r="V68" s="89">
        <f>IF('P17'!$E64&gt;"",'P17'!$E64&amp;" "&amp;CHAR(10)&amp;'P17'!$F64,'P17'!$E64)</f>
        <v>0</v>
      </c>
      <c r="W68" s="89">
        <f>IF('P18'!$E64&gt;"",'P18'!$E64&amp;" "&amp;CHAR(10)&amp;'P18'!$F64,'P18'!$E64)</f>
        <v>0</v>
      </c>
      <c r="X68" s="89">
        <f>IF('P19'!$E64&gt;"",'P19'!$E64&amp;" "&amp;CHAR(10)&amp;'P19'!$F64,'P19'!$E64)</f>
        <v>0</v>
      </c>
      <c r="Y68" s="89">
        <f>IF('P20'!$E64&gt;"",'P20'!$E64&amp;" "&amp;CHAR(10)&amp;'P20'!$F64,'P20'!$E64)</f>
        <v>0</v>
      </c>
      <c r="Z68" s="89">
        <f>IF('P21'!$E64&gt;"",'P21'!$E64&amp;" "&amp;CHAR(10)&amp;'P21'!$F64,'P21'!$E64)</f>
        <v>0</v>
      </c>
      <c r="AA68" s="89">
        <f>IF('P22'!$E64&gt;"",'P22'!$E64&amp;" "&amp;CHAR(10)&amp;'P22'!$F64,'P22'!$E64)</f>
        <v>0</v>
      </c>
      <c r="AB68" s="89">
        <f>IF('P23'!$E64&gt;"",'P23'!$E64&amp;" "&amp;CHAR(10)&amp;'P23'!$F64,'P23'!$E64)</f>
        <v>0</v>
      </c>
      <c r="AC68" s="89">
        <f>IF('P24'!$E64&gt;"",'P24'!$E64&amp;" "&amp;CHAR(10)&amp;'P24'!$F64,'P24'!$E64)</f>
        <v>0</v>
      </c>
      <c r="AD68" s="89">
        <f>IF('P25'!$E64&gt;"",'P25'!$E64&amp;" "&amp;CHAR(10)&amp;'P25'!$F64,'P25'!$E64)</f>
        <v>0</v>
      </c>
      <c r="AE68" s="89">
        <f>IF('P26'!$E64&gt;"",'P26'!$E64&amp;" "&amp;CHAR(10)&amp;'P26'!$F64,'P26'!$E64)</f>
        <v>0</v>
      </c>
      <c r="AF68" s="89">
        <f>IF('P27'!$E64&gt;"",'P27'!$E64&amp;" "&amp;CHAR(10)&amp;'P27'!$F64,'P27'!$E64)</f>
        <v>0</v>
      </c>
      <c r="AG68" s="89">
        <f>IF('P28'!$E64&gt;"",'P28'!$E64&amp;" "&amp;CHAR(10)&amp;'P28'!$F64,'P28'!$E64)</f>
        <v>0</v>
      </c>
      <c r="AH68" s="89">
        <f>IF('P29'!$E64&gt;"",'P29'!$E64&amp;" "&amp;CHAR(10)&amp;'P29'!$F64,'P29'!$E64)</f>
        <v>0</v>
      </c>
      <c r="AI68" s="89">
        <f>IF('P30'!$E64&gt;"",'P30'!$E64&amp;" "&amp;CHAR(10)&amp;'P30'!$F64,'P30'!$E64)</f>
        <v>0</v>
      </c>
      <c r="AJ68" s="89">
        <f>IF('P31'!$E64&gt;"",'P31'!$E64&amp;" "&amp;CHAR(10)&amp;'P31'!$F64,'P31'!$E64)</f>
        <v>0</v>
      </c>
      <c r="AK68" s="89">
        <f>IF('P32'!$E64&gt;"",'P32'!$E64&amp;" "&amp;CHAR(10)&amp;'P32'!$F64,'P32'!$E64)</f>
        <v>0</v>
      </c>
      <c r="AL68" s="89">
        <f>IF('P33'!$E64&gt;"",'P33'!$E64&amp;" "&amp;CHAR(10)&amp;'P33'!$F64,'P33'!$E64)</f>
        <v>0</v>
      </c>
      <c r="AM68" s="89">
        <f>IF('P34'!$E64&gt;"",'P34'!$E64&amp;" "&amp;CHAR(10)&amp;'P34'!$F64,'P34'!$E64)</f>
        <v>0</v>
      </c>
      <c r="AN68" s="89">
        <f>IF('P35'!$E64&gt;"",'P35'!$E64&amp;" "&amp;CHAR(10)&amp;'P35'!$F64,'P35'!$E64)</f>
        <v>0</v>
      </c>
      <c r="AO68" s="89">
        <f>IF('P36'!$E64&gt;"",'P36'!$E64&amp;" "&amp;CHAR(10)&amp;'P36'!$F64,'P36'!$E64)</f>
        <v>0</v>
      </c>
      <c r="AP68" s="89">
        <f>IF('P37'!$E64&gt;"",'P37'!$E64&amp;" "&amp;CHAR(10)&amp;'P37'!$F64,'P37'!$E64)</f>
        <v>0</v>
      </c>
      <c r="AQ68" s="89">
        <f>IF('P38'!$E64&gt;"",'P38'!$E64&amp;" "&amp;CHAR(10)&amp;'P38'!$F64,'P38'!$E64)</f>
        <v>0</v>
      </c>
      <c r="AR68" s="89">
        <f>IF('P39'!$E64&gt;"",'P39'!$E64&amp;" "&amp;CHAR(10)&amp;'P39'!$F64,'P39'!$E64)</f>
        <v>0</v>
      </c>
      <c r="AS68" s="89">
        <f>IF('P40'!$E64&gt;"",'P40'!$E64&amp;" "&amp;CHAR(10)&amp;'P40'!$F64,'P40'!$E64)</f>
        <v>0</v>
      </c>
      <c r="AT68" s="55">
        <f t="shared" si="5"/>
        <v>0</v>
      </c>
      <c r="AU68" s="9">
        <f t="shared" si="6"/>
        <v>0</v>
      </c>
      <c r="AV68" s="55">
        <f t="shared" si="7"/>
        <v>0</v>
      </c>
      <c r="AW68" s="38" t="str">
        <f t="shared" si="8"/>
        <v>NT</v>
      </c>
      <c r="AX68" s="12"/>
      <c r="AY68" s="10"/>
      <c r="AZ68" s="10"/>
      <c r="BA68" s="10" t="str">
        <f>IF('P01'!$G64&lt;&gt;"", 'P01'!$G64, "non")</f>
        <v>non</v>
      </c>
      <c r="BB68" s="10" t="str">
        <f>IF('P02'!$G64&lt;&gt;"", 'P02'!$G64, "non")</f>
        <v>non</v>
      </c>
      <c r="BC68" s="10" t="str">
        <f>IF('P03'!$G64&lt;&gt;"", 'P03'!$G64, "non")</f>
        <v>non</v>
      </c>
      <c r="BD68" s="10" t="str">
        <f>IF('P04'!$G64&lt;&gt;"", 'P04'!$G64, "non")</f>
        <v>non</v>
      </c>
      <c r="BE68" s="10" t="str">
        <f>IF('P05'!$G64&lt;&gt;"", 'P05'!$G64, "non")</f>
        <v>non</v>
      </c>
      <c r="BF68" s="10" t="str">
        <f>IF('P06'!$G64&lt;&gt;"", 'P06'!$G64, "non")</f>
        <v>non</v>
      </c>
      <c r="BG68" s="10" t="str">
        <f>IF('P07'!$G64&lt;&gt;"", 'P07'!$G64, "non")</f>
        <v>non</v>
      </c>
      <c r="BH68" s="10" t="str">
        <f>IF('P08'!$G64&lt;&gt;"", 'P08'!$G64, "non")</f>
        <v>non</v>
      </c>
      <c r="BI68" s="10" t="str">
        <f>IF('P09'!$G64&lt;&gt;"", 'P09'!$G64, "non")</f>
        <v>non</v>
      </c>
      <c r="BJ68" s="10" t="str">
        <f>IF('P10'!$G64&lt;&gt;"", 'P10'!$G64, "non")</f>
        <v>non</v>
      </c>
      <c r="BK68" s="10" t="str">
        <f>IF('P11'!$G64&lt;&gt;"", 'P11'!$G64, "non")</f>
        <v>non</v>
      </c>
      <c r="BL68" s="10" t="str">
        <f>IF('P12'!$G64&lt;&gt;"", 'P12'!$G64, "non")</f>
        <v>non</v>
      </c>
      <c r="BM68" s="10" t="str">
        <f>IF('P13'!$G64&lt;&gt;"", 'P13'!$G64, "non")</f>
        <v>non</v>
      </c>
      <c r="BN68" s="10" t="str">
        <f>IF('P14'!$G64&lt;&gt;"", 'P14'!$G64, "non")</f>
        <v>non</v>
      </c>
      <c r="BO68" s="10" t="str">
        <f>IF('P15'!$G64&lt;&gt;"", 'P15'!$G64, "non")</f>
        <v>non</v>
      </c>
      <c r="BP68" s="10" t="str">
        <f>IF('P16'!$G64&lt;&gt;"", 'P16'!$G64, "non")</f>
        <v>non</v>
      </c>
      <c r="BQ68" s="10" t="str">
        <f>IF('P17'!$G64&lt;&gt;"", 'P17'!$G64, "non")</f>
        <v>non</v>
      </c>
      <c r="BR68" s="10" t="str">
        <f>IF('P18'!$G64&lt;&gt;"", 'P18'!$G64, "non")</f>
        <v>non</v>
      </c>
      <c r="BS68" s="10" t="str">
        <f>IF('P19'!$G64&lt;&gt;"", 'P19'!$G64, "non")</f>
        <v>non</v>
      </c>
      <c r="BT68" s="11" t="str">
        <f>IF('P20'!$G64&lt;&gt;"", 'P20'!$G64, "non")</f>
        <v>non</v>
      </c>
      <c r="BU68" s="10" t="str">
        <f>IF('P21'!$G64&lt;&gt;"", 'P21'!$G64, "non")</f>
        <v>non</v>
      </c>
      <c r="BV68" s="11" t="str">
        <f>IF('P22'!$G64&lt;&gt;"", 'P22'!$G64, "non")</f>
        <v>non</v>
      </c>
      <c r="BW68" s="10" t="str">
        <f>IF('P23'!$G64&lt;&gt;"", 'P23'!$G64, "non")</f>
        <v>non</v>
      </c>
      <c r="BX68" s="11" t="str">
        <f>IF('P24'!$G64&lt;&gt;"", 'P24'!$G64, "non")</f>
        <v>non</v>
      </c>
      <c r="BY68" s="10" t="str">
        <f>IF('P25'!$G64&lt;&gt;"", 'P25'!$G64, "non")</f>
        <v>non</v>
      </c>
      <c r="BZ68" s="11" t="str">
        <f>IF('P26'!$G64&lt;&gt;"", 'P26'!$G64, "non")</f>
        <v>non</v>
      </c>
      <c r="CA68" s="10" t="str">
        <f>IF('P27'!$G64&lt;&gt;"", 'P27'!$G64, "non")</f>
        <v>non</v>
      </c>
      <c r="CB68" s="11" t="str">
        <f>IF('P28'!$G64&lt;&gt;"", 'P28'!$G64, "non")</f>
        <v>non</v>
      </c>
      <c r="CC68" s="10" t="str">
        <f>IF('P29'!$G64&lt;&gt;"", 'P29'!$G64, "non")</f>
        <v>non</v>
      </c>
      <c r="CD68" s="11" t="str">
        <f>IF('P30'!$G64&lt;&gt;"", 'P30'!$G64, "non")</f>
        <v>non</v>
      </c>
      <c r="CE68" s="10" t="str">
        <f>IF('P31'!$G64&lt;&gt;"", 'P31'!$G64, "non")</f>
        <v>non</v>
      </c>
      <c r="CF68" s="11" t="str">
        <f>IF('P32'!$G64&lt;&gt;"", 'P32'!$G64, "non")</f>
        <v>non</v>
      </c>
      <c r="CG68" s="10" t="str">
        <f>IF('P33'!$G64&lt;&gt;"", 'P33'!$G64, "non")</f>
        <v>non</v>
      </c>
      <c r="CH68" s="10" t="str">
        <f>IF('P34'!$G64&lt;&gt;"", 'P34'!$G64, "non")</f>
        <v>non</v>
      </c>
      <c r="CI68" s="11" t="str">
        <f>IF('P35'!$G64&lt;&gt;"", 'P35'!$G64, "non")</f>
        <v>non</v>
      </c>
      <c r="CJ68" s="10" t="str">
        <f>IF('P36'!$G64&lt;&gt;"", 'P36'!$G64, "non")</f>
        <v>non</v>
      </c>
      <c r="CK68" s="11" t="str">
        <f>IF('P37'!$G64&lt;&gt;"", 'P37'!$G64, "non")</f>
        <v>non</v>
      </c>
      <c r="CL68" s="10" t="str">
        <f>IF('P38'!$G64&lt;&gt;"", 'P38'!$G64, "non")</f>
        <v>non</v>
      </c>
      <c r="CM68" s="11" t="str">
        <f>IF('P39'!$G64&lt;&gt;"", 'P39'!$G64, "non")</f>
        <v>non</v>
      </c>
      <c r="CN68" s="10" t="str">
        <f>IF('P40'!$G64&lt;&gt;"", 'P40'!$G64, "non")</f>
        <v>non</v>
      </c>
    </row>
    <row r="69" spans="1:92" ht="39.75" customHeight="1">
      <c r="A69" s="122" t="str">
        <f>'Critères et tests'!B64</f>
        <v>PRÉSENTATION</v>
      </c>
      <c r="B69" s="124" t="str">
        <f>'Critères et tests'!$A64</f>
        <v>10.6</v>
      </c>
      <c r="C69" s="192" t="str">
        <f>VLOOKUP(B69,'Critères et tests'!$1:$1048576,5,FALSE)</f>
        <v>Dans chaque page web, chaque lien dont la nature n’est pas évidente est-il visible par rapport au texte environnant ?</v>
      </c>
      <c r="D69" s="124" t="str">
        <f>'Critères et tests'!$C64</f>
        <v>A</v>
      </c>
      <c r="E69" s="156" t="s">
        <v>460</v>
      </c>
      <c r="F69" s="88">
        <f>IF('P01'!$E65&gt;"",'P01'!$E65&amp;" "&amp;CHAR(10)&amp;'P01'!$F65,'P01'!$E65)</f>
        <v>0</v>
      </c>
      <c r="G69" s="89">
        <f>IF('P02'!$E65&gt;"",'P02'!$E65&amp;" "&amp;CHAR(10)&amp;'P02'!$F65,'P02'!$E65)</f>
        <v>0</v>
      </c>
      <c r="H69" s="89">
        <f>IF('P03'!$E65&gt;"",'P03'!$E65&amp;" "&amp;CHAR(10)&amp;'P03'!$F65,'P03'!$E65)</f>
        <v>0</v>
      </c>
      <c r="I69" s="89">
        <f>IF('P04'!$E65&gt;"",'P04'!$E65&amp;" "&amp;CHAR(10)&amp;'P04'!$F65,'P04'!$E65)</f>
        <v>0</v>
      </c>
      <c r="J69" s="89">
        <f>IF('P05'!$E65&gt;"",'P05'!$E65&amp;" "&amp;CHAR(10)&amp;'P05'!$F65,'P05'!$E65)</f>
        <v>0</v>
      </c>
      <c r="K69" s="89">
        <f>IF('P06'!$E65&gt;"",'P06'!$E65&amp;" "&amp;CHAR(10)&amp;'P06'!$F65,'P06'!$E65)</f>
        <v>0</v>
      </c>
      <c r="L69" s="89">
        <f>IF('P07'!$E65&gt;"",'P07'!$E65&amp;" "&amp;CHAR(10)&amp;'P07'!$F65,'P07'!$E65)</f>
        <v>0</v>
      </c>
      <c r="M69" s="89">
        <f>IF('P08'!$E65&gt;"",'P08'!$E65&amp;" "&amp;CHAR(10)&amp;'P08'!$F65,'P08'!$E65)</f>
        <v>0</v>
      </c>
      <c r="N69" s="89">
        <f>IF('P09'!$E65&gt;"",'P09'!$E65&amp;" "&amp;CHAR(10)&amp;'P09'!$F65,'P09'!$E65)</f>
        <v>0</v>
      </c>
      <c r="O69" s="89">
        <f>IF('P10'!$E65&gt;"",'P10'!$E65&amp;" "&amp;CHAR(10)&amp;'P10'!$F65,'P10'!$E65)</f>
        <v>0</v>
      </c>
      <c r="P69" s="89">
        <f>IF('P11'!$E65&gt;"",'P11'!$E65&amp;" "&amp;CHAR(10)&amp;'P11'!$F65,'P11'!$E65)</f>
        <v>0</v>
      </c>
      <c r="Q69" s="89">
        <f>IF('P12'!$E65&gt;"",'P12'!$E65&amp;" "&amp;CHAR(10)&amp;'P12'!$F65,'P12'!$E65)</f>
        <v>0</v>
      </c>
      <c r="R69" s="89">
        <f>IF('P13'!$E65&gt;"",'P13'!$E65&amp;" "&amp;CHAR(10)&amp;'P13'!$F65,'P13'!$E65)</f>
        <v>0</v>
      </c>
      <c r="S69" s="89">
        <f>IF('P14'!$E65&gt;"",'P14'!$E65&amp;" "&amp;CHAR(10)&amp;'P14'!$F65,'P14'!$E65)</f>
        <v>0</v>
      </c>
      <c r="T69" s="89">
        <f>IF('P15'!$E65&gt;"",'P15'!$E65&amp;" "&amp;CHAR(10)&amp;'P15'!$F65,'P15'!$E65)</f>
        <v>0</v>
      </c>
      <c r="U69" s="89">
        <f>IF('P16'!$E65&gt;"",'P16'!$E65&amp;" "&amp;CHAR(10)&amp;'P16'!$F65,'P16'!$E65)</f>
        <v>0</v>
      </c>
      <c r="V69" s="89">
        <f>IF('P17'!$E65&gt;"",'P17'!$E65&amp;" "&amp;CHAR(10)&amp;'P17'!$F65,'P17'!$E65)</f>
        <v>0</v>
      </c>
      <c r="W69" s="89">
        <f>IF('P18'!$E65&gt;"",'P18'!$E65&amp;" "&amp;CHAR(10)&amp;'P18'!$F65,'P18'!$E65)</f>
        <v>0</v>
      </c>
      <c r="X69" s="89">
        <f>IF('P19'!$E65&gt;"",'P19'!$E65&amp;" "&amp;CHAR(10)&amp;'P19'!$F65,'P19'!$E65)</f>
        <v>0</v>
      </c>
      <c r="Y69" s="89">
        <f>IF('P20'!$E65&gt;"",'P20'!$E65&amp;" "&amp;CHAR(10)&amp;'P20'!$F65,'P20'!$E65)</f>
        <v>0</v>
      </c>
      <c r="Z69" s="89">
        <f>IF('P21'!$E65&gt;"",'P21'!$E65&amp;" "&amp;CHAR(10)&amp;'P21'!$F65,'P21'!$E65)</f>
        <v>0</v>
      </c>
      <c r="AA69" s="89">
        <f>IF('P22'!$E65&gt;"",'P22'!$E65&amp;" "&amp;CHAR(10)&amp;'P22'!$F65,'P22'!$E65)</f>
        <v>0</v>
      </c>
      <c r="AB69" s="89">
        <f>IF('P23'!$E65&gt;"",'P23'!$E65&amp;" "&amp;CHAR(10)&amp;'P23'!$F65,'P23'!$E65)</f>
        <v>0</v>
      </c>
      <c r="AC69" s="89">
        <f>IF('P24'!$E65&gt;"",'P24'!$E65&amp;" "&amp;CHAR(10)&amp;'P24'!$F65,'P24'!$E65)</f>
        <v>0</v>
      </c>
      <c r="AD69" s="89">
        <f>IF('P25'!$E65&gt;"",'P25'!$E65&amp;" "&amp;CHAR(10)&amp;'P25'!$F65,'P25'!$E65)</f>
        <v>0</v>
      </c>
      <c r="AE69" s="89">
        <f>IF('P26'!$E65&gt;"",'P26'!$E65&amp;" "&amp;CHAR(10)&amp;'P26'!$F65,'P26'!$E65)</f>
        <v>0</v>
      </c>
      <c r="AF69" s="89">
        <f>IF('P27'!$E65&gt;"",'P27'!$E65&amp;" "&amp;CHAR(10)&amp;'P27'!$F65,'P27'!$E65)</f>
        <v>0</v>
      </c>
      <c r="AG69" s="89">
        <f>IF('P28'!$E65&gt;"",'P28'!$E65&amp;" "&amp;CHAR(10)&amp;'P28'!$F65,'P28'!$E65)</f>
        <v>0</v>
      </c>
      <c r="AH69" s="89">
        <f>IF('P29'!$E65&gt;"",'P29'!$E65&amp;" "&amp;CHAR(10)&amp;'P29'!$F65,'P29'!$E65)</f>
        <v>0</v>
      </c>
      <c r="AI69" s="89">
        <f>IF('P30'!$E65&gt;"",'P30'!$E65&amp;" "&amp;CHAR(10)&amp;'P30'!$F65,'P30'!$E65)</f>
        <v>0</v>
      </c>
      <c r="AJ69" s="89">
        <f>IF('P31'!$E65&gt;"",'P31'!$E65&amp;" "&amp;CHAR(10)&amp;'P31'!$F65,'P31'!$E65)</f>
        <v>0</v>
      </c>
      <c r="AK69" s="89">
        <f>IF('P32'!$E65&gt;"",'P32'!$E65&amp;" "&amp;CHAR(10)&amp;'P32'!$F65,'P32'!$E65)</f>
        <v>0</v>
      </c>
      <c r="AL69" s="89">
        <f>IF('P33'!$E65&gt;"",'P33'!$E65&amp;" "&amp;CHAR(10)&amp;'P33'!$F65,'P33'!$E65)</f>
        <v>0</v>
      </c>
      <c r="AM69" s="89">
        <f>IF('P34'!$E65&gt;"",'P34'!$E65&amp;" "&amp;CHAR(10)&amp;'P34'!$F65,'P34'!$E65)</f>
        <v>0</v>
      </c>
      <c r="AN69" s="89">
        <f>IF('P35'!$E65&gt;"",'P35'!$E65&amp;" "&amp;CHAR(10)&amp;'P35'!$F65,'P35'!$E65)</f>
        <v>0</v>
      </c>
      <c r="AO69" s="89">
        <f>IF('P36'!$E65&gt;"",'P36'!$E65&amp;" "&amp;CHAR(10)&amp;'P36'!$F65,'P36'!$E65)</f>
        <v>0</v>
      </c>
      <c r="AP69" s="89">
        <f>IF('P37'!$E65&gt;"",'P37'!$E65&amp;" "&amp;CHAR(10)&amp;'P37'!$F65,'P37'!$E65)</f>
        <v>0</v>
      </c>
      <c r="AQ69" s="89">
        <f>IF('P38'!$E65&gt;"",'P38'!$E65&amp;" "&amp;CHAR(10)&amp;'P38'!$F65,'P38'!$E65)</f>
        <v>0</v>
      </c>
      <c r="AR69" s="89">
        <f>IF('P39'!$E65&gt;"",'P39'!$E65&amp;" "&amp;CHAR(10)&amp;'P39'!$F65,'P39'!$E65)</f>
        <v>0</v>
      </c>
      <c r="AS69" s="89">
        <f>IF('P40'!$E65&gt;"",'P40'!$E65&amp;" "&amp;CHAR(10)&amp;'P40'!$F65,'P40'!$E65)</f>
        <v>0</v>
      </c>
      <c r="AT69" s="55">
        <f t="shared" si="5"/>
        <v>0</v>
      </c>
      <c r="AU69" s="9">
        <f t="shared" si="6"/>
        <v>0</v>
      </c>
      <c r="AV69" s="55">
        <f t="shared" si="7"/>
        <v>0</v>
      </c>
      <c r="AW69" s="38" t="str">
        <f t="shared" si="8"/>
        <v>NT</v>
      </c>
      <c r="AX69" s="12"/>
      <c r="AY69" s="10"/>
      <c r="AZ69" s="10"/>
      <c r="BA69" s="10" t="str">
        <f>IF('P01'!$G65&lt;&gt;"", 'P01'!$G65, "non")</f>
        <v>non</v>
      </c>
      <c r="BB69" s="10" t="str">
        <f>IF('P02'!$G65&lt;&gt;"", 'P02'!$G65, "non")</f>
        <v>non</v>
      </c>
      <c r="BC69" s="10" t="str">
        <f>IF('P03'!$G65&lt;&gt;"", 'P03'!$G65, "non")</f>
        <v>non</v>
      </c>
      <c r="BD69" s="10" t="str">
        <f>IF('P04'!$G65&lt;&gt;"", 'P04'!$G65, "non")</f>
        <v>non</v>
      </c>
      <c r="BE69" s="10" t="str">
        <f>IF('P05'!$G65&lt;&gt;"", 'P05'!$G65, "non")</f>
        <v>non</v>
      </c>
      <c r="BF69" s="10" t="str">
        <f>IF('P06'!$G65&lt;&gt;"", 'P06'!$G65, "non")</f>
        <v>non</v>
      </c>
      <c r="BG69" s="10" t="str">
        <f>IF('P07'!$G65&lt;&gt;"", 'P07'!$G65, "non")</f>
        <v>non</v>
      </c>
      <c r="BH69" s="10" t="str">
        <f>IF('P08'!$G65&lt;&gt;"", 'P08'!$G65, "non")</f>
        <v>non</v>
      </c>
      <c r="BI69" s="10" t="str">
        <f>IF('P09'!$G65&lt;&gt;"", 'P09'!$G65, "non")</f>
        <v>non</v>
      </c>
      <c r="BJ69" s="10" t="str">
        <f>IF('P10'!$G65&lt;&gt;"", 'P10'!$G65, "non")</f>
        <v>non</v>
      </c>
      <c r="BK69" s="10" t="str">
        <f>IF('P11'!$G65&lt;&gt;"", 'P11'!$G65, "non")</f>
        <v>non</v>
      </c>
      <c r="BL69" s="10" t="str">
        <f>IF('P12'!$G65&lt;&gt;"", 'P12'!$G65, "non")</f>
        <v>non</v>
      </c>
      <c r="BM69" s="10" t="str">
        <f>IF('P13'!$G65&lt;&gt;"", 'P13'!$G65, "non")</f>
        <v>non</v>
      </c>
      <c r="BN69" s="10" t="str">
        <f>IF('P14'!$G65&lt;&gt;"", 'P14'!$G65, "non")</f>
        <v>non</v>
      </c>
      <c r="BO69" s="10" t="str">
        <f>IF('P15'!$G65&lt;&gt;"", 'P15'!$G65, "non")</f>
        <v>non</v>
      </c>
      <c r="BP69" s="10" t="str">
        <f>IF('P16'!$G65&lt;&gt;"", 'P16'!$G65, "non")</f>
        <v>non</v>
      </c>
      <c r="BQ69" s="10" t="str">
        <f>IF('P17'!$G65&lt;&gt;"", 'P17'!$G65, "non")</f>
        <v>non</v>
      </c>
      <c r="BR69" s="10" t="str">
        <f>IF('P18'!$G65&lt;&gt;"", 'P18'!$G65, "non")</f>
        <v>non</v>
      </c>
      <c r="BS69" s="10" t="str">
        <f>IF('P19'!$G65&lt;&gt;"", 'P19'!$G65, "non")</f>
        <v>non</v>
      </c>
      <c r="BT69" s="11" t="str">
        <f>IF('P20'!$G65&lt;&gt;"", 'P20'!$G65, "non")</f>
        <v>non</v>
      </c>
      <c r="BU69" s="10" t="str">
        <f>IF('P21'!$G65&lt;&gt;"", 'P21'!$G65, "non")</f>
        <v>non</v>
      </c>
      <c r="BV69" s="11" t="str">
        <f>IF('P22'!$G65&lt;&gt;"", 'P22'!$G65, "non")</f>
        <v>non</v>
      </c>
      <c r="BW69" s="10" t="str">
        <f>IF('P23'!$G65&lt;&gt;"", 'P23'!$G65, "non")</f>
        <v>non</v>
      </c>
      <c r="BX69" s="11" t="str">
        <f>IF('P24'!$G65&lt;&gt;"", 'P24'!$G65, "non")</f>
        <v>non</v>
      </c>
      <c r="BY69" s="10" t="str">
        <f>IF('P25'!$G65&lt;&gt;"", 'P25'!$G65, "non")</f>
        <v>non</v>
      </c>
      <c r="BZ69" s="11" t="str">
        <f>IF('P26'!$G65&lt;&gt;"", 'P26'!$G65, "non")</f>
        <v>non</v>
      </c>
      <c r="CA69" s="10" t="str">
        <f>IF('P27'!$G65&lt;&gt;"", 'P27'!$G65, "non")</f>
        <v>non</v>
      </c>
      <c r="CB69" s="11" t="str">
        <f>IF('P28'!$G65&lt;&gt;"", 'P28'!$G65, "non")</f>
        <v>non</v>
      </c>
      <c r="CC69" s="10" t="str">
        <f>IF('P29'!$G65&lt;&gt;"", 'P29'!$G65, "non")</f>
        <v>non</v>
      </c>
      <c r="CD69" s="11" t="str">
        <f>IF('P30'!$G65&lt;&gt;"", 'P30'!$G65, "non")</f>
        <v>non</v>
      </c>
      <c r="CE69" s="10" t="str">
        <f>IF('P31'!$G65&lt;&gt;"", 'P31'!$G65, "non")</f>
        <v>non</v>
      </c>
      <c r="CF69" s="11" t="str">
        <f>IF('P32'!$G65&lt;&gt;"", 'P32'!$G65, "non")</f>
        <v>non</v>
      </c>
      <c r="CG69" s="10" t="str">
        <f>IF('P33'!$G65&lt;&gt;"", 'P33'!$G65, "non")</f>
        <v>non</v>
      </c>
      <c r="CH69" s="10" t="str">
        <f>IF('P34'!$G65&lt;&gt;"", 'P34'!$G65, "non")</f>
        <v>non</v>
      </c>
      <c r="CI69" s="11" t="str">
        <f>IF('P35'!$G65&lt;&gt;"", 'P35'!$G65, "non")</f>
        <v>non</v>
      </c>
      <c r="CJ69" s="10" t="str">
        <f>IF('P36'!$G65&lt;&gt;"", 'P36'!$G65, "non")</f>
        <v>non</v>
      </c>
      <c r="CK69" s="11" t="str">
        <f>IF('P37'!$G65&lt;&gt;"", 'P37'!$G65, "non")</f>
        <v>non</v>
      </c>
      <c r="CL69" s="10" t="str">
        <f>IF('P38'!$G65&lt;&gt;"", 'P38'!$G65, "non")</f>
        <v>non</v>
      </c>
      <c r="CM69" s="11" t="str">
        <f>IF('P39'!$G65&lt;&gt;"", 'P39'!$G65, "non")</f>
        <v>non</v>
      </c>
      <c r="CN69" s="10" t="str">
        <f>IF('P40'!$G65&lt;&gt;"", 'P40'!$G65, "non")</f>
        <v>non</v>
      </c>
    </row>
    <row r="70" spans="1:92" ht="39.75" customHeight="1">
      <c r="A70" s="122" t="str">
        <f>'Critères et tests'!B65</f>
        <v>PRÉSENTATION</v>
      </c>
      <c r="B70" s="124" t="str">
        <f>'Critères et tests'!$A65</f>
        <v>10.7</v>
      </c>
      <c r="C70" s="192" t="str">
        <f>VLOOKUP(B70,'Critères et tests'!$1:$1048576,5,FALSE)</f>
        <v>Dans chaque page web, pour chaque élément recevant le focus, la prise de focus est-elle visible ?</v>
      </c>
      <c r="D70" s="124" t="str">
        <f>'Critères et tests'!$C65</f>
        <v>A</v>
      </c>
      <c r="E70" s="156" t="s">
        <v>460</v>
      </c>
      <c r="F70" s="88">
        <f>IF('P01'!$E66&gt;"",'P01'!$E66&amp;" "&amp;CHAR(10)&amp;'P01'!$F66,'P01'!$E66)</f>
        <v>0</v>
      </c>
      <c r="G70" s="89">
        <f>IF('P02'!$E66&gt;"",'P02'!$E66&amp;" "&amp;CHAR(10)&amp;'P02'!$F66,'P02'!$E66)</f>
        <v>0</v>
      </c>
      <c r="H70" s="89">
        <f>IF('P03'!$E66&gt;"",'P03'!$E66&amp;" "&amp;CHAR(10)&amp;'P03'!$F66,'P03'!$E66)</f>
        <v>0</v>
      </c>
      <c r="I70" s="89">
        <f>IF('P04'!$E66&gt;"",'P04'!$E66&amp;" "&amp;CHAR(10)&amp;'P04'!$F66,'P04'!$E66)</f>
        <v>0</v>
      </c>
      <c r="J70" s="89">
        <f>IF('P05'!$E66&gt;"",'P05'!$E66&amp;" "&amp;CHAR(10)&amp;'P05'!$F66,'P05'!$E66)</f>
        <v>0</v>
      </c>
      <c r="K70" s="89">
        <f>IF('P06'!$E66&gt;"",'P06'!$E66&amp;" "&amp;CHAR(10)&amp;'P06'!$F66,'P06'!$E66)</f>
        <v>0</v>
      </c>
      <c r="L70" s="89">
        <f>IF('P07'!$E66&gt;"",'P07'!$E66&amp;" "&amp;CHAR(10)&amp;'P07'!$F66,'P07'!$E66)</f>
        <v>0</v>
      </c>
      <c r="M70" s="89">
        <f>IF('P08'!$E66&gt;"",'P08'!$E66&amp;" "&amp;CHAR(10)&amp;'P08'!$F66,'P08'!$E66)</f>
        <v>0</v>
      </c>
      <c r="N70" s="89">
        <f>IF('P09'!$E66&gt;"",'P09'!$E66&amp;" "&amp;CHAR(10)&amp;'P09'!$F66,'P09'!$E66)</f>
        <v>0</v>
      </c>
      <c r="O70" s="89">
        <f>IF('P10'!$E66&gt;"",'P10'!$E66&amp;" "&amp;CHAR(10)&amp;'P10'!$F66,'P10'!$E66)</f>
        <v>0</v>
      </c>
      <c r="P70" s="89">
        <f>IF('P11'!$E66&gt;"",'P11'!$E66&amp;" "&amp;CHAR(10)&amp;'P11'!$F66,'P11'!$E66)</f>
        <v>0</v>
      </c>
      <c r="Q70" s="89">
        <f>IF('P12'!$E66&gt;"",'P12'!$E66&amp;" "&amp;CHAR(10)&amp;'P12'!$F66,'P12'!$E66)</f>
        <v>0</v>
      </c>
      <c r="R70" s="89">
        <f>IF('P13'!$E66&gt;"",'P13'!$E66&amp;" "&amp;CHAR(10)&amp;'P13'!$F66,'P13'!$E66)</f>
        <v>0</v>
      </c>
      <c r="S70" s="89">
        <f>IF('P14'!$E66&gt;"",'P14'!$E66&amp;" "&amp;CHAR(10)&amp;'P14'!$F66,'P14'!$E66)</f>
        <v>0</v>
      </c>
      <c r="T70" s="89">
        <f>IF('P15'!$E66&gt;"",'P15'!$E66&amp;" "&amp;CHAR(10)&amp;'P15'!$F66,'P15'!$E66)</f>
        <v>0</v>
      </c>
      <c r="U70" s="89">
        <f>IF('P16'!$E66&gt;"",'P16'!$E66&amp;" "&amp;CHAR(10)&amp;'P16'!$F66,'P16'!$E66)</f>
        <v>0</v>
      </c>
      <c r="V70" s="89">
        <f>IF('P17'!$E66&gt;"",'P17'!$E66&amp;" "&amp;CHAR(10)&amp;'P17'!$F66,'P17'!$E66)</f>
        <v>0</v>
      </c>
      <c r="W70" s="89">
        <f>IF('P18'!$E66&gt;"",'P18'!$E66&amp;" "&amp;CHAR(10)&amp;'P18'!$F66,'P18'!$E66)</f>
        <v>0</v>
      </c>
      <c r="X70" s="89">
        <f>IF('P19'!$E66&gt;"",'P19'!$E66&amp;" "&amp;CHAR(10)&amp;'P19'!$F66,'P19'!$E66)</f>
        <v>0</v>
      </c>
      <c r="Y70" s="89">
        <f>IF('P20'!$E66&gt;"",'P20'!$E66&amp;" "&amp;CHAR(10)&amp;'P20'!$F66,'P20'!$E66)</f>
        <v>0</v>
      </c>
      <c r="Z70" s="89">
        <f>IF('P21'!$E66&gt;"",'P21'!$E66&amp;" "&amp;CHAR(10)&amp;'P21'!$F66,'P21'!$E66)</f>
        <v>0</v>
      </c>
      <c r="AA70" s="89">
        <f>IF('P22'!$E66&gt;"",'P22'!$E66&amp;" "&amp;CHAR(10)&amp;'P22'!$F66,'P22'!$E66)</f>
        <v>0</v>
      </c>
      <c r="AB70" s="89">
        <f>IF('P23'!$E66&gt;"",'P23'!$E66&amp;" "&amp;CHAR(10)&amp;'P23'!$F66,'P23'!$E66)</f>
        <v>0</v>
      </c>
      <c r="AC70" s="89">
        <f>IF('P24'!$E66&gt;"",'P24'!$E66&amp;" "&amp;CHAR(10)&amp;'P24'!$F66,'P24'!$E66)</f>
        <v>0</v>
      </c>
      <c r="AD70" s="89">
        <f>IF('P25'!$E66&gt;"",'P25'!$E66&amp;" "&amp;CHAR(10)&amp;'P25'!$F66,'P25'!$E66)</f>
        <v>0</v>
      </c>
      <c r="AE70" s="89">
        <f>IF('P26'!$E66&gt;"",'P26'!$E66&amp;" "&amp;CHAR(10)&amp;'P26'!$F66,'P26'!$E66)</f>
        <v>0</v>
      </c>
      <c r="AF70" s="89">
        <f>IF('P27'!$E66&gt;"",'P27'!$E66&amp;" "&amp;CHAR(10)&amp;'P27'!$F66,'P27'!$E66)</f>
        <v>0</v>
      </c>
      <c r="AG70" s="89">
        <f>IF('P28'!$E66&gt;"",'P28'!$E66&amp;" "&amp;CHAR(10)&amp;'P28'!$F66,'P28'!$E66)</f>
        <v>0</v>
      </c>
      <c r="AH70" s="89">
        <f>IF('P29'!$E66&gt;"",'P29'!$E66&amp;" "&amp;CHAR(10)&amp;'P29'!$F66,'P29'!$E66)</f>
        <v>0</v>
      </c>
      <c r="AI70" s="89">
        <f>IF('P30'!$E66&gt;"",'P30'!$E66&amp;" "&amp;CHAR(10)&amp;'P30'!$F66,'P30'!$E66)</f>
        <v>0</v>
      </c>
      <c r="AJ70" s="89">
        <f>IF('P31'!$E66&gt;"",'P31'!$E66&amp;" "&amp;CHAR(10)&amp;'P31'!$F66,'P31'!$E66)</f>
        <v>0</v>
      </c>
      <c r="AK70" s="89">
        <f>IF('P32'!$E66&gt;"",'P32'!$E66&amp;" "&amp;CHAR(10)&amp;'P32'!$F66,'P32'!$E66)</f>
        <v>0</v>
      </c>
      <c r="AL70" s="89">
        <f>IF('P33'!$E66&gt;"",'P33'!$E66&amp;" "&amp;CHAR(10)&amp;'P33'!$F66,'P33'!$E66)</f>
        <v>0</v>
      </c>
      <c r="AM70" s="89">
        <f>IF('P34'!$E66&gt;"",'P34'!$E66&amp;" "&amp;CHAR(10)&amp;'P34'!$F66,'P34'!$E66)</f>
        <v>0</v>
      </c>
      <c r="AN70" s="89">
        <f>IF('P35'!$E66&gt;"",'P35'!$E66&amp;" "&amp;CHAR(10)&amp;'P35'!$F66,'P35'!$E66)</f>
        <v>0</v>
      </c>
      <c r="AO70" s="89">
        <f>IF('P36'!$E66&gt;"",'P36'!$E66&amp;" "&amp;CHAR(10)&amp;'P36'!$F66,'P36'!$E66)</f>
        <v>0</v>
      </c>
      <c r="AP70" s="89">
        <f>IF('P37'!$E66&gt;"",'P37'!$E66&amp;" "&amp;CHAR(10)&amp;'P37'!$F66,'P37'!$E66)</f>
        <v>0</v>
      </c>
      <c r="AQ70" s="89">
        <f>IF('P38'!$E66&gt;"",'P38'!$E66&amp;" "&amp;CHAR(10)&amp;'P38'!$F66,'P38'!$E66)</f>
        <v>0</v>
      </c>
      <c r="AR70" s="89">
        <f>IF('P39'!$E66&gt;"",'P39'!$E66&amp;" "&amp;CHAR(10)&amp;'P39'!$F66,'P39'!$E66)</f>
        <v>0</v>
      </c>
      <c r="AS70" s="89">
        <f>IF('P40'!$E66&gt;"",'P40'!$E66&amp;" "&amp;CHAR(10)&amp;'P40'!$F66,'P40'!$E66)</f>
        <v>0</v>
      </c>
      <c r="AT70" s="55">
        <f t="shared" si="5"/>
        <v>0</v>
      </c>
      <c r="AU70" s="9">
        <f t="shared" si="6"/>
        <v>0</v>
      </c>
      <c r="AV70" s="55">
        <f t="shared" si="7"/>
        <v>0</v>
      </c>
      <c r="AW70" s="38" t="str">
        <f t="shared" si="8"/>
        <v>NT</v>
      </c>
      <c r="AX70" s="12"/>
      <c r="AY70" s="10"/>
      <c r="AZ70" s="10"/>
      <c r="BA70" s="10" t="str">
        <f>IF('P01'!$G66&lt;&gt;"", 'P01'!$G66, "non")</f>
        <v>non</v>
      </c>
      <c r="BB70" s="10" t="str">
        <f>IF('P02'!$G66&lt;&gt;"", 'P02'!$G66, "non")</f>
        <v>non</v>
      </c>
      <c r="BC70" s="10" t="str">
        <f>IF('P03'!$G66&lt;&gt;"", 'P03'!$G66, "non")</f>
        <v>non</v>
      </c>
      <c r="BD70" s="10" t="str">
        <f>IF('P04'!$G66&lt;&gt;"", 'P04'!$G66, "non")</f>
        <v>non</v>
      </c>
      <c r="BE70" s="10" t="str">
        <f>IF('P05'!$G66&lt;&gt;"", 'P05'!$G66, "non")</f>
        <v>non</v>
      </c>
      <c r="BF70" s="10" t="str">
        <f>IF('P06'!$G66&lt;&gt;"", 'P06'!$G66, "non")</f>
        <v>non</v>
      </c>
      <c r="BG70" s="10" t="str">
        <f>IF('P07'!$G66&lt;&gt;"", 'P07'!$G66, "non")</f>
        <v>non</v>
      </c>
      <c r="BH70" s="10" t="str">
        <f>IF('P08'!$G66&lt;&gt;"", 'P08'!$G66, "non")</f>
        <v>non</v>
      </c>
      <c r="BI70" s="10" t="str">
        <f>IF('P09'!$G66&lt;&gt;"", 'P09'!$G66, "non")</f>
        <v>non</v>
      </c>
      <c r="BJ70" s="10" t="str">
        <f>IF('P10'!$G66&lt;&gt;"", 'P10'!$G66, "non")</f>
        <v>non</v>
      </c>
      <c r="BK70" s="10" t="str">
        <f>IF('P11'!$G66&lt;&gt;"", 'P11'!$G66, "non")</f>
        <v>non</v>
      </c>
      <c r="BL70" s="10" t="str">
        <f>IF('P12'!$G66&lt;&gt;"", 'P12'!$G66, "non")</f>
        <v>non</v>
      </c>
      <c r="BM70" s="10" t="str">
        <f>IF('P13'!$G66&lt;&gt;"", 'P13'!$G66, "non")</f>
        <v>non</v>
      </c>
      <c r="BN70" s="10" t="str">
        <f>IF('P14'!$G66&lt;&gt;"", 'P14'!$G66, "non")</f>
        <v>non</v>
      </c>
      <c r="BO70" s="10" t="str">
        <f>IF('P15'!$G66&lt;&gt;"", 'P15'!$G66, "non")</f>
        <v>non</v>
      </c>
      <c r="BP70" s="10" t="str">
        <f>IF('P16'!$G66&lt;&gt;"", 'P16'!$G66, "non")</f>
        <v>non</v>
      </c>
      <c r="BQ70" s="10" t="str">
        <f>IF('P17'!$G66&lt;&gt;"", 'P17'!$G66, "non")</f>
        <v>non</v>
      </c>
      <c r="BR70" s="10" t="str">
        <f>IF('P18'!$G66&lt;&gt;"", 'P18'!$G66, "non")</f>
        <v>non</v>
      </c>
      <c r="BS70" s="10" t="str">
        <f>IF('P19'!$G66&lt;&gt;"", 'P19'!$G66, "non")</f>
        <v>non</v>
      </c>
      <c r="BT70" s="11" t="str">
        <f>IF('P20'!$G66&lt;&gt;"", 'P20'!$G66, "non")</f>
        <v>non</v>
      </c>
      <c r="BU70" s="10" t="str">
        <f>IF('P21'!$G66&lt;&gt;"", 'P21'!$G66, "non")</f>
        <v>non</v>
      </c>
      <c r="BV70" s="11" t="str">
        <f>IF('P22'!$G66&lt;&gt;"", 'P22'!$G66, "non")</f>
        <v>non</v>
      </c>
      <c r="BW70" s="10" t="str">
        <f>IF('P23'!$G66&lt;&gt;"", 'P23'!$G66, "non")</f>
        <v>non</v>
      </c>
      <c r="BX70" s="11" t="str">
        <f>IF('P24'!$G66&lt;&gt;"", 'P24'!$G66, "non")</f>
        <v>non</v>
      </c>
      <c r="BY70" s="10" t="str">
        <f>IF('P25'!$G66&lt;&gt;"", 'P25'!$G66, "non")</f>
        <v>non</v>
      </c>
      <c r="BZ70" s="11" t="str">
        <f>IF('P26'!$G66&lt;&gt;"", 'P26'!$G66, "non")</f>
        <v>non</v>
      </c>
      <c r="CA70" s="10" t="str">
        <f>IF('P27'!$G66&lt;&gt;"", 'P27'!$G66, "non")</f>
        <v>non</v>
      </c>
      <c r="CB70" s="11" t="str">
        <f>IF('P28'!$G66&lt;&gt;"", 'P28'!$G66, "non")</f>
        <v>non</v>
      </c>
      <c r="CC70" s="10" t="str">
        <f>IF('P29'!$G66&lt;&gt;"", 'P29'!$G66, "non")</f>
        <v>non</v>
      </c>
      <c r="CD70" s="11" t="str">
        <f>IF('P30'!$G66&lt;&gt;"", 'P30'!$G66, "non")</f>
        <v>non</v>
      </c>
      <c r="CE70" s="10" t="str">
        <f>IF('P31'!$G66&lt;&gt;"", 'P31'!$G66, "non")</f>
        <v>non</v>
      </c>
      <c r="CF70" s="11" t="str">
        <f>IF('P32'!$G66&lt;&gt;"", 'P32'!$G66, "non")</f>
        <v>non</v>
      </c>
      <c r="CG70" s="10" t="str">
        <f>IF('P33'!$G66&lt;&gt;"", 'P33'!$G66, "non")</f>
        <v>non</v>
      </c>
      <c r="CH70" s="10" t="str">
        <f>IF('P34'!$G66&lt;&gt;"", 'P34'!$G66, "non")</f>
        <v>non</v>
      </c>
      <c r="CI70" s="11" t="str">
        <f>IF('P35'!$G66&lt;&gt;"", 'P35'!$G66, "non")</f>
        <v>non</v>
      </c>
      <c r="CJ70" s="10" t="str">
        <f>IF('P36'!$G66&lt;&gt;"", 'P36'!$G66, "non")</f>
        <v>non</v>
      </c>
      <c r="CK70" s="11" t="str">
        <f>IF('P37'!$G66&lt;&gt;"", 'P37'!$G66, "non")</f>
        <v>non</v>
      </c>
      <c r="CL70" s="10" t="str">
        <f>IF('P38'!$G66&lt;&gt;"", 'P38'!$G66, "non")</f>
        <v>non</v>
      </c>
      <c r="CM70" s="11" t="str">
        <f>IF('P39'!$G66&lt;&gt;"", 'P39'!$G66, "non")</f>
        <v>non</v>
      </c>
      <c r="CN70" s="10" t="str">
        <f>IF('P40'!$G66&lt;&gt;"", 'P40'!$G66, "non")</f>
        <v>non</v>
      </c>
    </row>
    <row r="71" spans="1:92" ht="39.75" customHeight="1">
      <c r="A71" s="122" t="str">
        <f>'Critères et tests'!B66</f>
        <v>PRÉSENTATION</v>
      </c>
      <c r="B71" s="124" t="str">
        <f>'Critères et tests'!$A66</f>
        <v>10.8</v>
      </c>
      <c r="C71" s="192" t="str">
        <f>VLOOKUP(B71,'Critères et tests'!$1:$1048576,5,FALSE)</f>
        <v>Pour chaque page web, les contenus cachés ont-ils vocation à être ignorés par les technologies d’assistance ?</v>
      </c>
      <c r="D71" s="124" t="str">
        <f>'Critères et tests'!$C66</f>
        <v>A</v>
      </c>
      <c r="E71" s="156" t="s">
        <v>460</v>
      </c>
      <c r="F71" s="88">
        <f>IF('P01'!$E67&gt;"",'P01'!$E67&amp;" "&amp;CHAR(10)&amp;'P01'!$F67,'P01'!$E67)</f>
        <v>0</v>
      </c>
      <c r="G71" s="89">
        <f>IF('P02'!$E67&gt;"",'P02'!$E67&amp;" "&amp;CHAR(10)&amp;'P02'!$F67,'P02'!$E67)</f>
        <v>0</v>
      </c>
      <c r="H71" s="89">
        <f>IF('P03'!$E67&gt;"",'P03'!$E67&amp;" "&amp;CHAR(10)&amp;'P03'!$F67,'P03'!$E67)</f>
        <v>0</v>
      </c>
      <c r="I71" s="89">
        <f>IF('P04'!$E67&gt;"",'P04'!$E67&amp;" "&amp;CHAR(10)&amp;'P04'!$F67,'P04'!$E67)</f>
        <v>0</v>
      </c>
      <c r="J71" s="89">
        <f>IF('P05'!$E67&gt;"",'P05'!$E67&amp;" "&amp;CHAR(10)&amp;'P05'!$F67,'P05'!$E67)</f>
        <v>0</v>
      </c>
      <c r="K71" s="89">
        <f>IF('P06'!$E67&gt;"",'P06'!$E67&amp;" "&amp;CHAR(10)&amp;'P06'!$F67,'P06'!$E67)</f>
        <v>0</v>
      </c>
      <c r="L71" s="89">
        <f>IF('P07'!$E67&gt;"",'P07'!$E67&amp;" "&amp;CHAR(10)&amp;'P07'!$F67,'P07'!$E67)</f>
        <v>0</v>
      </c>
      <c r="M71" s="89">
        <f>IF('P08'!$E67&gt;"",'P08'!$E67&amp;" "&amp;CHAR(10)&amp;'P08'!$F67,'P08'!$E67)</f>
        <v>0</v>
      </c>
      <c r="N71" s="89">
        <f>IF('P09'!$E67&gt;"",'P09'!$E67&amp;" "&amp;CHAR(10)&amp;'P09'!$F67,'P09'!$E67)</f>
        <v>0</v>
      </c>
      <c r="O71" s="89">
        <f>IF('P10'!$E67&gt;"",'P10'!$E67&amp;" "&amp;CHAR(10)&amp;'P10'!$F67,'P10'!$E67)</f>
        <v>0</v>
      </c>
      <c r="P71" s="89">
        <f>IF('P11'!$E67&gt;"",'P11'!$E67&amp;" "&amp;CHAR(10)&amp;'P11'!$F67,'P11'!$E67)</f>
        <v>0</v>
      </c>
      <c r="Q71" s="89">
        <f>IF('P12'!$E67&gt;"",'P12'!$E67&amp;" "&amp;CHAR(10)&amp;'P12'!$F67,'P12'!$E67)</f>
        <v>0</v>
      </c>
      <c r="R71" s="89">
        <f>IF('P13'!$E67&gt;"",'P13'!$E67&amp;" "&amp;CHAR(10)&amp;'P13'!$F67,'P13'!$E67)</f>
        <v>0</v>
      </c>
      <c r="S71" s="89">
        <f>IF('P14'!$E67&gt;"",'P14'!$E67&amp;" "&amp;CHAR(10)&amp;'P14'!$F67,'P14'!$E67)</f>
        <v>0</v>
      </c>
      <c r="T71" s="89">
        <f>IF('P15'!$E67&gt;"",'P15'!$E67&amp;" "&amp;CHAR(10)&amp;'P15'!$F67,'P15'!$E67)</f>
        <v>0</v>
      </c>
      <c r="U71" s="89">
        <f>IF('P16'!$E67&gt;"",'P16'!$E67&amp;" "&amp;CHAR(10)&amp;'P16'!$F67,'P16'!$E67)</f>
        <v>0</v>
      </c>
      <c r="V71" s="89">
        <f>IF('P17'!$E67&gt;"",'P17'!$E67&amp;" "&amp;CHAR(10)&amp;'P17'!$F67,'P17'!$E67)</f>
        <v>0</v>
      </c>
      <c r="W71" s="89">
        <f>IF('P18'!$E67&gt;"",'P18'!$E67&amp;" "&amp;CHAR(10)&amp;'P18'!$F67,'P18'!$E67)</f>
        <v>0</v>
      </c>
      <c r="X71" s="89">
        <f>IF('P19'!$E67&gt;"",'P19'!$E67&amp;" "&amp;CHAR(10)&amp;'P19'!$F67,'P19'!$E67)</f>
        <v>0</v>
      </c>
      <c r="Y71" s="89">
        <f>IF('P20'!$E67&gt;"",'P20'!$E67&amp;" "&amp;CHAR(10)&amp;'P20'!$F67,'P20'!$E67)</f>
        <v>0</v>
      </c>
      <c r="Z71" s="89">
        <f>IF('P21'!$E67&gt;"",'P21'!$E67&amp;" "&amp;CHAR(10)&amp;'P21'!$F67,'P21'!$E67)</f>
        <v>0</v>
      </c>
      <c r="AA71" s="89">
        <f>IF('P22'!$E67&gt;"",'P22'!$E67&amp;" "&amp;CHAR(10)&amp;'P22'!$F67,'P22'!$E67)</f>
        <v>0</v>
      </c>
      <c r="AB71" s="89">
        <f>IF('P23'!$E67&gt;"",'P23'!$E67&amp;" "&amp;CHAR(10)&amp;'P23'!$F67,'P23'!$E67)</f>
        <v>0</v>
      </c>
      <c r="AC71" s="89">
        <f>IF('P24'!$E67&gt;"",'P24'!$E67&amp;" "&amp;CHAR(10)&amp;'P24'!$F67,'P24'!$E67)</f>
        <v>0</v>
      </c>
      <c r="AD71" s="89">
        <f>IF('P25'!$E67&gt;"",'P25'!$E67&amp;" "&amp;CHAR(10)&amp;'P25'!$F67,'P25'!$E67)</f>
        <v>0</v>
      </c>
      <c r="AE71" s="89">
        <f>IF('P26'!$E67&gt;"",'P26'!$E67&amp;" "&amp;CHAR(10)&amp;'P26'!$F67,'P26'!$E67)</f>
        <v>0</v>
      </c>
      <c r="AF71" s="89">
        <f>IF('P27'!$E67&gt;"",'P27'!$E67&amp;" "&amp;CHAR(10)&amp;'P27'!$F67,'P27'!$E67)</f>
        <v>0</v>
      </c>
      <c r="AG71" s="89">
        <f>IF('P28'!$E67&gt;"",'P28'!$E67&amp;" "&amp;CHAR(10)&amp;'P28'!$F67,'P28'!$E67)</f>
        <v>0</v>
      </c>
      <c r="AH71" s="89">
        <f>IF('P29'!$E67&gt;"",'P29'!$E67&amp;" "&amp;CHAR(10)&amp;'P29'!$F67,'P29'!$E67)</f>
        <v>0</v>
      </c>
      <c r="AI71" s="89">
        <f>IF('P30'!$E67&gt;"",'P30'!$E67&amp;" "&amp;CHAR(10)&amp;'P30'!$F67,'P30'!$E67)</f>
        <v>0</v>
      </c>
      <c r="AJ71" s="89">
        <f>IF('P31'!$E67&gt;"",'P31'!$E67&amp;" "&amp;CHAR(10)&amp;'P31'!$F67,'P31'!$E67)</f>
        <v>0</v>
      </c>
      <c r="AK71" s="89">
        <f>IF('P32'!$E67&gt;"",'P32'!$E67&amp;" "&amp;CHAR(10)&amp;'P32'!$F67,'P32'!$E67)</f>
        <v>0</v>
      </c>
      <c r="AL71" s="89">
        <f>IF('P33'!$E67&gt;"",'P33'!$E67&amp;" "&amp;CHAR(10)&amp;'P33'!$F67,'P33'!$E67)</f>
        <v>0</v>
      </c>
      <c r="AM71" s="89">
        <f>IF('P34'!$E67&gt;"",'P34'!$E67&amp;" "&amp;CHAR(10)&amp;'P34'!$F67,'P34'!$E67)</f>
        <v>0</v>
      </c>
      <c r="AN71" s="89">
        <f>IF('P35'!$E67&gt;"",'P35'!$E67&amp;" "&amp;CHAR(10)&amp;'P35'!$F67,'P35'!$E67)</f>
        <v>0</v>
      </c>
      <c r="AO71" s="89">
        <f>IF('P36'!$E67&gt;"",'P36'!$E67&amp;" "&amp;CHAR(10)&amp;'P36'!$F67,'P36'!$E67)</f>
        <v>0</v>
      </c>
      <c r="AP71" s="89">
        <f>IF('P37'!$E67&gt;"",'P37'!$E67&amp;" "&amp;CHAR(10)&amp;'P37'!$F67,'P37'!$E67)</f>
        <v>0</v>
      </c>
      <c r="AQ71" s="89">
        <f>IF('P38'!$E67&gt;"",'P38'!$E67&amp;" "&amp;CHAR(10)&amp;'P38'!$F67,'P38'!$E67)</f>
        <v>0</v>
      </c>
      <c r="AR71" s="89">
        <f>IF('P39'!$E67&gt;"",'P39'!$E67&amp;" "&amp;CHAR(10)&amp;'P39'!$F67,'P39'!$E67)</f>
        <v>0</v>
      </c>
      <c r="AS71" s="89">
        <f>IF('P40'!$E67&gt;"",'P40'!$E67&amp;" "&amp;CHAR(10)&amp;'P40'!$F67,'P40'!$E67)</f>
        <v>0</v>
      </c>
      <c r="AT71" s="55">
        <f t="shared" si="5"/>
        <v>0</v>
      </c>
      <c r="AU71" s="9">
        <f t="shared" si="6"/>
        <v>0</v>
      </c>
      <c r="AV71" s="55">
        <f t="shared" si="7"/>
        <v>0</v>
      </c>
      <c r="AW71" s="38" t="str">
        <f t="shared" si="8"/>
        <v>NT</v>
      </c>
      <c r="AX71" s="12"/>
      <c r="AY71" s="10"/>
      <c r="AZ71" s="10"/>
      <c r="BA71" s="10" t="str">
        <f>IF('P01'!$G67&lt;&gt;"", 'P01'!$G67, "non")</f>
        <v>non</v>
      </c>
      <c r="BB71" s="10" t="str">
        <f>IF('P02'!$G67&lt;&gt;"", 'P02'!$G67, "non")</f>
        <v>non</v>
      </c>
      <c r="BC71" s="10" t="str">
        <f>IF('P03'!$G67&lt;&gt;"", 'P03'!$G67, "non")</f>
        <v>non</v>
      </c>
      <c r="BD71" s="10" t="str">
        <f>IF('P04'!$G67&lt;&gt;"", 'P04'!$G67, "non")</f>
        <v>non</v>
      </c>
      <c r="BE71" s="10" t="str">
        <f>IF('P05'!$G67&lt;&gt;"", 'P05'!$G67, "non")</f>
        <v>non</v>
      </c>
      <c r="BF71" s="10" t="str">
        <f>IF('P06'!$G67&lt;&gt;"", 'P06'!$G67, "non")</f>
        <v>non</v>
      </c>
      <c r="BG71" s="10" t="str">
        <f>IF('P07'!$G67&lt;&gt;"", 'P07'!$G67, "non")</f>
        <v>non</v>
      </c>
      <c r="BH71" s="10" t="str">
        <f>IF('P08'!$G67&lt;&gt;"", 'P08'!$G67, "non")</f>
        <v>non</v>
      </c>
      <c r="BI71" s="10" t="str">
        <f>IF('P09'!$G67&lt;&gt;"", 'P09'!$G67, "non")</f>
        <v>non</v>
      </c>
      <c r="BJ71" s="10" t="str">
        <f>IF('P10'!$G67&lt;&gt;"", 'P10'!$G67, "non")</f>
        <v>non</v>
      </c>
      <c r="BK71" s="10" t="str">
        <f>IF('P11'!$G67&lt;&gt;"", 'P11'!$G67, "non")</f>
        <v>non</v>
      </c>
      <c r="BL71" s="10" t="str">
        <f>IF('P12'!$G67&lt;&gt;"", 'P12'!$G67, "non")</f>
        <v>non</v>
      </c>
      <c r="BM71" s="10" t="str">
        <f>IF('P13'!$G67&lt;&gt;"", 'P13'!$G67, "non")</f>
        <v>non</v>
      </c>
      <c r="BN71" s="10" t="str">
        <f>IF('P14'!$G67&lt;&gt;"", 'P14'!$G67, "non")</f>
        <v>non</v>
      </c>
      <c r="BO71" s="10" t="str">
        <f>IF('P15'!$G67&lt;&gt;"", 'P15'!$G67, "non")</f>
        <v>non</v>
      </c>
      <c r="BP71" s="10" t="str">
        <f>IF('P16'!$G67&lt;&gt;"", 'P16'!$G67, "non")</f>
        <v>non</v>
      </c>
      <c r="BQ71" s="10" t="str">
        <f>IF('P17'!$G67&lt;&gt;"", 'P17'!$G67, "non")</f>
        <v>non</v>
      </c>
      <c r="BR71" s="10" t="str">
        <f>IF('P18'!$G67&lt;&gt;"", 'P18'!$G67, "non")</f>
        <v>non</v>
      </c>
      <c r="BS71" s="10" t="str">
        <f>IF('P19'!$G67&lt;&gt;"", 'P19'!$G67, "non")</f>
        <v>non</v>
      </c>
      <c r="BT71" s="11" t="str">
        <f>IF('P20'!$G67&lt;&gt;"", 'P20'!$G67, "non")</f>
        <v>non</v>
      </c>
      <c r="BU71" s="10" t="str">
        <f>IF('P21'!$G67&lt;&gt;"", 'P21'!$G67, "non")</f>
        <v>non</v>
      </c>
      <c r="BV71" s="11" t="str">
        <f>IF('P22'!$G67&lt;&gt;"", 'P22'!$G67, "non")</f>
        <v>non</v>
      </c>
      <c r="BW71" s="10" t="str">
        <f>IF('P23'!$G67&lt;&gt;"", 'P23'!$G67, "non")</f>
        <v>non</v>
      </c>
      <c r="BX71" s="11" t="str">
        <f>IF('P24'!$G67&lt;&gt;"", 'P24'!$G67, "non")</f>
        <v>non</v>
      </c>
      <c r="BY71" s="10" t="str">
        <f>IF('P25'!$G67&lt;&gt;"", 'P25'!$G67, "non")</f>
        <v>non</v>
      </c>
      <c r="BZ71" s="11" t="str">
        <f>IF('P26'!$G67&lt;&gt;"", 'P26'!$G67, "non")</f>
        <v>non</v>
      </c>
      <c r="CA71" s="10" t="str">
        <f>IF('P27'!$G67&lt;&gt;"", 'P27'!$G67, "non")</f>
        <v>non</v>
      </c>
      <c r="CB71" s="11" t="str">
        <f>IF('P28'!$G67&lt;&gt;"", 'P28'!$G67, "non")</f>
        <v>non</v>
      </c>
      <c r="CC71" s="10" t="str">
        <f>IF('P29'!$G67&lt;&gt;"", 'P29'!$G67, "non")</f>
        <v>non</v>
      </c>
      <c r="CD71" s="11" t="str">
        <f>IF('P30'!$G67&lt;&gt;"", 'P30'!$G67, "non")</f>
        <v>non</v>
      </c>
      <c r="CE71" s="10" t="str">
        <f>IF('P31'!$G67&lt;&gt;"", 'P31'!$G67, "non")</f>
        <v>non</v>
      </c>
      <c r="CF71" s="11" t="str">
        <f>IF('P32'!$G67&lt;&gt;"", 'P32'!$G67, "non")</f>
        <v>non</v>
      </c>
      <c r="CG71" s="10" t="str">
        <f>IF('P33'!$G67&lt;&gt;"", 'P33'!$G67, "non")</f>
        <v>non</v>
      </c>
      <c r="CH71" s="10" t="str">
        <f>IF('P34'!$G67&lt;&gt;"", 'P34'!$G67, "non")</f>
        <v>non</v>
      </c>
      <c r="CI71" s="11" t="str">
        <f>IF('P35'!$G67&lt;&gt;"", 'P35'!$G67, "non")</f>
        <v>non</v>
      </c>
      <c r="CJ71" s="10" t="str">
        <f>IF('P36'!$G67&lt;&gt;"", 'P36'!$G67, "non")</f>
        <v>non</v>
      </c>
      <c r="CK71" s="11" t="str">
        <f>IF('P37'!$G67&lt;&gt;"", 'P37'!$G67, "non")</f>
        <v>non</v>
      </c>
      <c r="CL71" s="10" t="str">
        <f>IF('P38'!$G67&lt;&gt;"", 'P38'!$G67, "non")</f>
        <v>non</v>
      </c>
      <c r="CM71" s="11" t="str">
        <f>IF('P39'!$G67&lt;&gt;"", 'P39'!$G67, "non")</f>
        <v>non</v>
      </c>
      <c r="CN71" s="10" t="str">
        <f>IF('P40'!$G67&lt;&gt;"", 'P40'!$G67, "non")</f>
        <v>non</v>
      </c>
    </row>
    <row r="72" spans="1:92" ht="39.75" customHeight="1">
      <c r="A72" s="122" t="str">
        <f>'Critères et tests'!B67</f>
        <v>PRÉSENTATION</v>
      </c>
      <c r="B72" s="124" t="str">
        <f>'Critères et tests'!$A67</f>
        <v>10.9</v>
      </c>
      <c r="C72" s="192" t="str">
        <f>VLOOKUP(B72,'Critères et tests'!$1:$1048576,5,FALSE)</f>
        <v>Dans chaque page web, l’information ne doit pas être donnée uniquement par la forme, taille ou position. Cette règle est-elle respectée ?</v>
      </c>
      <c r="D72" s="124" t="str">
        <f>'Critères et tests'!$C67</f>
        <v>A</v>
      </c>
      <c r="E72" s="156" t="s">
        <v>460</v>
      </c>
      <c r="F72" s="88">
        <f>IF('P01'!$E68&gt;"",'P01'!$E68&amp;" "&amp;CHAR(10)&amp;'P01'!$F68,'P01'!$E68)</f>
        <v>0</v>
      </c>
      <c r="G72" s="89">
        <f>IF('P02'!$E68&gt;"",'P02'!$E68&amp;" "&amp;CHAR(10)&amp;'P02'!$F68,'P02'!$E68)</f>
        <v>0</v>
      </c>
      <c r="H72" s="89">
        <f>IF('P03'!$E68&gt;"",'P03'!$E68&amp;" "&amp;CHAR(10)&amp;'P03'!$F68,'P03'!$E68)</f>
        <v>0</v>
      </c>
      <c r="I72" s="89">
        <f>IF('P04'!$E68&gt;"",'P04'!$E68&amp;" "&amp;CHAR(10)&amp;'P04'!$F68,'P04'!$E68)</f>
        <v>0</v>
      </c>
      <c r="J72" s="89">
        <f>IF('P05'!$E68&gt;"",'P05'!$E68&amp;" "&amp;CHAR(10)&amp;'P05'!$F68,'P05'!$E68)</f>
        <v>0</v>
      </c>
      <c r="K72" s="89">
        <f>IF('P06'!$E68&gt;"",'P06'!$E68&amp;" "&amp;CHAR(10)&amp;'P06'!$F68,'P06'!$E68)</f>
        <v>0</v>
      </c>
      <c r="L72" s="89">
        <f>IF('P07'!$E68&gt;"",'P07'!$E68&amp;" "&amp;CHAR(10)&amp;'P07'!$F68,'P07'!$E68)</f>
        <v>0</v>
      </c>
      <c r="M72" s="89">
        <f>IF('P08'!$E68&gt;"",'P08'!$E68&amp;" "&amp;CHAR(10)&amp;'P08'!$F68,'P08'!$E68)</f>
        <v>0</v>
      </c>
      <c r="N72" s="89">
        <f>IF('P09'!$E68&gt;"",'P09'!$E68&amp;" "&amp;CHAR(10)&amp;'P09'!$F68,'P09'!$E68)</f>
        <v>0</v>
      </c>
      <c r="O72" s="89">
        <f>IF('P10'!$E68&gt;"",'P10'!$E68&amp;" "&amp;CHAR(10)&amp;'P10'!$F68,'P10'!$E68)</f>
        <v>0</v>
      </c>
      <c r="P72" s="89">
        <f>IF('P11'!$E68&gt;"",'P11'!$E68&amp;" "&amp;CHAR(10)&amp;'P11'!$F68,'P11'!$E68)</f>
        <v>0</v>
      </c>
      <c r="Q72" s="89">
        <f>IF('P12'!$E68&gt;"",'P12'!$E68&amp;" "&amp;CHAR(10)&amp;'P12'!$F68,'P12'!$E68)</f>
        <v>0</v>
      </c>
      <c r="R72" s="89">
        <f>IF('P13'!$E68&gt;"",'P13'!$E68&amp;" "&amp;CHAR(10)&amp;'P13'!$F68,'P13'!$E68)</f>
        <v>0</v>
      </c>
      <c r="S72" s="89">
        <f>IF('P14'!$E68&gt;"",'P14'!$E68&amp;" "&amp;CHAR(10)&amp;'P14'!$F68,'P14'!$E68)</f>
        <v>0</v>
      </c>
      <c r="T72" s="89">
        <f>IF('P15'!$E68&gt;"",'P15'!$E68&amp;" "&amp;CHAR(10)&amp;'P15'!$F68,'P15'!$E68)</f>
        <v>0</v>
      </c>
      <c r="U72" s="89">
        <f>IF('P16'!$E68&gt;"",'P16'!$E68&amp;" "&amp;CHAR(10)&amp;'P16'!$F68,'P16'!$E68)</f>
        <v>0</v>
      </c>
      <c r="V72" s="89">
        <f>IF('P17'!$E68&gt;"",'P17'!$E68&amp;" "&amp;CHAR(10)&amp;'P17'!$F68,'P17'!$E68)</f>
        <v>0</v>
      </c>
      <c r="W72" s="89">
        <f>IF('P18'!$E68&gt;"",'P18'!$E68&amp;" "&amp;CHAR(10)&amp;'P18'!$F68,'P18'!$E68)</f>
        <v>0</v>
      </c>
      <c r="X72" s="89">
        <f>IF('P19'!$E68&gt;"",'P19'!$E68&amp;" "&amp;CHAR(10)&amp;'P19'!$F68,'P19'!$E68)</f>
        <v>0</v>
      </c>
      <c r="Y72" s="89">
        <f>IF('P20'!$E68&gt;"",'P20'!$E68&amp;" "&amp;CHAR(10)&amp;'P20'!$F68,'P20'!$E68)</f>
        <v>0</v>
      </c>
      <c r="Z72" s="89">
        <f>IF('P21'!$E68&gt;"",'P21'!$E68&amp;" "&amp;CHAR(10)&amp;'P21'!$F68,'P21'!$E68)</f>
        <v>0</v>
      </c>
      <c r="AA72" s="89">
        <f>IF('P22'!$E68&gt;"",'P22'!$E68&amp;" "&amp;CHAR(10)&amp;'P22'!$F68,'P22'!$E68)</f>
        <v>0</v>
      </c>
      <c r="AB72" s="89">
        <f>IF('P23'!$E68&gt;"",'P23'!$E68&amp;" "&amp;CHAR(10)&amp;'P23'!$F68,'P23'!$E68)</f>
        <v>0</v>
      </c>
      <c r="AC72" s="89">
        <f>IF('P24'!$E68&gt;"",'P24'!$E68&amp;" "&amp;CHAR(10)&amp;'P24'!$F68,'P24'!$E68)</f>
        <v>0</v>
      </c>
      <c r="AD72" s="89">
        <f>IF('P25'!$E68&gt;"",'P25'!$E68&amp;" "&amp;CHAR(10)&amp;'P25'!$F68,'P25'!$E68)</f>
        <v>0</v>
      </c>
      <c r="AE72" s="89">
        <f>IF('P26'!$E68&gt;"",'P26'!$E68&amp;" "&amp;CHAR(10)&amp;'P26'!$F68,'P26'!$E68)</f>
        <v>0</v>
      </c>
      <c r="AF72" s="89">
        <f>IF('P27'!$E68&gt;"",'P27'!$E68&amp;" "&amp;CHAR(10)&amp;'P27'!$F68,'P27'!$E68)</f>
        <v>0</v>
      </c>
      <c r="AG72" s="89">
        <f>IF('P28'!$E68&gt;"",'P28'!$E68&amp;" "&amp;CHAR(10)&amp;'P28'!$F68,'P28'!$E68)</f>
        <v>0</v>
      </c>
      <c r="AH72" s="89">
        <f>IF('P29'!$E68&gt;"",'P29'!$E68&amp;" "&amp;CHAR(10)&amp;'P29'!$F68,'P29'!$E68)</f>
        <v>0</v>
      </c>
      <c r="AI72" s="89">
        <f>IF('P30'!$E68&gt;"",'P30'!$E68&amp;" "&amp;CHAR(10)&amp;'P30'!$F68,'P30'!$E68)</f>
        <v>0</v>
      </c>
      <c r="AJ72" s="89">
        <f>IF('P31'!$E68&gt;"",'P31'!$E68&amp;" "&amp;CHAR(10)&amp;'P31'!$F68,'P31'!$E68)</f>
        <v>0</v>
      </c>
      <c r="AK72" s="89">
        <f>IF('P32'!$E68&gt;"",'P32'!$E68&amp;" "&amp;CHAR(10)&amp;'P32'!$F68,'P32'!$E68)</f>
        <v>0</v>
      </c>
      <c r="AL72" s="89">
        <f>IF('P33'!$E68&gt;"",'P33'!$E68&amp;" "&amp;CHAR(10)&amp;'P33'!$F68,'P33'!$E68)</f>
        <v>0</v>
      </c>
      <c r="AM72" s="89">
        <f>IF('P34'!$E68&gt;"",'P34'!$E68&amp;" "&amp;CHAR(10)&amp;'P34'!$F68,'P34'!$E68)</f>
        <v>0</v>
      </c>
      <c r="AN72" s="89">
        <f>IF('P35'!$E68&gt;"",'P35'!$E68&amp;" "&amp;CHAR(10)&amp;'P35'!$F68,'P35'!$E68)</f>
        <v>0</v>
      </c>
      <c r="AO72" s="89">
        <f>IF('P36'!$E68&gt;"",'P36'!$E68&amp;" "&amp;CHAR(10)&amp;'P36'!$F68,'P36'!$E68)</f>
        <v>0</v>
      </c>
      <c r="AP72" s="89">
        <f>IF('P37'!$E68&gt;"",'P37'!$E68&amp;" "&amp;CHAR(10)&amp;'P37'!$F68,'P37'!$E68)</f>
        <v>0</v>
      </c>
      <c r="AQ72" s="89">
        <f>IF('P38'!$E68&gt;"",'P38'!$E68&amp;" "&amp;CHAR(10)&amp;'P38'!$F68,'P38'!$E68)</f>
        <v>0</v>
      </c>
      <c r="AR72" s="89">
        <f>IF('P39'!$E68&gt;"",'P39'!$E68&amp;" "&amp;CHAR(10)&amp;'P39'!$F68,'P39'!$E68)</f>
        <v>0</v>
      </c>
      <c r="AS72" s="89">
        <f>IF('P40'!$E68&gt;"",'P40'!$E68&amp;" "&amp;CHAR(10)&amp;'P40'!$F68,'P40'!$E68)</f>
        <v>0</v>
      </c>
      <c r="AT72" s="55">
        <f t="shared" si="5"/>
        <v>0</v>
      </c>
      <c r="AU72" s="9">
        <f t="shared" si="6"/>
        <v>0</v>
      </c>
      <c r="AV72" s="55">
        <f t="shared" si="7"/>
        <v>0</v>
      </c>
      <c r="AW72" s="38" t="str">
        <f t="shared" si="8"/>
        <v>NT</v>
      </c>
      <c r="AX72" s="12"/>
      <c r="AY72" s="10"/>
      <c r="AZ72" s="10"/>
      <c r="BA72" s="10" t="str">
        <f>IF('P01'!$G68&lt;&gt;"", 'P01'!$G68, "non")</f>
        <v>non</v>
      </c>
      <c r="BB72" s="10" t="str">
        <f>IF('P02'!$G68&lt;&gt;"", 'P02'!$G68, "non")</f>
        <v>non</v>
      </c>
      <c r="BC72" s="10" t="str">
        <f>IF('P03'!$G68&lt;&gt;"", 'P03'!$G68, "non")</f>
        <v>non</v>
      </c>
      <c r="BD72" s="10" t="str">
        <f>IF('P04'!$G68&lt;&gt;"", 'P04'!$G68, "non")</f>
        <v>non</v>
      </c>
      <c r="BE72" s="10" t="str">
        <f>IF('P05'!$G68&lt;&gt;"", 'P05'!$G68, "non")</f>
        <v>non</v>
      </c>
      <c r="BF72" s="10" t="str">
        <f>IF('P06'!$G68&lt;&gt;"", 'P06'!$G68, "non")</f>
        <v>non</v>
      </c>
      <c r="BG72" s="10" t="str">
        <f>IF('P07'!$G68&lt;&gt;"", 'P07'!$G68, "non")</f>
        <v>non</v>
      </c>
      <c r="BH72" s="10" t="str">
        <f>IF('P08'!$G68&lt;&gt;"", 'P08'!$G68, "non")</f>
        <v>non</v>
      </c>
      <c r="BI72" s="10" t="str">
        <f>IF('P09'!$G68&lt;&gt;"", 'P09'!$G68, "non")</f>
        <v>non</v>
      </c>
      <c r="BJ72" s="10" t="str">
        <f>IF('P10'!$G68&lt;&gt;"", 'P10'!$G68, "non")</f>
        <v>non</v>
      </c>
      <c r="BK72" s="10" t="str">
        <f>IF('P11'!$G68&lt;&gt;"", 'P11'!$G68, "non")</f>
        <v>non</v>
      </c>
      <c r="BL72" s="10" t="str">
        <f>IF('P12'!$G68&lt;&gt;"", 'P12'!$G68, "non")</f>
        <v>non</v>
      </c>
      <c r="BM72" s="10" t="str">
        <f>IF('P13'!$G68&lt;&gt;"", 'P13'!$G68, "non")</f>
        <v>non</v>
      </c>
      <c r="BN72" s="10" t="str">
        <f>IF('P14'!$G68&lt;&gt;"", 'P14'!$G68, "non")</f>
        <v>non</v>
      </c>
      <c r="BO72" s="10" t="str">
        <f>IF('P15'!$G68&lt;&gt;"", 'P15'!$G68, "non")</f>
        <v>non</v>
      </c>
      <c r="BP72" s="10" t="str">
        <f>IF('P16'!$G68&lt;&gt;"", 'P16'!$G68, "non")</f>
        <v>non</v>
      </c>
      <c r="BQ72" s="10" t="str">
        <f>IF('P17'!$G68&lt;&gt;"", 'P17'!$G68, "non")</f>
        <v>non</v>
      </c>
      <c r="BR72" s="10" t="str">
        <f>IF('P18'!$G68&lt;&gt;"", 'P18'!$G68, "non")</f>
        <v>non</v>
      </c>
      <c r="BS72" s="10" t="str">
        <f>IF('P19'!$G68&lt;&gt;"", 'P19'!$G68, "non")</f>
        <v>non</v>
      </c>
      <c r="BT72" s="11" t="str">
        <f>IF('P20'!$G68&lt;&gt;"", 'P20'!$G68, "non")</f>
        <v>non</v>
      </c>
      <c r="BU72" s="10" t="str">
        <f>IF('P21'!$G68&lt;&gt;"", 'P21'!$G68, "non")</f>
        <v>non</v>
      </c>
      <c r="BV72" s="11" t="str">
        <f>IF('P22'!$G68&lt;&gt;"", 'P22'!$G68, "non")</f>
        <v>non</v>
      </c>
      <c r="BW72" s="10" t="str">
        <f>IF('P23'!$G68&lt;&gt;"", 'P23'!$G68, "non")</f>
        <v>non</v>
      </c>
      <c r="BX72" s="11" t="str">
        <f>IF('P24'!$G68&lt;&gt;"", 'P24'!$G68, "non")</f>
        <v>non</v>
      </c>
      <c r="BY72" s="10" t="str">
        <f>IF('P25'!$G68&lt;&gt;"", 'P25'!$G68, "non")</f>
        <v>non</v>
      </c>
      <c r="BZ72" s="11" t="str">
        <f>IF('P26'!$G68&lt;&gt;"", 'P26'!$G68, "non")</f>
        <v>non</v>
      </c>
      <c r="CA72" s="10" t="str">
        <f>IF('P27'!$G68&lt;&gt;"", 'P27'!$G68, "non")</f>
        <v>non</v>
      </c>
      <c r="CB72" s="11" t="str">
        <f>IF('P28'!$G68&lt;&gt;"", 'P28'!$G68, "non")</f>
        <v>non</v>
      </c>
      <c r="CC72" s="10" t="str">
        <f>IF('P29'!$G68&lt;&gt;"", 'P29'!$G68, "non")</f>
        <v>non</v>
      </c>
      <c r="CD72" s="11" t="str">
        <f>IF('P30'!$G68&lt;&gt;"", 'P30'!$G68, "non")</f>
        <v>non</v>
      </c>
      <c r="CE72" s="10" t="str">
        <f>IF('P31'!$G68&lt;&gt;"", 'P31'!$G68, "non")</f>
        <v>non</v>
      </c>
      <c r="CF72" s="11" t="str">
        <f>IF('P32'!$G68&lt;&gt;"", 'P32'!$G68, "non")</f>
        <v>non</v>
      </c>
      <c r="CG72" s="10" t="str">
        <f>IF('P33'!$G68&lt;&gt;"", 'P33'!$G68, "non")</f>
        <v>non</v>
      </c>
      <c r="CH72" s="10" t="str">
        <f>IF('P34'!$G68&lt;&gt;"", 'P34'!$G68, "non")</f>
        <v>non</v>
      </c>
      <c r="CI72" s="11" t="str">
        <f>IF('P35'!$G68&lt;&gt;"", 'P35'!$G68, "non")</f>
        <v>non</v>
      </c>
      <c r="CJ72" s="10" t="str">
        <f>IF('P36'!$G68&lt;&gt;"", 'P36'!$G68, "non")</f>
        <v>non</v>
      </c>
      <c r="CK72" s="11" t="str">
        <f>IF('P37'!$G68&lt;&gt;"", 'P37'!$G68, "non")</f>
        <v>non</v>
      </c>
      <c r="CL72" s="10" t="str">
        <f>IF('P38'!$G68&lt;&gt;"", 'P38'!$G68, "non")</f>
        <v>non</v>
      </c>
      <c r="CM72" s="11" t="str">
        <f>IF('P39'!$G68&lt;&gt;"", 'P39'!$G68, "non")</f>
        <v>non</v>
      </c>
      <c r="CN72" s="10" t="str">
        <f>IF('P40'!$G68&lt;&gt;"", 'P40'!$G68, "non")</f>
        <v>non</v>
      </c>
    </row>
    <row r="73" spans="1:92" ht="39.75" customHeight="1">
      <c r="A73" s="122" t="str">
        <f>'Critères et tests'!B68</f>
        <v>PRÉSENTATION</v>
      </c>
      <c r="B73" s="124" t="str">
        <f>'Critères et tests'!$A68</f>
        <v>10.10</v>
      </c>
      <c r="C73" s="192" t="str">
        <f>VLOOKUP(B73,'Critères et tests'!$1:$1048576,5,FALSE)</f>
        <v>Dans chaque page web, l’information ne doit pas être donnée par la forme, taille ou position uniquement. Cette règle est-elle implémentée de façon pertinente ?</v>
      </c>
      <c r="D73" s="124" t="str">
        <f>'Critères et tests'!$C68</f>
        <v>A</v>
      </c>
      <c r="E73" s="156" t="s">
        <v>460</v>
      </c>
      <c r="F73" s="88">
        <f>IF('P01'!$E69&gt;"",'P01'!$E69&amp;" "&amp;CHAR(10)&amp;'P01'!$F69,'P01'!$E69)</f>
        <v>0</v>
      </c>
      <c r="G73" s="89">
        <f>IF('P02'!$E69&gt;"",'P02'!$E69&amp;" "&amp;CHAR(10)&amp;'P02'!$F69,'P02'!$E69)</f>
        <v>0</v>
      </c>
      <c r="H73" s="89">
        <f>IF('P03'!$E69&gt;"",'P03'!$E69&amp;" "&amp;CHAR(10)&amp;'P03'!$F69,'P03'!$E69)</f>
        <v>0</v>
      </c>
      <c r="I73" s="89">
        <f>IF('P04'!$E69&gt;"",'P04'!$E69&amp;" "&amp;CHAR(10)&amp;'P04'!$F69,'P04'!$E69)</f>
        <v>0</v>
      </c>
      <c r="J73" s="89">
        <f>IF('P05'!$E69&gt;"",'P05'!$E69&amp;" "&amp;CHAR(10)&amp;'P05'!$F69,'P05'!$E69)</f>
        <v>0</v>
      </c>
      <c r="K73" s="89">
        <f>IF('P06'!$E69&gt;"",'P06'!$E69&amp;" "&amp;CHAR(10)&amp;'P06'!$F69,'P06'!$E69)</f>
        <v>0</v>
      </c>
      <c r="L73" s="89">
        <f>IF('P07'!$E69&gt;"",'P07'!$E69&amp;" "&amp;CHAR(10)&amp;'P07'!$F69,'P07'!$E69)</f>
        <v>0</v>
      </c>
      <c r="M73" s="89">
        <f>IF('P08'!$E69&gt;"",'P08'!$E69&amp;" "&amp;CHAR(10)&amp;'P08'!$F69,'P08'!$E69)</f>
        <v>0</v>
      </c>
      <c r="N73" s="89">
        <f>IF('P09'!$E69&gt;"",'P09'!$E69&amp;" "&amp;CHAR(10)&amp;'P09'!$F69,'P09'!$E69)</f>
        <v>0</v>
      </c>
      <c r="O73" s="89">
        <f>IF('P10'!$E69&gt;"",'P10'!$E69&amp;" "&amp;CHAR(10)&amp;'P10'!$F69,'P10'!$E69)</f>
        <v>0</v>
      </c>
      <c r="P73" s="89">
        <f>IF('P11'!$E69&gt;"",'P11'!$E69&amp;" "&amp;CHAR(10)&amp;'P11'!$F69,'P11'!$E69)</f>
        <v>0</v>
      </c>
      <c r="Q73" s="89">
        <f>IF('P12'!$E69&gt;"",'P12'!$E69&amp;" "&amp;CHAR(10)&amp;'P12'!$F69,'P12'!$E69)</f>
        <v>0</v>
      </c>
      <c r="R73" s="89">
        <f>IF('P13'!$E69&gt;"",'P13'!$E69&amp;" "&amp;CHAR(10)&amp;'P13'!$F69,'P13'!$E69)</f>
        <v>0</v>
      </c>
      <c r="S73" s="89">
        <f>IF('P14'!$E69&gt;"",'P14'!$E69&amp;" "&amp;CHAR(10)&amp;'P14'!$F69,'P14'!$E69)</f>
        <v>0</v>
      </c>
      <c r="T73" s="89">
        <f>IF('P15'!$E69&gt;"",'P15'!$E69&amp;" "&amp;CHAR(10)&amp;'P15'!$F69,'P15'!$E69)</f>
        <v>0</v>
      </c>
      <c r="U73" s="89">
        <f>IF('P16'!$E69&gt;"",'P16'!$E69&amp;" "&amp;CHAR(10)&amp;'P16'!$F69,'P16'!$E69)</f>
        <v>0</v>
      </c>
      <c r="V73" s="89">
        <f>IF('P17'!$E69&gt;"",'P17'!$E69&amp;" "&amp;CHAR(10)&amp;'P17'!$F69,'P17'!$E69)</f>
        <v>0</v>
      </c>
      <c r="W73" s="89">
        <f>IF('P18'!$E69&gt;"",'P18'!$E69&amp;" "&amp;CHAR(10)&amp;'P18'!$F69,'P18'!$E69)</f>
        <v>0</v>
      </c>
      <c r="X73" s="89">
        <f>IF('P19'!$E69&gt;"",'P19'!$E69&amp;" "&amp;CHAR(10)&amp;'P19'!$F69,'P19'!$E69)</f>
        <v>0</v>
      </c>
      <c r="Y73" s="89">
        <f>IF('P20'!$E69&gt;"",'P20'!$E69&amp;" "&amp;CHAR(10)&amp;'P20'!$F69,'P20'!$E69)</f>
        <v>0</v>
      </c>
      <c r="Z73" s="89">
        <f>IF('P21'!$E69&gt;"",'P21'!$E69&amp;" "&amp;CHAR(10)&amp;'P21'!$F69,'P21'!$E69)</f>
        <v>0</v>
      </c>
      <c r="AA73" s="89">
        <f>IF('P22'!$E69&gt;"",'P22'!$E69&amp;" "&amp;CHAR(10)&amp;'P22'!$F69,'P22'!$E69)</f>
        <v>0</v>
      </c>
      <c r="AB73" s="89">
        <f>IF('P23'!$E69&gt;"",'P23'!$E69&amp;" "&amp;CHAR(10)&amp;'P23'!$F69,'P23'!$E69)</f>
        <v>0</v>
      </c>
      <c r="AC73" s="89">
        <f>IF('P24'!$E69&gt;"",'P24'!$E69&amp;" "&amp;CHAR(10)&amp;'P24'!$F69,'P24'!$E69)</f>
        <v>0</v>
      </c>
      <c r="AD73" s="89">
        <f>IF('P25'!$E69&gt;"",'P25'!$E69&amp;" "&amp;CHAR(10)&amp;'P25'!$F69,'P25'!$E69)</f>
        <v>0</v>
      </c>
      <c r="AE73" s="89">
        <f>IF('P26'!$E69&gt;"",'P26'!$E69&amp;" "&amp;CHAR(10)&amp;'P26'!$F69,'P26'!$E69)</f>
        <v>0</v>
      </c>
      <c r="AF73" s="89">
        <f>IF('P27'!$E69&gt;"",'P27'!$E69&amp;" "&amp;CHAR(10)&amp;'P27'!$F69,'P27'!$E69)</f>
        <v>0</v>
      </c>
      <c r="AG73" s="89">
        <f>IF('P28'!$E69&gt;"",'P28'!$E69&amp;" "&amp;CHAR(10)&amp;'P28'!$F69,'P28'!$E69)</f>
        <v>0</v>
      </c>
      <c r="AH73" s="89">
        <f>IF('P29'!$E69&gt;"",'P29'!$E69&amp;" "&amp;CHAR(10)&amp;'P29'!$F69,'P29'!$E69)</f>
        <v>0</v>
      </c>
      <c r="AI73" s="89">
        <f>IF('P30'!$E69&gt;"",'P30'!$E69&amp;" "&amp;CHAR(10)&amp;'P30'!$F69,'P30'!$E69)</f>
        <v>0</v>
      </c>
      <c r="AJ73" s="89">
        <f>IF('P31'!$E69&gt;"",'P31'!$E69&amp;" "&amp;CHAR(10)&amp;'P31'!$F69,'P31'!$E69)</f>
        <v>0</v>
      </c>
      <c r="AK73" s="89">
        <f>IF('P32'!$E69&gt;"",'P32'!$E69&amp;" "&amp;CHAR(10)&amp;'P32'!$F69,'P32'!$E69)</f>
        <v>0</v>
      </c>
      <c r="AL73" s="89">
        <f>IF('P33'!$E69&gt;"",'P33'!$E69&amp;" "&amp;CHAR(10)&amp;'P33'!$F69,'P33'!$E69)</f>
        <v>0</v>
      </c>
      <c r="AM73" s="89">
        <f>IF('P34'!$E69&gt;"",'P34'!$E69&amp;" "&amp;CHAR(10)&amp;'P34'!$F69,'P34'!$E69)</f>
        <v>0</v>
      </c>
      <c r="AN73" s="89">
        <f>IF('P35'!$E69&gt;"",'P35'!$E69&amp;" "&amp;CHAR(10)&amp;'P35'!$F69,'P35'!$E69)</f>
        <v>0</v>
      </c>
      <c r="AO73" s="89">
        <f>IF('P36'!$E69&gt;"",'P36'!$E69&amp;" "&amp;CHAR(10)&amp;'P36'!$F69,'P36'!$E69)</f>
        <v>0</v>
      </c>
      <c r="AP73" s="89">
        <f>IF('P37'!$E69&gt;"",'P37'!$E69&amp;" "&amp;CHAR(10)&amp;'P37'!$F69,'P37'!$E69)</f>
        <v>0</v>
      </c>
      <c r="AQ73" s="89">
        <f>IF('P38'!$E69&gt;"",'P38'!$E69&amp;" "&amp;CHAR(10)&amp;'P38'!$F69,'P38'!$E69)</f>
        <v>0</v>
      </c>
      <c r="AR73" s="89">
        <f>IF('P39'!$E69&gt;"",'P39'!$E69&amp;" "&amp;CHAR(10)&amp;'P39'!$F69,'P39'!$E69)</f>
        <v>0</v>
      </c>
      <c r="AS73" s="89">
        <f>IF('P40'!$E69&gt;"",'P40'!$E69&amp;" "&amp;CHAR(10)&amp;'P40'!$F69,'P40'!$E69)</f>
        <v>0</v>
      </c>
      <c r="AT73" s="55">
        <f t="shared" ref="AT73:AT113" si="9">COUNTIF(F73:AS73,"C*")</f>
        <v>0</v>
      </c>
      <c r="AU73" s="9">
        <f t="shared" ref="AU73:AU113" si="10">COUNTIF(F73:AS73,"NC*")</f>
        <v>0</v>
      </c>
      <c r="AV73" s="55">
        <f t="shared" ref="AV73:AV113" si="11">COUNTIF(F73:AS73,"NA*")</f>
        <v>0</v>
      </c>
      <c r="AW73" s="38" t="str">
        <f t="shared" ref="AW73:AW113" si="12">IF(AU73&gt;0,"NC",IF(AT73&gt;0,"C",IF($AV73&gt;0,"NA","NT")))</f>
        <v>NT</v>
      </c>
      <c r="AX73" s="12"/>
      <c r="AY73" s="10"/>
      <c r="AZ73" s="10"/>
      <c r="BA73" s="10" t="str">
        <f>IF('P01'!$G69&lt;&gt;"", 'P01'!$G69, "non")</f>
        <v>non</v>
      </c>
      <c r="BB73" s="10" t="str">
        <f>IF('P02'!$G69&lt;&gt;"", 'P02'!$G69, "non")</f>
        <v>non</v>
      </c>
      <c r="BC73" s="10" t="str">
        <f>IF('P03'!$G69&lt;&gt;"", 'P03'!$G69, "non")</f>
        <v>non</v>
      </c>
      <c r="BD73" s="10" t="str">
        <f>IF('P04'!$G69&lt;&gt;"", 'P04'!$G69, "non")</f>
        <v>non</v>
      </c>
      <c r="BE73" s="10" t="str">
        <f>IF('P05'!$G69&lt;&gt;"", 'P05'!$G69, "non")</f>
        <v>non</v>
      </c>
      <c r="BF73" s="10" t="str">
        <f>IF('P06'!$G69&lt;&gt;"", 'P06'!$G69, "non")</f>
        <v>non</v>
      </c>
      <c r="BG73" s="10" t="str">
        <f>IF('P07'!$G69&lt;&gt;"", 'P07'!$G69, "non")</f>
        <v>non</v>
      </c>
      <c r="BH73" s="10" t="str">
        <f>IF('P08'!$G69&lt;&gt;"", 'P08'!$G69, "non")</f>
        <v>non</v>
      </c>
      <c r="BI73" s="10" t="str">
        <f>IF('P09'!$G69&lt;&gt;"", 'P09'!$G69, "non")</f>
        <v>non</v>
      </c>
      <c r="BJ73" s="10" t="str">
        <f>IF('P10'!$G69&lt;&gt;"", 'P10'!$G69, "non")</f>
        <v>non</v>
      </c>
      <c r="BK73" s="10" t="str">
        <f>IF('P11'!$G69&lt;&gt;"", 'P11'!$G69, "non")</f>
        <v>non</v>
      </c>
      <c r="BL73" s="10" t="str">
        <f>IF('P12'!$G69&lt;&gt;"", 'P12'!$G69, "non")</f>
        <v>non</v>
      </c>
      <c r="BM73" s="10" t="str">
        <f>IF('P13'!$G69&lt;&gt;"", 'P13'!$G69, "non")</f>
        <v>non</v>
      </c>
      <c r="BN73" s="10" t="str">
        <f>IF('P14'!$G69&lt;&gt;"", 'P14'!$G69, "non")</f>
        <v>non</v>
      </c>
      <c r="BO73" s="10" t="str">
        <f>IF('P15'!$G69&lt;&gt;"", 'P15'!$G69, "non")</f>
        <v>non</v>
      </c>
      <c r="BP73" s="10" t="str">
        <f>IF('P16'!$G69&lt;&gt;"", 'P16'!$G69, "non")</f>
        <v>non</v>
      </c>
      <c r="BQ73" s="10" t="str">
        <f>IF('P17'!$G69&lt;&gt;"", 'P17'!$G69, "non")</f>
        <v>non</v>
      </c>
      <c r="BR73" s="10" t="str">
        <f>IF('P18'!$G69&lt;&gt;"", 'P18'!$G69, "non")</f>
        <v>non</v>
      </c>
      <c r="BS73" s="10" t="str">
        <f>IF('P19'!$G69&lt;&gt;"", 'P19'!$G69, "non")</f>
        <v>non</v>
      </c>
      <c r="BT73" s="11" t="str">
        <f>IF('P20'!$G69&lt;&gt;"", 'P20'!$G69, "non")</f>
        <v>non</v>
      </c>
      <c r="BU73" s="10" t="str">
        <f>IF('P21'!$G69&lt;&gt;"", 'P21'!$G69, "non")</f>
        <v>non</v>
      </c>
      <c r="BV73" s="11" t="str">
        <f>IF('P22'!$G69&lt;&gt;"", 'P22'!$G69, "non")</f>
        <v>non</v>
      </c>
      <c r="BW73" s="10" t="str">
        <f>IF('P23'!$G69&lt;&gt;"", 'P23'!$G69, "non")</f>
        <v>non</v>
      </c>
      <c r="BX73" s="11" t="str">
        <f>IF('P24'!$G69&lt;&gt;"", 'P24'!$G69, "non")</f>
        <v>non</v>
      </c>
      <c r="BY73" s="10" t="str">
        <f>IF('P25'!$G69&lt;&gt;"", 'P25'!$G69, "non")</f>
        <v>non</v>
      </c>
      <c r="BZ73" s="11" t="str">
        <f>IF('P26'!$G69&lt;&gt;"", 'P26'!$G69, "non")</f>
        <v>non</v>
      </c>
      <c r="CA73" s="10" t="str">
        <f>IF('P27'!$G69&lt;&gt;"", 'P27'!$G69, "non")</f>
        <v>non</v>
      </c>
      <c r="CB73" s="11" t="str">
        <f>IF('P28'!$G69&lt;&gt;"", 'P28'!$G69, "non")</f>
        <v>non</v>
      </c>
      <c r="CC73" s="10" t="str">
        <f>IF('P29'!$G69&lt;&gt;"", 'P29'!$G69, "non")</f>
        <v>non</v>
      </c>
      <c r="CD73" s="11" t="str">
        <f>IF('P30'!$G69&lt;&gt;"", 'P30'!$G69, "non")</f>
        <v>non</v>
      </c>
      <c r="CE73" s="10" t="str">
        <f>IF('P31'!$G69&lt;&gt;"", 'P31'!$G69, "non")</f>
        <v>non</v>
      </c>
      <c r="CF73" s="11" t="str">
        <f>IF('P32'!$G69&lt;&gt;"", 'P32'!$G69, "non")</f>
        <v>non</v>
      </c>
      <c r="CG73" s="10" t="str">
        <f>IF('P33'!$G69&lt;&gt;"", 'P33'!$G69, "non")</f>
        <v>non</v>
      </c>
      <c r="CH73" s="10" t="str">
        <f>IF('P34'!$G69&lt;&gt;"", 'P34'!$G69, "non")</f>
        <v>non</v>
      </c>
      <c r="CI73" s="11" t="str">
        <f>IF('P35'!$G69&lt;&gt;"", 'P35'!$G69, "non")</f>
        <v>non</v>
      </c>
      <c r="CJ73" s="10" t="str">
        <f>IF('P36'!$G69&lt;&gt;"", 'P36'!$G69, "non")</f>
        <v>non</v>
      </c>
      <c r="CK73" s="11" t="str">
        <f>IF('P37'!$G69&lt;&gt;"", 'P37'!$G69, "non")</f>
        <v>non</v>
      </c>
      <c r="CL73" s="10" t="str">
        <f>IF('P38'!$G69&lt;&gt;"", 'P38'!$G69, "non")</f>
        <v>non</v>
      </c>
      <c r="CM73" s="11" t="str">
        <f>IF('P39'!$G69&lt;&gt;"", 'P39'!$G69, "non")</f>
        <v>non</v>
      </c>
      <c r="CN73" s="10" t="str">
        <f>IF('P40'!$G69&lt;&gt;"", 'P40'!$G69, "non")</f>
        <v>non</v>
      </c>
    </row>
    <row r="74" spans="1:92" ht="39.75" customHeight="1">
      <c r="A74" s="122" t="str">
        <f>'Critères et tests'!B69</f>
        <v>PRÉSENTATION</v>
      </c>
      <c r="B74" s="124" t="str">
        <f>'Critères et tests'!$A69</f>
        <v>10.11</v>
      </c>
      <c r="C74" s="192" t="str">
        <f>VLOOKUP(B74,'Critères et tests'!$1:$1048576,5,FALSE)</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D74" s="124" t="str">
        <f>'Critères et tests'!$C69</f>
        <v>AA</v>
      </c>
      <c r="E74" s="156" t="s">
        <v>460</v>
      </c>
      <c r="F74" s="88">
        <f>IF('P01'!$E70&gt;"",'P01'!$E70&amp;" "&amp;CHAR(10)&amp;'P01'!$F70,'P01'!$E70)</f>
        <v>0</v>
      </c>
      <c r="G74" s="89">
        <f>IF('P02'!$E70&gt;"",'P02'!$E70&amp;" "&amp;CHAR(10)&amp;'P02'!$F70,'P02'!$E70)</f>
        <v>0</v>
      </c>
      <c r="H74" s="89">
        <f>IF('P03'!$E70&gt;"",'P03'!$E70&amp;" "&amp;CHAR(10)&amp;'P03'!$F70,'P03'!$E70)</f>
        <v>0</v>
      </c>
      <c r="I74" s="89">
        <f>IF('P04'!$E70&gt;"",'P04'!$E70&amp;" "&amp;CHAR(10)&amp;'P04'!$F70,'P04'!$E70)</f>
        <v>0</v>
      </c>
      <c r="J74" s="89">
        <f>IF('P05'!$E70&gt;"",'P05'!$E70&amp;" "&amp;CHAR(10)&amp;'P05'!$F70,'P05'!$E70)</f>
        <v>0</v>
      </c>
      <c r="K74" s="89">
        <f>IF('P06'!$E70&gt;"",'P06'!$E70&amp;" "&amp;CHAR(10)&amp;'P06'!$F70,'P06'!$E70)</f>
        <v>0</v>
      </c>
      <c r="L74" s="89">
        <f>IF('P07'!$E70&gt;"",'P07'!$E70&amp;" "&amp;CHAR(10)&amp;'P07'!$F70,'P07'!$E70)</f>
        <v>0</v>
      </c>
      <c r="M74" s="89">
        <f>IF('P08'!$E70&gt;"",'P08'!$E70&amp;" "&amp;CHAR(10)&amp;'P08'!$F70,'P08'!$E70)</f>
        <v>0</v>
      </c>
      <c r="N74" s="89">
        <f>IF('P09'!$E70&gt;"",'P09'!$E70&amp;" "&amp;CHAR(10)&amp;'P09'!$F70,'P09'!$E70)</f>
        <v>0</v>
      </c>
      <c r="O74" s="89">
        <f>IF('P10'!$E70&gt;"",'P10'!$E70&amp;" "&amp;CHAR(10)&amp;'P10'!$F70,'P10'!$E70)</f>
        <v>0</v>
      </c>
      <c r="P74" s="89">
        <f>IF('P11'!$E70&gt;"",'P11'!$E70&amp;" "&amp;CHAR(10)&amp;'P11'!$F70,'P11'!$E70)</f>
        <v>0</v>
      </c>
      <c r="Q74" s="89">
        <f>IF('P12'!$E70&gt;"",'P12'!$E70&amp;" "&amp;CHAR(10)&amp;'P12'!$F70,'P12'!$E70)</f>
        <v>0</v>
      </c>
      <c r="R74" s="89">
        <f>IF('P13'!$E70&gt;"",'P13'!$E70&amp;" "&amp;CHAR(10)&amp;'P13'!$F70,'P13'!$E70)</f>
        <v>0</v>
      </c>
      <c r="S74" s="89">
        <f>IF('P14'!$E70&gt;"",'P14'!$E70&amp;" "&amp;CHAR(10)&amp;'P14'!$F70,'P14'!$E70)</f>
        <v>0</v>
      </c>
      <c r="T74" s="89">
        <f>IF('P15'!$E70&gt;"",'P15'!$E70&amp;" "&amp;CHAR(10)&amp;'P15'!$F70,'P15'!$E70)</f>
        <v>0</v>
      </c>
      <c r="U74" s="89">
        <f>IF('P16'!$E70&gt;"",'P16'!$E70&amp;" "&amp;CHAR(10)&amp;'P16'!$F70,'P16'!$E70)</f>
        <v>0</v>
      </c>
      <c r="V74" s="89">
        <f>IF('P17'!$E70&gt;"",'P17'!$E70&amp;" "&amp;CHAR(10)&amp;'P17'!$F70,'P17'!$E70)</f>
        <v>0</v>
      </c>
      <c r="W74" s="89">
        <f>IF('P18'!$E70&gt;"",'P18'!$E70&amp;" "&amp;CHAR(10)&amp;'P18'!$F70,'P18'!$E70)</f>
        <v>0</v>
      </c>
      <c r="X74" s="89">
        <f>IF('P19'!$E70&gt;"",'P19'!$E70&amp;" "&amp;CHAR(10)&amp;'P19'!$F70,'P19'!$E70)</f>
        <v>0</v>
      </c>
      <c r="Y74" s="89">
        <f>IF('P20'!$E70&gt;"",'P20'!$E70&amp;" "&amp;CHAR(10)&amp;'P20'!$F70,'P20'!$E70)</f>
        <v>0</v>
      </c>
      <c r="Z74" s="89">
        <f>IF('P21'!$E70&gt;"",'P21'!$E70&amp;" "&amp;CHAR(10)&amp;'P21'!$F70,'P21'!$E70)</f>
        <v>0</v>
      </c>
      <c r="AA74" s="89">
        <f>IF('P22'!$E70&gt;"",'P22'!$E70&amp;" "&amp;CHAR(10)&amp;'P22'!$F70,'P22'!$E70)</f>
        <v>0</v>
      </c>
      <c r="AB74" s="89">
        <f>IF('P23'!$E70&gt;"",'P23'!$E70&amp;" "&amp;CHAR(10)&amp;'P23'!$F70,'P23'!$E70)</f>
        <v>0</v>
      </c>
      <c r="AC74" s="89">
        <f>IF('P24'!$E70&gt;"",'P24'!$E70&amp;" "&amp;CHAR(10)&amp;'P24'!$F70,'P24'!$E70)</f>
        <v>0</v>
      </c>
      <c r="AD74" s="89">
        <f>IF('P25'!$E70&gt;"",'P25'!$E70&amp;" "&amp;CHAR(10)&amp;'P25'!$F70,'P25'!$E70)</f>
        <v>0</v>
      </c>
      <c r="AE74" s="89">
        <f>IF('P26'!$E70&gt;"",'P26'!$E70&amp;" "&amp;CHAR(10)&amp;'P26'!$F70,'P26'!$E70)</f>
        <v>0</v>
      </c>
      <c r="AF74" s="89">
        <f>IF('P27'!$E70&gt;"",'P27'!$E70&amp;" "&amp;CHAR(10)&amp;'P27'!$F70,'P27'!$E70)</f>
        <v>0</v>
      </c>
      <c r="AG74" s="89">
        <f>IF('P28'!$E70&gt;"",'P28'!$E70&amp;" "&amp;CHAR(10)&amp;'P28'!$F70,'P28'!$E70)</f>
        <v>0</v>
      </c>
      <c r="AH74" s="89">
        <f>IF('P29'!$E70&gt;"",'P29'!$E70&amp;" "&amp;CHAR(10)&amp;'P29'!$F70,'P29'!$E70)</f>
        <v>0</v>
      </c>
      <c r="AI74" s="89">
        <f>IF('P30'!$E70&gt;"",'P30'!$E70&amp;" "&amp;CHAR(10)&amp;'P30'!$F70,'P30'!$E70)</f>
        <v>0</v>
      </c>
      <c r="AJ74" s="89">
        <f>IF('P31'!$E70&gt;"",'P31'!$E70&amp;" "&amp;CHAR(10)&amp;'P31'!$F70,'P31'!$E70)</f>
        <v>0</v>
      </c>
      <c r="AK74" s="89">
        <f>IF('P32'!$E70&gt;"",'P32'!$E70&amp;" "&amp;CHAR(10)&amp;'P32'!$F70,'P32'!$E70)</f>
        <v>0</v>
      </c>
      <c r="AL74" s="89">
        <f>IF('P33'!$E70&gt;"",'P33'!$E70&amp;" "&amp;CHAR(10)&amp;'P33'!$F70,'P33'!$E70)</f>
        <v>0</v>
      </c>
      <c r="AM74" s="89">
        <f>IF('P34'!$E70&gt;"",'P34'!$E70&amp;" "&amp;CHAR(10)&amp;'P34'!$F70,'P34'!$E70)</f>
        <v>0</v>
      </c>
      <c r="AN74" s="89">
        <f>IF('P35'!$E70&gt;"",'P35'!$E70&amp;" "&amp;CHAR(10)&amp;'P35'!$F70,'P35'!$E70)</f>
        <v>0</v>
      </c>
      <c r="AO74" s="89">
        <f>IF('P36'!$E70&gt;"",'P36'!$E70&amp;" "&amp;CHAR(10)&amp;'P36'!$F70,'P36'!$E70)</f>
        <v>0</v>
      </c>
      <c r="AP74" s="89">
        <f>IF('P37'!$E70&gt;"",'P37'!$E70&amp;" "&amp;CHAR(10)&amp;'P37'!$F70,'P37'!$E70)</f>
        <v>0</v>
      </c>
      <c r="AQ74" s="89">
        <f>IF('P38'!$E70&gt;"",'P38'!$E70&amp;" "&amp;CHAR(10)&amp;'P38'!$F70,'P38'!$E70)</f>
        <v>0</v>
      </c>
      <c r="AR74" s="89">
        <f>IF('P39'!$E70&gt;"",'P39'!$E70&amp;" "&amp;CHAR(10)&amp;'P39'!$F70,'P39'!$E70)</f>
        <v>0</v>
      </c>
      <c r="AS74" s="89">
        <f>IF('P40'!$E70&gt;"",'P40'!$E70&amp;" "&amp;CHAR(10)&amp;'P40'!$F70,'P40'!$E70)</f>
        <v>0</v>
      </c>
      <c r="AT74" s="55">
        <f t="shared" si="9"/>
        <v>0</v>
      </c>
      <c r="AU74" s="9">
        <f t="shared" si="10"/>
        <v>0</v>
      </c>
      <c r="AV74" s="55">
        <f t="shared" si="11"/>
        <v>0</v>
      </c>
      <c r="AW74" s="38" t="str">
        <f t="shared" si="12"/>
        <v>NT</v>
      </c>
      <c r="AX74" s="12"/>
      <c r="AY74" s="10"/>
      <c r="AZ74" s="10"/>
      <c r="BA74" s="10" t="str">
        <f>IF('P01'!$G70&lt;&gt;"", 'P01'!$G70, "non")</f>
        <v>non</v>
      </c>
      <c r="BB74" s="10" t="str">
        <f>IF('P02'!$G70&lt;&gt;"", 'P02'!$G70, "non")</f>
        <v>non</v>
      </c>
      <c r="BC74" s="10" t="str">
        <f>IF('P03'!$G70&lt;&gt;"", 'P03'!$G70, "non")</f>
        <v>non</v>
      </c>
      <c r="BD74" s="10" t="str">
        <f>IF('P04'!$G70&lt;&gt;"", 'P04'!$G70, "non")</f>
        <v>non</v>
      </c>
      <c r="BE74" s="10" t="str">
        <f>IF('P05'!$G70&lt;&gt;"", 'P05'!$G70, "non")</f>
        <v>non</v>
      </c>
      <c r="BF74" s="10" t="str">
        <f>IF('P06'!$G70&lt;&gt;"", 'P06'!$G70, "non")</f>
        <v>non</v>
      </c>
      <c r="BG74" s="10" t="str">
        <f>IF('P07'!$G70&lt;&gt;"", 'P07'!$G70, "non")</f>
        <v>non</v>
      </c>
      <c r="BH74" s="10" t="str">
        <f>IF('P08'!$G70&lt;&gt;"", 'P08'!$G70, "non")</f>
        <v>non</v>
      </c>
      <c r="BI74" s="10" t="str">
        <f>IF('P09'!$G70&lt;&gt;"", 'P09'!$G70, "non")</f>
        <v>non</v>
      </c>
      <c r="BJ74" s="10" t="str">
        <f>IF('P10'!$G70&lt;&gt;"", 'P10'!$G70, "non")</f>
        <v>non</v>
      </c>
      <c r="BK74" s="10" t="str">
        <f>IF('P11'!$G70&lt;&gt;"", 'P11'!$G70, "non")</f>
        <v>non</v>
      </c>
      <c r="BL74" s="10" t="str">
        <f>IF('P12'!$G70&lt;&gt;"", 'P12'!$G70, "non")</f>
        <v>non</v>
      </c>
      <c r="BM74" s="10" t="str">
        <f>IF('P13'!$G70&lt;&gt;"", 'P13'!$G70, "non")</f>
        <v>non</v>
      </c>
      <c r="BN74" s="10" t="str">
        <f>IF('P14'!$G70&lt;&gt;"", 'P14'!$G70, "non")</f>
        <v>non</v>
      </c>
      <c r="BO74" s="10" t="str">
        <f>IF('P15'!$G70&lt;&gt;"", 'P15'!$G70, "non")</f>
        <v>non</v>
      </c>
      <c r="BP74" s="10" t="str">
        <f>IF('P16'!$G70&lt;&gt;"", 'P16'!$G70, "non")</f>
        <v>non</v>
      </c>
      <c r="BQ74" s="10" t="str">
        <f>IF('P17'!$G70&lt;&gt;"", 'P17'!$G70, "non")</f>
        <v>non</v>
      </c>
      <c r="BR74" s="10" t="str">
        <f>IF('P18'!$G70&lt;&gt;"", 'P18'!$G70, "non")</f>
        <v>non</v>
      </c>
      <c r="BS74" s="10" t="str">
        <f>IF('P19'!$G70&lt;&gt;"", 'P19'!$G70, "non")</f>
        <v>non</v>
      </c>
      <c r="BT74" s="11" t="str">
        <f>IF('P20'!$G70&lt;&gt;"", 'P20'!$G70, "non")</f>
        <v>non</v>
      </c>
      <c r="BU74" s="10" t="str">
        <f>IF('P21'!$G70&lt;&gt;"", 'P21'!$G70, "non")</f>
        <v>non</v>
      </c>
      <c r="BV74" s="11" t="str">
        <f>IF('P22'!$G70&lt;&gt;"", 'P22'!$G70, "non")</f>
        <v>non</v>
      </c>
      <c r="BW74" s="10" t="str">
        <f>IF('P23'!$G70&lt;&gt;"", 'P23'!$G70, "non")</f>
        <v>non</v>
      </c>
      <c r="BX74" s="11" t="str">
        <f>IF('P24'!$G70&lt;&gt;"", 'P24'!$G70, "non")</f>
        <v>non</v>
      </c>
      <c r="BY74" s="10" t="str">
        <f>IF('P25'!$G70&lt;&gt;"", 'P25'!$G70, "non")</f>
        <v>non</v>
      </c>
      <c r="BZ74" s="11" t="str">
        <f>IF('P26'!$G70&lt;&gt;"", 'P26'!$G70, "non")</f>
        <v>non</v>
      </c>
      <c r="CA74" s="10" t="str">
        <f>IF('P27'!$G70&lt;&gt;"", 'P27'!$G70, "non")</f>
        <v>non</v>
      </c>
      <c r="CB74" s="11" t="str">
        <f>IF('P28'!$G70&lt;&gt;"", 'P28'!$G70, "non")</f>
        <v>non</v>
      </c>
      <c r="CC74" s="10" t="str">
        <f>IF('P29'!$G70&lt;&gt;"", 'P29'!$G70, "non")</f>
        <v>non</v>
      </c>
      <c r="CD74" s="11" t="str">
        <f>IF('P30'!$G70&lt;&gt;"", 'P30'!$G70, "non")</f>
        <v>non</v>
      </c>
      <c r="CE74" s="10" t="str">
        <f>IF('P31'!$G70&lt;&gt;"", 'P31'!$G70, "non")</f>
        <v>non</v>
      </c>
      <c r="CF74" s="11" t="str">
        <f>IF('P32'!$G70&lt;&gt;"", 'P32'!$G70, "non")</f>
        <v>non</v>
      </c>
      <c r="CG74" s="10" t="str">
        <f>IF('P33'!$G70&lt;&gt;"", 'P33'!$G70, "non")</f>
        <v>non</v>
      </c>
      <c r="CH74" s="10" t="str">
        <f>IF('P34'!$G70&lt;&gt;"", 'P34'!$G70, "non")</f>
        <v>non</v>
      </c>
      <c r="CI74" s="11" t="str">
        <f>IF('P35'!$G70&lt;&gt;"", 'P35'!$G70, "non")</f>
        <v>non</v>
      </c>
      <c r="CJ74" s="10" t="str">
        <f>IF('P36'!$G70&lt;&gt;"", 'P36'!$G70, "non")</f>
        <v>non</v>
      </c>
      <c r="CK74" s="11" t="str">
        <f>IF('P37'!$G70&lt;&gt;"", 'P37'!$G70, "non")</f>
        <v>non</v>
      </c>
      <c r="CL74" s="10" t="str">
        <f>IF('P38'!$G70&lt;&gt;"", 'P38'!$G70, "non")</f>
        <v>non</v>
      </c>
      <c r="CM74" s="11" t="str">
        <f>IF('P39'!$G70&lt;&gt;"", 'P39'!$G70, "non")</f>
        <v>non</v>
      </c>
      <c r="CN74" s="10" t="str">
        <f>IF('P40'!$G70&lt;&gt;"", 'P40'!$G70, "non")</f>
        <v>non</v>
      </c>
    </row>
    <row r="75" spans="1:92" ht="39.75" customHeight="1">
      <c r="A75" s="122" t="str">
        <f>'Critères et tests'!B70</f>
        <v>PRÉSENTATION</v>
      </c>
      <c r="B75" s="124" t="str">
        <f>'Critères et tests'!$A70</f>
        <v>10.12</v>
      </c>
      <c r="C75" s="192" t="str">
        <f>VLOOKUP(B75,'Critères et tests'!$1:$1048576,5,FALSE)</f>
        <v>Dans chaque page web, les propriétés d’espacement du texte peuvent-elles être redéfinies par l’utilisateur sans perte de contenu ou de fonctionnalité (hors cas particuliers) ?</v>
      </c>
      <c r="D75" s="124" t="str">
        <f>'Critères et tests'!$C70</f>
        <v>AA</v>
      </c>
      <c r="E75" s="156" t="s">
        <v>460</v>
      </c>
      <c r="F75" s="88">
        <f>IF('P01'!$E71&gt;"",'P01'!$E71&amp;" "&amp;CHAR(10)&amp;'P01'!$F71,'P01'!$E71)</f>
        <v>0</v>
      </c>
      <c r="G75" s="89">
        <f>IF('P02'!$E71&gt;"",'P02'!$E71&amp;" "&amp;CHAR(10)&amp;'P02'!$F71,'P02'!$E71)</f>
        <v>0</v>
      </c>
      <c r="H75" s="89">
        <f>IF('P03'!$E71&gt;"",'P03'!$E71&amp;" "&amp;CHAR(10)&amp;'P03'!$F71,'P03'!$E71)</f>
        <v>0</v>
      </c>
      <c r="I75" s="89">
        <f>IF('P04'!$E71&gt;"",'P04'!$E71&amp;" "&amp;CHAR(10)&amp;'P04'!$F71,'P04'!$E71)</f>
        <v>0</v>
      </c>
      <c r="J75" s="89">
        <f>IF('P05'!$E71&gt;"",'P05'!$E71&amp;" "&amp;CHAR(10)&amp;'P05'!$F71,'P05'!$E71)</f>
        <v>0</v>
      </c>
      <c r="K75" s="89">
        <f>IF('P06'!$E71&gt;"",'P06'!$E71&amp;" "&amp;CHAR(10)&amp;'P06'!$F71,'P06'!$E71)</f>
        <v>0</v>
      </c>
      <c r="L75" s="89">
        <f>IF('P07'!$E71&gt;"",'P07'!$E71&amp;" "&amp;CHAR(10)&amp;'P07'!$F71,'P07'!$E71)</f>
        <v>0</v>
      </c>
      <c r="M75" s="89">
        <f>IF('P08'!$E71&gt;"",'P08'!$E71&amp;" "&amp;CHAR(10)&amp;'P08'!$F71,'P08'!$E71)</f>
        <v>0</v>
      </c>
      <c r="N75" s="89">
        <f>IF('P09'!$E71&gt;"",'P09'!$E71&amp;" "&amp;CHAR(10)&amp;'P09'!$F71,'P09'!$E71)</f>
        <v>0</v>
      </c>
      <c r="O75" s="89">
        <f>IF('P10'!$E71&gt;"",'P10'!$E71&amp;" "&amp;CHAR(10)&amp;'P10'!$F71,'P10'!$E71)</f>
        <v>0</v>
      </c>
      <c r="P75" s="89">
        <f>IF('P11'!$E71&gt;"",'P11'!$E71&amp;" "&amp;CHAR(10)&amp;'P11'!$F71,'P11'!$E71)</f>
        <v>0</v>
      </c>
      <c r="Q75" s="89">
        <f>IF('P12'!$E71&gt;"",'P12'!$E71&amp;" "&amp;CHAR(10)&amp;'P12'!$F71,'P12'!$E71)</f>
        <v>0</v>
      </c>
      <c r="R75" s="89">
        <f>IF('P13'!$E71&gt;"",'P13'!$E71&amp;" "&amp;CHAR(10)&amp;'P13'!$F71,'P13'!$E71)</f>
        <v>0</v>
      </c>
      <c r="S75" s="89">
        <f>IF('P14'!$E71&gt;"",'P14'!$E71&amp;" "&amp;CHAR(10)&amp;'P14'!$F71,'P14'!$E71)</f>
        <v>0</v>
      </c>
      <c r="T75" s="89">
        <f>IF('P15'!$E71&gt;"",'P15'!$E71&amp;" "&amp;CHAR(10)&amp;'P15'!$F71,'P15'!$E71)</f>
        <v>0</v>
      </c>
      <c r="U75" s="89">
        <f>IF('P16'!$E71&gt;"",'P16'!$E71&amp;" "&amp;CHAR(10)&amp;'P16'!$F71,'P16'!$E71)</f>
        <v>0</v>
      </c>
      <c r="V75" s="89">
        <f>IF('P17'!$E71&gt;"",'P17'!$E71&amp;" "&amp;CHAR(10)&amp;'P17'!$F71,'P17'!$E71)</f>
        <v>0</v>
      </c>
      <c r="W75" s="89">
        <f>IF('P18'!$E71&gt;"",'P18'!$E71&amp;" "&amp;CHAR(10)&amp;'P18'!$F71,'P18'!$E71)</f>
        <v>0</v>
      </c>
      <c r="X75" s="89">
        <f>IF('P19'!$E71&gt;"",'P19'!$E71&amp;" "&amp;CHAR(10)&amp;'P19'!$F71,'P19'!$E71)</f>
        <v>0</v>
      </c>
      <c r="Y75" s="89">
        <f>IF('P20'!$E71&gt;"",'P20'!$E71&amp;" "&amp;CHAR(10)&amp;'P20'!$F71,'P20'!$E71)</f>
        <v>0</v>
      </c>
      <c r="Z75" s="89">
        <f>IF('P21'!$E71&gt;"",'P21'!$E71&amp;" "&amp;CHAR(10)&amp;'P21'!$F71,'P21'!$E71)</f>
        <v>0</v>
      </c>
      <c r="AA75" s="89">
        <f>IF('P22'!$E71&gt;"",'P22'!$E71&amp;" "&amp;CHAR(10)&amp;'P22'!$F71,'P22'!$E71)</f>
        <v>0</v>
      </c>
      <c r="AB75" s="89">
        <f>IF('P23'!$E71&gt;"",'P23'!$E71&amp;" "&amp;CHAR(10)&amp;'P23'!$F71,'P23'!$E71)</f>
        <v>0</v>
      </c>
      <c r="AC75" s="89">
        <f>IF('P24'!$E71&gt;"",'P24'!$E71&amp;" "&amp;CHAR(10)&amp;'P24'!$F71,'P24'!$E71)</f>
        <v>0</v>
      </c>
      <c r="AD75" s="89">
        <f>IF('P25'!$E71&gt;"",'P25'!$E71&amp;" "&amp;CHAR(10)&amp;'P25'!$F71,'P25'!$E71)</f>
        <v>0</v>
      </c>
      <c r="AE75" s="89">
        <f>IF('P26'!$E71&gt;"",'P26'!$E71&amp;" "&amp;CHAR(10)&amp;'P26'!$F71,'P26'!$E71)</f>
        <v>0</v>
      </c>
      <c r="AF75" s="89">
        <f>IF('P27'!$E71&gt;"",'P27'!$E71&amp;" "&amp;CHAR(10)&amp;'P27'!$F71,'P27'!$E71)</f>
        <v>0</v>
      </c>
      <c r="AG75" s="89">
        <f>IF('P28'!$E71&gt;"",'P28'!$E71&amp;" "&amp;CHAR(10)&amp;'P28'!$F71,'P28'!$E71)</f>
        <v>0</v>
      </c>
      <c r="AH75" s="89">
        <f>IF('P29'!$E71&gt;"",'P29'!$E71&amp;" "&amp;CHAR(10)&amp;'P29'!$F71,'P29'!$E71)</f>
        <v>0</v>
      </c>
      <c r="AI75" s="89">
        <f>IF('P30'!$E71&gt;"",'P30'!$E71&amp;" "&amp;CHAR(10)&amp;'P30'!$F71,'P30'!$E71)</f>
        <v>0</v>
      </c>
      <c r="AJ75" s="89">
        <f>IF('P31'!$E71&gt;"",'P31'!$E71&amp;" "&amp;CHAR(10)&amp;'P31'!$F71,'P31'!$E71)</f>
        <v>0</v>
      </c>
      <c r="AK75" s="89">
        <f>IF('P32'!$E71&gt;"",'P32'!$E71&amp;" "&amp;CHAR(10)&amp;'P32'!$F71,'P32'!$E71)</f>
        <v>0</v>
      </c>
      <c r="AL75" s="89">
        <f>IF('P33'!$E71&gt;"",'P33'!$E71&amp;" "&amp;CHAR(10)&amp;'P33'!$F71,'P33'!$E71)</f>
        <v>0</v>
      </c>
      <c r="AM75" s="89">
        <f>IF('P34'!$E71&gt;"",'P34'!$E71&amp;" "&amp;CHAR(10)&amp;'P34'!$F71,'P34'!$E71)</f>
        <v>0</v>
      </c>
      <c r="AN75" s="89">
        <f>IF('P35'!$E71&gt;"",'P35'!$E71&amp;" "&amp;CHAR(10)&amp;'P35'!$F71,'P35'!$E71)</f>
        <v>0</v>
      </c>
      <c r="AO75" s="89">
        <f>IF('P36'!$E71&gt;"",'P36'!$E71&amp;" "&amp;CHAR(10)&amp;'P36'!$F71,'P36'!$E71)</f>
        <v>0</v>
      </c>
      <c r="AP75" s="89">
        <f>IF('P37'!$E71&gt;"",'P37'!$E71&amp;" "&amp;CHAR(10)&amp;'P37'!$F71,'P37'!$E71)</f>
        <v>0</v>
      </c>
      <c r="AQ75" s="89">
        <f>IF('P38'!$E71&gt;"",'P38'!$E71&amp;" "&amp;CHAR(10)&amp;'P38'!$F71,'P38'!$E71)</f>
        <v>0</v>
      </c>
      <c r="AR75" s="89">
        <f>IF('P39'!$E71&gt;"",'P39'!$E71&amp;" "&amp;CHAR(10)&amp;'P39'!$F71,'P39'!$E71)</f>
        <v>0</v>
      </c>
      <c r="AS75" s="89">
        <f>IF('P40'!$E71&gt;"",'P40'!$E71&amp;" "&amp;CHAR(10)&amp;'P40'!$F71,'P40'!$E71)</f>
        <v>0</v>
      </c>
      <c r="AT75" s="55">
        <f t="shared" si="9"/>
        <v>0</v>
      </c>
      <c r="AU75" s="9">
        <f t="shared" si="10"/>
        <v>0</v>
      </c>
      <c r="AV75" s="55">
        <f t="shared" si="11"/>
        <v>0</v>
      </c>
      <c r="AW75" s="38" t="str">
        <f t="shared" si="12"/>
        <v>NT</v>
      </c>
      <c r="AX75" s="12"/>
      <c r="AY75" s="10"/>
      <c r="AZ75" s="10"/>
      <c r="BA75" s="10" t="str">
        <f>IF('P01'!$G71&lt;&gt;"", 'P01'!$G71, "non")</f>
        <v>non</v>
      </c>
      <c r="BB75" s="10" t="str">
        <f>IF('P02'!$G71&lt;&gt;"", 'P02'!$G71, "non")</f>
        <v>non</v>
      </c>
      <c r="BC75" s="10" t="str">
        <f>IF('P03'!$G71&lt;&gt;"", 'P03'!$G71, "non")</f>
        <v>non</v>
      </c>
      <c r="BD75" s="10" t="str">
        <f>IF('P04'!$G71&lt;&gt;"", 'P04'!$G71, "non")</f>
        <v>non</v>
      </c>
      <c r="BE75" s="10" t="str">
        <f>IF('P05'!$G71&lt;&gt;"", 'P05'!$G71, "non")</f>
        <v>non</v>
      </c>
      <c r="BF75" s="10" t="str">
        <f>IF('P06'!$G71&lt;&gt;"", 'P06'!$G71, "non")</f>
        <v>non</v>
      </c>
      <c r="BG75" s="10" t="str">
        <f>IF('P07'!$G71&lt;&gt;"", 'P07'!$G71, "non")</f>
        <v>non</v>
      </c>
      <c r="BH75" s="10" t="str">
        <f>IF('P08'!$G71&lt;&gt;"", 'P08'!$G71, "non")</f>
        <v>non</v>
      </c>
      <c r="BI75" s="10" t="str">
        <f>IF('P09'!$G71&lt;&gt;"", 'P09'!$G71, "non")</f>
        <v>non</v>
      </c>
      <c r="BJ75" s="10" t="str">
        <f>IF('P10'!$G71&lt;&gt;"", 'P10'!$G71, "non")</f>
        <v>non</v>
      </c>
      <c r="BK75" s="10" t="str">
        <f>IF('P11'!$G71&lt;&gt;"", 'P11'!$G71, "non")</f>
        <v>non</v>
      </c>
      <c r="BL75" s="10" t="str">
        <f>IF('P12'!$G71&lt;&gt;"", 'P12'!$G71, "non")</f>
        <v>non</v>
      </c>
      <c r="BM75" s="10" t="str">
        <f>IF('P13'!$G71&lt;&gt;"", 'P13'!$G71, "non")</f>
        <v>non</v>
      </c>
      <c r="BN75" s="10" t="str">
        <f>IF('P14'!$G71&lt;&gt;"", 'P14'!$G71, "non")</f>
        <v>non</v>
      </c>
      <c r="BO75" s="10" t="str">
        <f>IF('P15'!$G71&lt;&gt;"", 'P15'!$G71, "non")</f>
        <v>non</v>
      </c>
      <c r="BP75" s="10" t="str">
        <f>IF('P16'!$G71&lt;&gt;"", 'P16'!$G71, "non")</f>
        <v>non</v>
      </c>
      <c r="BQ75" s="10" t="str">
        <f>IF('P17'!$G71&lt;&gt;"", 'P17'!$G71, "non")</f>
        <v>non</v>
      </c>
      <c r="BR75" s="10" t="str">
        <f>IF('P18'!$G71&lt;&gt;"", 'P18'!$G71, "non")</f>
        <v>non</v>
      </c>
      <c r="BS75" s="10" t="str">
        <f>IF('P19'!$G71&lt;&gt;"", 'P19'!$G71, "non")</f>
        <v>non</v>
      </c>
      <c r="BT75" s="11" t="str">
        <f>IF('P20'!$G71&lt;&gt;"", 'P20'!$G71, "non")</f>
        <v>non</v>
      </c>
      <c r="BU75" s="10" t="str">
        <f>IF('P21'!$G71&lt;&gt;"", 'P21'!$G71, "non")</f>
        <v>non</v>
      </c>
      <c r="BV75" s="11" t="str">
        <f>IF('P22'!$G71&lt;&gt;"", 'P22'!$G71, "non")</f>
        <v>non</v>
      </c>
      <c r="BW75" s="10" t="str">
        <f>IF('P23'!$G71&lt;&gt;"", 'P23'!$G71, "non")</f>
        <v>non</v>
      </c>
      <c r="BX75" s="11" t="str">
        <f>IF('P24'!$G71&lt;&gt;"", 'P24'!$G71, "non")</f>
        <v>non</v>
      </c>
      <c r="BY75" s="10" t="str">
        <f>IF('P25'!$G71&lt;&gt;"", 'P25'!$G71, "non")</f>
        <v>non</v>
      </c>
      <c r="BZ75" s="11" t="str">
        <f>IF('P26'!$G71&lt;&gt;"", 'P26'!$G71, "non")</f>
        <v>non</v>
      </c>
      <c r="CA75" s="10" t="str">
        <f>IF('P27'!$G71&lt;&gt;"", 'P27'!$G71, "non")</f>
        <v>non</v>
      </c>
      <c r="CB75" s="11" t="str">
        <f>IF('P28'!$G71&lt;&gt;"", 'P28'!$G71, "non")</f>
        <v>non</v>
      </c>
      <c r="CC75" s="10" t="str">
        <f>IF('P29'!$G71&lt;&gt;"", 'P29'!$G71, "non")</f>
        <v>non</v>
      </c>
      <c r="CD75" s="11" t="str">
        <f>IF('P30'!$G71&lt;&gt;"", 'P30'!$G71, "non")</f>
        <v>non</v>
      </c>
      <c r="CE75" s="10" t="str">
        <f>IF('P31'!$G71&lt;&gt;"", 'P31'!$G71, "non")</f>
        <v>non</v>
      </c>
      <c r="CF75" s="11" t="str">
        <f>IF('P32'!$G71&lt;&gt;"", 'P32'!$G71, "non")</f>
        <v>non</v>
      </c>
      <c r="CG75" s="10" t="str">
        <f>IF('P33'!$G71&lt;&gt;"", 'P33'!$G71, "non")</f>
        <v>non</v>
      </c>
      <c r="CH75" s="10" t="str">
        <f>IF('P34'!$G71&lt;&gt;"", 'P34'!$G71, "non")</f>
        <v>non</v>
      </c>
      <c r="CI75" s="11" t="str">
        <f>IF('P35'!$G71&lt;&gt;"", 'P35'!$G71, "non")</f>
        <v>non</v>
      </c>
      <c r="CJ75" s="10" t="str">
        <f>IF('P36'!$G71&lt;&gt;"", 'P36'!$G71, "non")</f>
        <v>non</v>
      </c>
      <c r="CK75" s="11" t="str">
        <f>IF('P37'!$G71&lt;&gt;"", 'P37'!$G71, "non")</f>
        <v>non</v>
      </c>
      <c r="CL75" s="10" t="str">
        <f>IF('P38'!$G71&lt;&gt;"", 'P38'!$G71, "non")</f>
        <v>non</v>
      </c>
      <c r="CM75" s="11" t="str">
        <f>IF('P39'!$G71&lt;&gt;"", 'P39'!$G71, "non")</f>
        <v>non</v>
      </c>
      <c r="CN75" s="10" t="str">
        <f>IF('P40'!$G71&lt;&gt;"", 'P40'!$G71, "non")</f>
        <v>non</v>
      </c>
    </row>
    <row r="76" spans="1:92" ht="39.75" customHeight="1">
      <c r="A76" s="122" t="str">
        <f>'Critères et tests'!B71</f>
        <v>PRÉSENTATION</v>
      </c>
      <c r="B76" s="124" t="str">
        <f>'Critères et tests'!$A71</f>
        <v>10.13</v>
      </c>
      <c r="C76" s="192" t="str">
        <f>VLOOKUP(B76,'Critères et tests'!$1:$1048576,5,FALSE)</f>
        <v>Dans chaque page web, les contenus additionnels apparaissant à la prise de focus ou au survol d’un composant d’interface sont-ils contrôlables par l’utilisateur (hors cas particuliers) ?</v>
      </c>
      <c r="D76" s="124" t="str">
        <f>'Critères et tests'!$C71</f>
        <v>AA</v>
      </c>
      <c r="E76" s="156" t="s">
        <v>460</v>
      </c>
      <c r="F76" s="88">
        <f>IF('P01'!$E72&gt;"",'P01'!$E72&amp;" "&amp;CHAR(10)&amp;'P01'!$F72,'P01'!$E72)</f>
        <v>0</v>
      </c>
      <c r="G76" s="89">
        <f>IF('P02'!$E72&gt;"",'P02'!$E72&amp;" "&amp;CHAR(10)&amp;'P02'!$F72,'P02'!$E72)</f>
        <v>0</v>
      </c>
      <c r="H76" s="89">
        <f>IF('P03'!$E72&gt;"",'P03'!$E72&amp;" "&amp;CHAR(10)&amp;'P03'!$F72,'P03'!$E72)</f>
        <v>0</v>
      </c>
      <c r="I76" s="89">
        <f>IF('P04'!$E72&gt;"",'P04'!$E72&amp;" "&amp;CHAR(10)&amp;'P04'!$F72,'P04'!$E72)</f>
        <v>0</v>
      </c>
      <c r="J76" s="89">
        <f>IF('P05'!$E72&gt;"",'P05'!$E72&amp;" "&amp;CHAR(10)&amp;'P05'!$F72,'P05'!$E72)</f>
        <v>0</v>
      </c>
      <c r="K76" s="89">
        <f>IF('P06'!$E72&gt;"",'P06'!$E72&amp;" "&amp;CHAR(10)&amp;'P06'!$F72,'P06'!$E72)</f>
        <v>0</v>
      </c>
      <c r="L76" s="89">
        <f>IF('P07'!$E72&gt;"",'P07'!$E72&amp;" "&amp;CHAR(10)&amp;'P07'!$F72,'P07'!$E72)</f>
        <v>0</v>
      </c>
      <c r="M76" s="89">
        <f>IF('P08'!$E72&gt;"",'P08'!$E72&amp;" "&amp;CHAR(10)&amp;'P08'!$F72,'P08'!$E72)</f>
        <v>0</v>
      </c>
      <c r="N76" s="89">
        <f>IF('P09'!$E72&gt;"",'P09'!$E72&amp;" "&amp;CHAR(10)&amp;'P09'!$F72,'P09'!$E72)</f>
        <v>0</v>
      </c>
      <c r="O76" s="89">
        <f>IF('P10'!$E72&gt;"",'P10'!$E72&amp;" "&amp;CHAR(10)&amp;'P10'!$F72,'P10'!$E72)</f>
        <v>0</v>
      </c>
      <c r="P76" s="89">
        <f>IF('P11'!$E72&gt;"",'P11'!$E72&amp;" "&amp;CHAR(10)&amp;'P11'!$F72,'P11'!$E72)</f>
        <v>0</v>
      </c>
      <c r="Q76" s="89">
        <f>IF('P12'!$E72&gt;"",'P12'!$E72&amp;" "&amp;CHAR(10)&amp;'P12'!$F72,'P12'!$E72)</f>
        <v>0</v>
      </c>
      <c r="R76" s="89">
        <f>IF('P13'!$E72&gt;"",'P13'!$E72&amp;" "&amp;CHAR(10)&amp;'P13'!$F72,'P13'!$E72)</f>
        <v>0</v>
      </c>
      <c r="S76" s="89">
        <f>IF('P14'!$E72&gt;"",'P14'!$E72&amp;" "&amp;CHAR(10)&amp;'P14'!$F72,'P14'!$E72)</f>
        <v>0</v>
      </c>
      <c r="T76" s="89">
        <f>IF('P15'!$E72&gt;"",'P15'!$E72&amp;" "&amp;CHAR(10)&amp;'P15'!$F72,'P15'!$E72)</f>
        <v>0</v>
      </c>
      <c r="U76" s="89">
        <f>IF('P16'!$E72&gt;"",'P16'!$E72&amp;" "&amp;CHAR(10)&amp;'P16'!$F72,'P16'!$E72)</f>
        <v>0</v>
      </c>
      <c r="V76" s="89">
        <f>IF('P17'!$E72&gt;"",'P17'!$E72&amp;" "&amp;CHAR(10)&amp;'P17'!$F72,'P17'!$E72)</f>
        <v>0</v>
      </c>
      <c r="W76" s="89">
        <f>IF('P18'!$E72&gt;"",'P18'!$E72&amp;" "&amp;CHAR(10)&amp;'P18'!$F72,'P18'!$E72)</f>
        <v>0</v>
      </c>
      <c r="X76" s="89">
        <f>IF('P19'!$E72&gt;"",'P19'!$E72&amp;" "&amp;CHAR(10)&amp;'P19'!$F72,'P19'!$E72)</f>
        <v>0</v>
      </c>
      <c r="Y76" s="89">
        <f>IF('P20'!$E72&gt;"",'P20'!$E72&amp;" "&amp;CHAR(10)&amp;'P20'!$F72,'P20'!$E72)</f>
        <v>0</v>
      </c>
      <c r="Z76" s="89">
        <f>IF('P21'!$E72&gt;"",'P21'!$E72&amp;" "&amp;CHAR(10)&amp;'P21'!$F72,'P21'!$E72)</f>
        <v>0</v>
      </c>
      <c r="AA76" s="89">
        <f>IF('P22'!$E72&gt;"",'P22'!$E72&amp;" "&amp;CHAR(10)&amp;'P22'!$F72,'P22'!$E72)</f>
        <v>0</v>
      </c>
      <c r="AB76" s="89">
        <f>IF('P23'!$E72&gt;"",'P23'!$E72&amp;" "&amp;CHAR(10)&amp;'P23'!$F72,'P23'!$E72)</f>
        <v>0</v>
      </c>
      <c r="AC76" s="89">
        <f>IF('P24'!$E72&gt;"",'P24'!$E72&amp;" "&amp;CHAR(10)&amp;'P24'!$F72,'P24'!$E72)</f>
        <v>0</v>
      </c>
      <c r="AD76" s="89">
        <f>IF('P25'!$E72&gt;"",'P25'!$E72&amp;" "&amp;CHAR(10)&amp;'P25'!$F72,'P25'!$E72)</f>
        <v>0</v>
      </c>
      <c r="AE76" s="89">
        <f>IF('P26'!$E72&gt;"",'P26'!$E72&amp;" "&amp;CHAR(10)&amp;'P26'!$F72,'P26'!$E72)</f>
        <v>0</v>
      </c>
      <c r="AF76" s="89">
        <f>IF('P27'!$E72&gt;"",'P27'!$E72&amp;" "&amp;CHAR(10)&amp;'P27'!$F72,'P27'!$E72)</f>
        <v>0</v>
      </c>
      <c r="AG76" s="89">
        <f>IF('P28'!$E72&gt;"",'P28'!$E72&amp;" "&amp;CHAR(10)&amp;'P28'!$F72,'P28'!$E72)</f>
        <v>0</v>
      </c>
      <c r="AH76" s="89">
        <f>IF('P29'!$E72&gt;"",'P29'!$E72&amp;" "&amp;CHAR(10)&amp;'P29'!$F72,'P29'!$E72)</f>
        <v>0</v>
      </c>
      <c r="AI76" s="89">
        <f>IF('P30'!$E72&gt;"",'P30'!$E72&amp;" "&amp;CHAR(10)&amp;'P30'!$F72,'P30'!$E72)</f>
        <v>0</v>
      </c>
      <c r="AJ76" s="89">
        <f>IF('P31'!$E72&gt;"",'P31'!$E72&amp;" "&amp;CHAR(10)&amp;'P31'!$F72,'P31'!$E72)</f>
        <v>0</v>
      </c>
      <c r="AK76" s="89">
        <f>IF('P32'!$E72&gt;"",'P32'!$E72&amp;" "&amp;CHAR(10)&amp;'P32'!$F72,'P32'!$E72)</f>
        <v>0</v>
      </c>
      <c r="AL76" s="89">
        <f>IF('P33'!$E72&gt;"",'P33'!$E72&amp;" "&amp;CHAR(10)&amp;'P33'!$F72,'P33'!$E72)</f>
        <v>0</v>
      </c>
      <c r="AM76" s="89">
        <f>IF('P34'!$E72&gt;"",'P34'!$E72&amp;" "&amp;CHAR(10)&amp;'P34'!$F72,'P34'!$E72)</f>
        <v>0</v>
      </c>
      <c r="AN76" s="89">
        <f>IF('P35'!$E72&gt;"",'P35'!$E72&amp;" "&amp;CHAR(10)&amp;'P35'!$F72,'P35'!$E72)</f>
        <v>0</v>
      </c>
      <c r="AO76" s="89">
        <f>IF('P36'!$E72&gt;"",'P36'!$E72&amp;" "&amp;CHAR(10)&amp;'P36'!$F72,'P36'!$E72)</f>
        <v>0</v>
      </c>
      <c r="AP76" s="89">
        <f>IF('P37'!$E72&gt;"",'P37'!$E72&amp;" "&amp;CHAR(10)&amp;'P37'!$F72,'P37'!$E72)</f>
        <v>0</v>
      </c>
      <c r="AQ76" s="89">
        <f>IF('P38'!$E72&gt;"",'P38'!$E72&amp;" "&amp;CHAR(10)&amp;'P38'!$F72,'P38'!$E72)</f>
        <v>0</v>
      </c>
      <c r="AR76" s="89">
        <f>IF('P39'!$E72&gt;"",'P39'!$E72&amp;" "&amp;CHAR(10)&amp;'P39'!$F72,'P39'!$E72)</f>
        <v>0</v>
      </c>
      <c r="AS76" s="89">
        <f>IF('P40'!$E72&gt;"",'P40'!$E72&amp;" "&amp;CHAR(10)&amp;'P40'!$F72,'P40'!$E72)</f>
        <v>0</v>
      </c>
      <c r="AT76" s="55">
        <f t="shared" si="9"/>
        <v>0</v>
      </c>
      <c r="AU76" s="9">
        <f t="shared" si="10"/>
        <v>0</v>
      </c>
      <c r="AV76" s="55">
        <f t="shared" si="11"/>
        <v>0</v>
      </c>
      <c r="AW76" s="38" t="str">
        <f t="shared" si="12"/>
        <v>NT</v>
      </c>
      <c r="AX76" s="12"/>
      <c r="AY76" s="10"/>
      <c r="AZ76" s="10"/>
      <c r="BA76" s="10" t="str">
        <f>IF('P01'!$G72&lt;&gt;"", 'P01'!$G72, "non")</f>
        <v>non</v>
      </c>
      <c r="BB76" s="10" t="str">
        <f>IF('P02'!$G72&lt;&gt;"", 'P02'!$G72, "non")</f>
        <v>non</v>
      </c>
      <c r="BC76" s="10" t="str">
        <f>IF('P03'!$G72&lt;&gt;"", 'P03'!$G72, "non")</f>
        <v>non</v>
      </c>
      <c r="BD76" s="10" t="str">
        <f>IF('P04'!$G72&lt;&gt;"", 'P04'!$G72, "non")</f>
        <v>non</v>
      </c>
      <c r="BE76" s="10" t="str">
        <f>IF('P05'!$G72&lt;&gt;"", 'P05'!$G72, "non")</f>
        <v>non</v>
      </c>
      <c r="BF76" s="10" t="str">
        <f>IF('P06'!$G72&lt;&gt;"", 'P06'!$G72, "non")</f>
        <v>non</v>
      </c>
      <c r="BG76" s="10" t="str">
        <f>IF('P07'!$G72&lt;&gt;"", 'P07'!$G72, "non")</f>
        <v>non</v>
      </c>
      <c r="BH76" s="10" t="str">
        <f>IF('P08'!$G72&lt;&gt;"", 'P08'!$G72, "non")</f>
        <v>non</v>
      </c>
      <c r="BI76" s="10" t="str">
        <f>IF('P09'!$G72&lt;&gt;"", 'P09'!$G72, "non")</f>
        <v>non</v>
      </c>
      <c r="BJ76" s="10" t="str">
        <f>IF('P10'!$G72&lt;&gt;"", 'P10'!$G72, "non")</f>
        <v>non</v>
      </c>
      <c r="BK76" s="10" t="str">
        <f>IF('P11'!$G72&lt;&gt;"", 'P11'!$G72, "non")</f>
        <v>non</v>
      </c>
      <c r="BL76" s="10" t="str">
        <f>IF('P12'!$G72&lt;&gt;"", 'P12'!$G72, "non")</f>
        <v>non</v>
      </c>
      <c r="BM76" s="10" t="str">
        <f>IF('P13'!$G72&lt;&gt;"", 'P13'!$G72, "non")</f>
        <v>non</v>
      </c>
      <c r="BN76" s="10" t="str">
        <f>IF('P14'!$G72&lt;&gt;"", 'P14'!$G72, "non")</f>
        <v>non</v>
      </c>
      <c r="BO76" s="10" t="str">
        <f>IF('P15'!$G72&lt;&gt;"", 'P15'!$G72, "non")</f>
        <v>non</v>
      </c>
      <c r="BP76" s="10" t="str">
        <f>IF('P16'!$G72&lt;&gt;"", 'P16'!$G72, "non")</f>
        <v>non</v>
      </c>
      <c r="BQ76" s="10" t="str">
        <f>IF('P17'!$G72&lt;&gt;"", 'P17'!$G72, "non")</f>
        <v>non</v>
      </c>
      <c r="BR76" s="10" t="str">
        <f>IF('P18'!$G72&lt;&gt;"", 'P18'!$G72, "non")</f>
        <v>non</v>
      </c>
      <c r="BS76" s="10" t="str">
        <f>IF('P19'!$G72&lt;&gt;"", 'P19'!$G72, "non")</f>
        <v>non</v>
      </c>
      <c r="BT76" s="11" t="str">
        <f>IF('P20'!$G72&lt;&gt;"", 'P20'!$G72, "non")</f>
        <v>non</v>
      </c>
      <c r="BU76" s="10" t="str">
        <f>IF('P21'!$G72&lt;&gt;"", 'P21'!$G72, "non")</f>
        <v>non</v>
      </c>
      <c r="BV76" s="11" t="str">
        <f>IF('P22'!$G72&lt;&gt;"", 'P22'!$G72, "non")</f>
        <v>non</v>
      </c>
      <c r="BW76" s="10" t="str">
        <f>IF('P23'!$G72&lt;&gt;"", 'P23'!$G72, "non")</f>
        <v>non</v>
      </c>
      <c r="BX76" s="11" t="str">
        <f>IF('P24'!$G72&lt;&gt;"", 'P24'!$G72, "non")</f>
        <v>non</v>
      </c>
      <c r="BY76" s="10" t="str">
        <f>IF('P25'!$G72&lt;&gt;"", 'P25'!$G72, "non")</f>
        <v>non</v>
      </c>
      <c r="BZ76" s="11" t="str">
        <f>IF('P26'!$G72&lt;&gt;"", 'P26'!$G72, "non")</f>
        <v>non</v>
      </c>
      <c r="CA76" s="10" t="str">
        <f>IF('P27'!$G72&lt;&gt;"", 'P27'!$G72, "non")</f>
        <v>non</v>
      </c>
      <c r="CB76" s="11" t="str">
        <f>IF('P28'!$G72&lt;&gt;"", 'P28'!$G72, "non")</f>
        <v>non</v>
      </c>
      <c r="CC76" s="10" t="str">
        <f>IF('P29'!$G72&lt;&gt;"", 'P29'!$G72, "non")</f>
        <v>non</v>
      </c>
      <c r="CD76" s="11" t="str">
        <f>IF('P30'!$G72&lt;&gt;"", 'P30'!$G72, "non")</f>
        <v>non</v>
      </c>
      <c r="CE76" s="10" t="str">
        <f>IF('P31'!$G72&lt;&gt;"", 'P31'!$G72, "non")</f>
        <v>non</v>
      </c>
      <c r="CF76" s="11" t="str">
        <f>IF('P32'!$G72&lt;&gt;"", 'P32'!$G72, "non")</f>
        <v>non</v>
      </c>
      <c r="CG76" s="10" t="str">
        <f>IF('P33'!$G72&lt;&gt;"", 'P33'!$G72, "non")</f>
        <v>non</v>
      </c>
      <c r="CH76" s="10" t="str">
        <f>IF('P34'!$G72&lt;&gt;"", 'P34'!$G72, "non")</f>
        <v>non</v>
      </c>
      <c r="CI76" s="11" t="str">
        <f>IF('P35'!$G72&lt;&gt;"", 'P35'!$G72, "non")</f>
        <v>non</v>
      </c>
      <c r="CJ76" s="10" t="str">
        <f>IF('P36'!$G72&lt;&gt;"", 'P36'!$G72, "non")</f>
        <v>non</v>
      </c>
      <c r="CK76" s="11" t="str">
        <f>IF('P37'!$G72&lt;&gt;"", 'P37'!$G72, "non")</f>
        <v>non</v>
      </c>
      <c r="CL76" s="10" t="str">
        <f>IF('P38'!$G72&lt;&gt;"", 'P38'!$G72, "non")</f>
        <v>non</v>
      </c>
      <c r="CM76" s="11" t="str">
        <f>IF('P39'!$G72&lt;&gt;"", 'P39'!$G72, "non")</f>
        <v>non</v>
      </c>
      <c r="CN76" s="10" t="str">
        <f>IF('P40'!$G72&lt;&gt;"", 'P40'!$G72, "non")</f>
        <v>non</v>
      </c>
    </row>
    <row r="77" spans="1:92" ht="39.75" customHeight="1">
      <c r="A77" s="122" t="str">
        <f>'Critères et tests'!B72</f>
        <v>PRÉSENTATION</v>
      </c>
      <c r="B77" s="124" t="str">
        <f>'Critères et tests'!$A72</f>
        <v>10.14</v>
      </c>
      <c r="C77" s="192" t="str">
        <f>VLOOKUP(B77,'Critères et tests'!$1:$1048576,5,FALSE)</f>
        <v>Dans chaque page web, les contenus additionnels apparaissant via les styles CSS uniquement peuvent-ils être rendus visibles au clavier et par tout dispositif de pointage ?</v>
      </c>
      <c r="D77" s="124" t="str">
        <f>'Critères et tests'!$C72</f>
        <v>AA</v>
      </c>
      <c r="E77" s="156" t="s">
        <v>460</v>
      </c>
      <c r="F77" s="88">
        <f>IF('P01'!$E73&gt;"",'P01'!$E73&amp;" "&amp;CHAR(10)&amp;'P01'!$F73,'P01'!$E73)</f>
        <v>0</v>
      </c>
      <c r="G77" s="89">
        <f>IF('P02'!$E73&gt;"",'P02'!$E73&amp;" "&amp;CHAR(10)&amp;'P02'!$F73,'P02'!$E73)</f>
        <v>0</v>
      </c>
      <c r="H77" s="89">
        <f>IF('P03'!$E73&gt;"",'P03'!$E73&amp;" "&amp;CHAR(10)&amp;'P03'!$F73,'P03'!$E73)</f>
        <v>0</v>
      </c>
      <c r="I77" s="89">
        <f>IF('P04'!$E73&gt;"",'P04'!$E73&amp;" "&amp;CHAR(10)&amp;'P04'!$F73,'P04'!$E73)</f>
        <v>0</v>
      </c>
      <c r="J77" s="89">
        <f>IF('P05'!$E73&gt;"",'P05'!$E73&amp;" "&amp;CHAR(10)&amp;'P05'!$F73,'P05'!$E73)</f>
        <v>0</v>
      </c>
      <c r="K77" s="89">
        <f>IF('P06'!$E73&gt;"",'P06'!$E73&amp;" "&amp;CHAR(10)&amp;'P06'!$F73,'P06'!$E73)</f>
        <v>0</v>
      </c>
      <c r="L77" s="89">
        <f>IF('P07'!$E73&gt;"",'P07'!$E73&amp;" "&amp;CHAR(10)&amp;'P07'!$F73,'P07'!$E73)</f>
        <v>0</v>
      </c>
      <c r="M77" s="89">
        <f>IF('P08'!$E73&gt;"",'P08'!$E73&amp;" "&amp;CHAR(10)&amp;'P08'!$F73,'P08'!$E73)</f>
        <v>0</v>
      </c>
      <c r="N77" s="89">
        <f>IF('P09'!$E73&gt;"",'P09'!$E73&amp;" "&amp;CHAR(10)&amp;'P09'!$F73,'P09'!$E73)</f>
        <v>0</v>
      </c>
      <c r="O77" s="89">
        <f>IF('P10'!$E73&gt;"",'P10'!$E73&amp;" "&amp;CHAR(10)&amp;'P10'!$F73,'P10'!$E73)</f>
        <v>0</v>
      </c>
      <c r="P77" s="89">
        <f>IF('P11'!$E73&gt;"",'P11'!$E73&amp;" "&amp;CHAR(10)&amp;'P11'!$F73,'P11'!$E73)</f>
        <v>0</v>
      </c>
      <c r="Q77" s="89">
        <f>IF('P12'!$E73&gt;"",'P12'!$E73&amp;" "&amp;CHAR(10)&amp;'P12'!$F73,'P12'!$E73)</f>
        <v>0</v>
      </c>
      <c r="R77" s="89">
        <f>IF('P13'!$E73&gt;"",'P13'!$E73&amp;" "&amp;CHAR(10)&amp;'P13'!$F73,'P13'!$E73)</f>
        <v>0</v>
      </c>
      <c r="S77" s="89">
        <f>IF('P14'!$E73&gt;"",'P14'!$E73&amp;" "&amp;CHAR(10)&amp;'P14'!$F73,'P14'!$E73)</f>
        <v>0</v>
      </c>
      <c r="T77" s="89">
        <f>IF('P15'!$E73&gt;"",'P15'!$E73&amp;" "&amp;CHAR(10)&amp;'P15'!$F73,'P15'!$E73)</f>
        <v>0</v>
      </c>
      <c r="U77" s="89">
        <f>IF('P16'!$E73&gt;"",'P16'!$E73&amp;" "&amp;CHAR(10)&amp;'P16'!$F73,'P16'!$E73)</f>
        <v>0</v>
      </c>
      <c r="V77" s="89">
        <f>IF('P17'!$E73&gt;"",'P17'!$E73&amp;" "&amp;CHAR(10)&amp;'P17'!$F73,'P17'!$E73)</f>
        <v>0</v>
      </c>
      <c r="W77" s="89">
        <f>IF('P18'!$E73&gt;"",'P18'!$E73&amp;" "&amp;CHAR(10)&amp;'P18'!$F73,'P18'!$E73)</f>
        <v>0</v>
      </c>
      <c r="X77" s="89">
        <f>IF('P19'!$E73&gt;"",'P19'!$E73&amp;" "&amp;CHAR(10)&amp;'P19'!$F73,'P19'!$E73)</f>
        <v>0</v>
      </c>
      <c r="Y77" s="89">
        <f>IF('P20'!$E73&gt;"",'P20'!$E73&amp;" "&amp;CHAR(10)&amp;'P20'!$F73,'P20'!$E73)</f>
        <v>0</v>
      </c>
      <c r="Z77" s="89">
        <f>IF('P21'!$E73&gt;"",'P21'!$E73&amp;" "&amp;CHAR(10)&amp;'P21'!$F73,'P21'!$E73)</f>
        <v>0</v>
      </c>
      <c r="AA77" s="89">
        <f>IF('P22'!$E73&gt;"",'P22'!$E73&amp;" "&amp;CHAR(10)&amp;'P22'!$F73,'P22'!$E73)</f>
        <v>0</v>
      </c>
      <c r="AB77" s="89">
        <f>IF('P23'!$E73&gt;"",'P23'!$E73&amp;" "&amp;CHAR(10)&amp;'P23'!$F73,'P23'!$E73)</f>
        <v>0</v>
      </c>
      <c r="AC77" s="89">
        <f>IF('P24'!$E73&gt;"",'P24'!$E73&amp;" "&amp;CHAR(10)&amp;'P24'!$F73,'P24'!$E73)</f>
        <v>0</v>
      </c>
      <c r="AD77" s="89">
        <f>IF('P25'!$E73&gt;"",'P25'!$E73&amp;" "&amp;CHAR(10)&amp;'P25'!$F73,'P25'!$E73)</f>
        <v>0</v>
      </c>
      <c r="AE77" s="89">
        <f>IF('P26'!$E73&gt;"",'P26'!$E73&amp;" "&amp;CHAR(10)&amp;'P26'!$F73,'P26'!$E73)</f>
        <v>0</v>
      </c>
      <c r="AF77" s="89">
        <f>IF('P27'!$E73&gt;"",'P27'!$E73&amp;" "&amp;CHAR(10)&amp;'P27'!$F73,'P27'!$E73)</f>
        <v>0</v>
      </c>
      <c r="AG77" s="89">
        <f>IF('P28'!$E73&gt;"",'P28'!$E73&amp;" "&amp;CHAR(10)&amp;'P28'!$F73,'P28'!$E73)</f>
        <v>0</v>
      </c>
      <c r="AH77" s="89">
        <f>IF('P29'!$E73&gt;"",'P29'!$E73&amp;" "&amp;CHAR(10)&amp;'P29'!$F73,'P29'!$E73)</f>
        <v>0</v>
      </c>
      <c r="AI77" s="89">
        <f>IF('P30'!$E73&gt;"",'P30'!$E73&amp;" "&amp;CHAR(10)&amp;'P30'!$F73,'P30'!$E73)</f>
        <v>0</v>
      </c>
      <c r="AJ77" s="89">
        <f>IF('P31'!$E73&gt;"",'P31'!$E73&amp;" "&amp;CHAR(10)&amp;'P31'!$F73,'P31'!$E73)</f>
        <v>0</v>
      </c>
      <c r="AK77" s="89">
        <f>IF('P32'!$E73&gt;"",'P32'!$E73&amp;" "&amp;CHAR(10)&amp;'P32'!$F73,'P32'!$E73)</f>
        <v>0</v>
      </c>
      <c r="AL77" s="89">
        <f>IF('P33'!$E73&gt;"",'P33'!$E73&amp;" "&amp;CHAR(10)&amp;'P33'!$F73,'P33'!$E73)</f>
        <v>0</v>
      </c>
      <c r="AM77" s="89">
        <f>IF('P34'!$E73&gt;"",'P34'!$E73&amp;" "&amp;CHAR(10)&amp;'P34'!$F73,'P34'!$E73)</f>
        <v>0</v>
      </c>
      <c r="AN77" s="89">
        <f>IF('P35'!$E73&gt;"",'P35'!$E73&amp;" "&amp;CHAR(10)&amp;'P35'!$F73,'P35'!$E73)</f>
        <v>0</v>
      </c>
      <c r="AO77" s="89">
        <f>IF('P36'!$E73&gt;"",'P36'!$E73&amp;" "&amp;CHAR(10)&amp;'P36'!$F73,'P36'!$E73)</f>
        <v>0</v>
      </c>
      <c r="AP77" s="89">
        <f>IF('P37'!$E73&gt;"",'P37'!$E73&amp;" "&amp;CHAR(10)&amp;'P37'!$F73,'P37'!$E73)</f>
        <v>0</v>
      </c>
      <c r="AQ77" s="89">
        <f>IF('P38'!$E73&gt;"",'P38'!$E73&amp;" "&amp;CHAR(10)&amp;'P38'!$F73,'P38'!$E73)</f>
        <v>0</v>
      </c>
      <c r="AR77" s="89">
        <f>IF('P39'!$E73&gt;"",'P39'!$E73&amp;" "&amp;CHAR(10)&amp;'P39'!$F73,'P39'!$E73)</f>
        <v>0</v>
      </c>
      <c r="AS77" s="89">
        <f>IF('P40'!$E73&gt;"",'P40'!$E73&amp;" "&amp;CHAR(10)&amp;'P40'!$F73,'P40'!$E73)</f>
        <v>0</v>
      </c>
      <c r="AT77" s="55">
        <f t="shared" si="9"/>
        <v>0</v>
      </c>
      <c r="AU77" s="9">
        <f t="shared" si="10"/>
        <v>0</v>
      </c>
      <c r="AV77" s="55">
        <f t="shared" si="11"/>
        <v>0</v>
      </c>
      <c r="AW77" s="38" t="str">
        <f t="shared" si="12"/>
        <v>NT</v>
      </c>
      <c r="AX77" s="12"/>
      <c r="AY77" s="10"/>
      <c r="AZ77" s="10"/>
      <c r="BA77" s="10" t="str">
        <f>IF('P01'!$G73&lt;&gt;"", 'P01'!$G73, "non")</f>
        <v>non</v>
      </c>
      <c r="BB77" s="10" t="str">
        <f>IF('P02'!$G73&lt;&gt;"", 'P02'!$G73, "non")</f>
        <v>non</v>
      </c>
      <c r="BC77" s="10" t="str">
        <f>IF('P03'!$G73&lt;&gt;"", 'P03'!$G73, "non")</f>
        <v>non</v>
      </c>
      <c r="BD77" s="10" t="str">
        <f>IF('P04'!$G73&lt;&gt;"", 'P04'!$G73, "non")</f>
        <v>non</v>
      </c>
      <c r="BE77" s="10" t="str">
        <f>IF('P05'!$G73&lt;&gt;"", 'P05'!$G73, "non")</f>
        <v>non</v>
      </c>
      <c r="BF77" s="10" t="str">
        <f>IF('P06'!$G73&lt;&gt;"", 'P06'!$G73, "non")</f>
        <v>non</v>
      </c>
      <c r="BG77" s="10" t="str">
        <f>IF('P07'!$G73&lt;&gt;"", 'P07'!$G73, "non")</f>
        <v>non</v>
      </c>
      <c r="BH77" s="10" t="str">
        <f>IF('P08'!$G73&lt;&gt;"", 'P08'!$G73, "non")</f>
        <v>non</v>
      </c>
      <c r="BI77" s="10" t="str">
        <f>IF('P09'!$G73&lt;&gt;"", 'P09'!$G73, "non")</f>
        <v>non</v>
      </c>
      <c r="BJ77" s="10" t="str">
        <f>IF('P10'!$G73&lt;&gt;"", 'P10'!$G73, "non")</f>
        <v>non</v>
      </c>
      <c r="BK77" s="10" t="str">
        <f>IF('P11'!$G73&lt;&gt;"", 'P11'!$G73, "non")</f>
        <v>non</v>
      </c>
      <c r="BL77" s="10" t="str">
        <f>IF('P12'!$G73&lt;&gt;"", 'P12'!$G73, "non")</f>
        <v>non</v>
      </c>
      <c r="BM77" s="10" t="str">
        <f>IF('P13'!$G73&lt;&gt;"", 'P13'!$G73, "non")</f>
        <v>non</v>
      </c>
      <c r="BN77" s="10" t="str">
        <f>IF('P14'!$G73&lt;&gt;"", 'P14'!$G73, "non")</f>
        <v>non</v>
      </c>
      <c r="BO77" s="10" t="str">
        <f>IF('P15'!$G73&lt;&gt;"", 'P15'!$G73, "non")</f>
        <v>non</v>
      </c>
      <c r="BP77" s="10" t="str">
        <f>IF('P16'!$G73&lt;&gt;"", 'P16'!$G73, "non")</f>
        <v>non</v>
      </c>
      <c r="BQ77" s="10" t="str">
        <f>IF('P17'!$G73&lt;&gt;"", 'P17'!$G73, "non")</f>
        <v>non</v>
      </c>
      <c r="BR77" s="10" t="str">
        <f>IF('P18'!$G73&lt;&gt;"", 'P18'!$G73, "non")</f>
        <v>non</v>
      </c>
      <c r="BS77" s="10" t="str">
        <f>IF('P19'!$G73&lt;&gt;"", 'P19'!$G73, "non")</f>
        <v>non</v>
      </c>
      <c r="BT77" s="11" t="str">
        <f>IF('P20'!$G73&lt;&gt;"", 'P20'!$G73, "non")</f>
        <v>non</v>
      </c>
      <c r="BU77" s="10" t="str">
        <f>IF('P21'!$G73&lt;&gt;"", 'P21'!$G73, "non")</f>
        <v>non</v>
      </c>
      <c r="BV77" s="11" t="str">
        <f>IF('P22'!$G73&lt;&gt;"", 'P22'!$G73, "non")</f>
        <v>non</v>
      </c>
      <c r="BW77" s="10" t="str">
        <f>IF('P23'!$G73&lt;&gt;"", 'P23'!$G73, "non")</f>
        <v>non</v>
      </c>
      <c r="BX77" s="11" t="str">
        <f>IF('P24'!$G73&lt;&gt;"", 'P24'!$G73, "non")</f>
        <v>non</v>
      </c>
      <c r="BY77" s="10" t="str">
        <f>IF('P25'!$G73&lt;&gt;"", 'P25'!$G73, "non")</f>
        <v>non</v>
      </c>
      <c r="BZ77" s="11" t="str">
        <f>IF('P26'!$G73&lt;&gt;"", 'P26'!$G73, "non")</f>
        <v>non</v>
      </c>
      <c r="CA77" s="10" t="str">
        <f>IF('P27'!$G73&lt;&gt;"", 'P27'!$G73, "non")</f>
        <v>non</v>
      </c>
      <c r="CB77" s="11" t="str">
        <f>IF('P28'!$G73&lt;&gt;"", 'P28'!$G73, "non")</f>
        <v>non</v>
      </c>
      <c r="CC77" s="10" t="str">
        <f>IF('P29'!$G73&lt;&gt;"", 'P29'!$G73, "non")</f>
        <v>non</v>
      </c>
      <c r="CD77" s="11" t="str">
        <f>IF('P30'!$G73&lt;&gt;"", 'P30'!$G73, "non")</f>
        <v>non</v>
      </c>
      <c r="CE77" s="10" t="str">
        <f>IF('P31'!$G73&lt;&gt;"", 'P31'!$G73, "non")</f>
        <v>non</v>
      </c>
      <c r="CF77" s="11" t="str">
        <f>IF('P32'!$G73&lt;&gt;"", 'P32'!$G73, "non")</f>
        <v>non</v>
      </c>
      <c r="CG77" s="10" t="str">
        <f>IF('P33'!$G73&lt;&gt;"", 'P33'!$G73, "non")</f>
        <v>non</v>
      </c>
      <c r="CH77" s="10" t="str">
        <f>IF('P34'!$G73&lt;&gt;"", 'P34'!$G73, "non")</f>
        <v>non</v>
      </c>
      <c r="CI77" s="11" t="str">
        <f>IF('P35'!$G73&lt;&gt;"", 'P35'!$G73, "non")</f>
        <v>non</v>
      </c>
      <c r="CJ77" s="10" t="str">
        <f>IF('P36'!$G73&lt;&gt;"", 'P36'!$G73, "non")</f>
        <v>non</v>
      </c>
      <c r="CK77" s="11" t="str">
        <f>IF('P37'!$G73&lt;&gt;"", 'P37'!$G73, "non")</f>
        <v>non</v>
      </c>
      <c r="CL77" s="10" t="str">
        <f>IF('P38'!$G73&lt;&gt;"", 'P38'!$G73, "non")</f>
        <v>non</v>
      </c>
      <c r="CM77" s="11" t="str">
        <f>IF('P39'!$G73&lt;&gt;"", 'P39'!$G73, "non")</f>
        <v>non</v>
      </c>
      <c r="CN77" s="10" t="str">
        <f>IF('P40'!$G73&lt;&gt;"", 'P40'!$G73, "non")</f>
        <v>non</v>
      </c>
    </row>
    <row r="78" spans="1:92" ht="39.75" customHeight="1">
      <c r="A78" s="122" t="str">
        <f>'Critères et tests'!B73</f>
        <v>FORMULAIRES</v>
      </c>
      <c r="B78" s="124" t="str">
        <f>'Critères et tests'!$A73</f>
        <v>11.1</v>
      </c>
      <c r="C78" s="192" t="str">
        <f>VLOOKUP(B78,'Critères et tests'!$1:$1048576,5,FALSE)</f>
        <v>Chaque champ de formulaire a-t-il une étiquette ?</v>
      </c>
      <c r="D78" s="124" t="str">
        <f>'Critères et tests'!$C73</f>
        <v>A</v>
      </c>
      <c r="E78" s="156" t="s">
        <v>460</v>
      </c>
      <c r="F78" s="88">
        <f>IF('P01'!$E74&gt;"",'P01'!$E74&amp;" "&amp;CHAR(10)&amp;'P01'!$F74,'P01'!$E74)</f>
        <v>0</v>
      </c>
      <c r="G78" s="89">
        <f>IF('P02'!$E74&gt;"",'P02'!$E74&amp;" "&amp;CHAR(10)&amp;'P02'!$F74,'P02'!$E74)</f>
        <v>0</v>
      </c>
      <c r="H78" s="89">
        <f>IF('P03'!$E74&gt;"",'P03'!$E74&amp;" "&amp;CHAR(10)&amp;'P03'!$F74,'P03'!$E74)</f>
        <v>0</v>
      </c>
      <c r="I78" s="89">
        <f>IF('P04'!$E74&gt;"",'P04'!$E74&amp;" "&amp;CHAR(10)&amp;'P04'!$F74,'P04'!$E74)</f>
        <v>0</v>
      </c>
      <c r="J78" s="89">
        <f>IF('P05'!$E74&gt;"",'P05'!$E74&amp;" "&amp;CHAR(10)&amp;'P05'!$F74,'P05'!$E74)</f>
        <v>0</v>
      </c>
      <c r="K78" s="89">
        <f>IF('P06'!$E74&gt;"",'P06'!$E74&amp;" "&amp;CHAR(10)&amp;'P06'!$F74,'P06'!$E74)</f>
        <v>0</v>
      </c>
      <c r="L78" s="89">
        <f>IF('P07'!$E74&gt;"",'P07'!$E74&amp;" "&amp;CHAR(10)&amp;'P07'!$F74,'P07'!$E74)</f>
        <v>0</v>
      </c>
      <c r="M78" s="89">
        <f>IF('P08'!$E74&gt;"",'P08'!$E74&amp;" "&amp;CHAR(10)&amp;'P08'!$F74,'P08'!$E74)</f>
        <v>0</v>
      </c>
      <c r="N78" s="89">
        <f>IF('P09'!$E74&gt;"",'P09'!$E74&amp;" "&amp;CHAR(10)&amp;'P09'!$F74,'P09'!$E74)</f>
        <v>0</v>
      </c>
      <c r="O78" s="89">
        <f>IF('P10'!$E74&gt;"",'P10'!$E74&amp;" "&amp;CHAR(10)&amp;'P10'!$F74,'P10'!$E74)</f>
        <v>0</v>
      </c>
      <c r="P78" s="89">
        <f>IF('P11'!$E74&gt;"",'P11'!$E74&amp;" "&amp;CHAR(10)&amp;'P11'!$F74,'P11'!$E74)</f>
        <v>0</v>
      </c>
      <c r="Q78" s="89">
        <f>IF('P12'!$E74&gt;"",'P12'!$E74&amp;" "&amp;CHAR(10)&amp;'P12'!$F74,'P12'!$E74)</f>
        <v>0</v>
      </c>
      <c r="R78" s="89">
        <f>IF('P13'!$E74&gt;"",'P13'!$E74&amp;" "&amp;CHAR(10)&amp;'P13'!$F74,'P13'!$E74)</f>
        <v>0</v>
      </c>
      <c r="S78" s="89">
        <f>IF('P14'!$E74&gt;"",'P14'!$E74&amp;" "&amp;CHAR(10)&amp;'P14'!$F74,'P14'!$E74)</f>
        <v>0</v>
      </c>
      <c r="T78" s="89">
        <f>IF('P15'!$E74&gt;"",'P15'!$E74&amp;" "&amp;CHAR(10)&amp;'P15'!$F74,'P15'!$E74)</f>
        <v>0</v>
      </c>
      <c r="U78" s="89">
        <f>IF('P16'!$E74&gt;"",'P16'!$E74&amp;" "&amp;CHAR(10)&amp;'P16'!$F74,'P16'!$E74)</f>
        <v>0</v>
      </c>
      <c r="V78" s="89">
        <f>IF('P17'!$E74&gt;"",'P17'!$E74&amp;" "&amp;CHAR(10)&amp;'P17'!$F74,'P17'!$E74)</f>
        <v>0</v>
      </c>
      <c r="W78" s="89">
        <f>IF('P18'!$E74&gt;"",'P18'!$E74&amp;" "&amp;CHAR(10)&amp;'P18'!$F74,'P18'!$E74)</f>
        <v>0</v>
      </c>
      <c r="X78" s="89">
        <f>IF('P19'!$E74&gt;"",'P19'!$E74&amp;" "&amp;CHAR(10)&amp;'P19'!$F74,'P19'!$E74)</f>
        <v>0</v>
      </c>
      <c r="Y78" s="89">
        <f>IF('P20'!$E74&gt;"",'P20'!$E74&amp;" "&amp;CHAR(10)&amp;'P20'!$F74,'P20'!$E74)</f>
        <v>0</v>
      </c>
      <c r="Z78" s="89">
        <f>IF('P21'!$E74&gt;"",'P21'!$E74&amp;" "&amp;CHAR(10)&amp;'P21'!$F74,'P21'!$E74)</f>
        <v>0</v>
      </c>
      <c r="AA78" s="89">
        <f>IF('P22'!$E74&gt;"",'P22'!$E74&amp;" "&amp;CHAR(10)&amp;'P22'!$F74,'P22'!$E74)</f>
        <v>0</v>
      </c>
      <c r="AB78" s="89">
        <f>IF('P23'!$E74&gt;"",'P23'!$E74&amp;" "&amp;CHAR(10)&amp;'P23'!$F74,'P23'!$E74)</f>
        <v>0</v>
      </c>
      <c r="AC78" s="89">
        <f>IF('P24'!$E74&gt;"",'P24'!$E74&amp;" "&amp;CHAR(10)&amp;'P24'!$F74,'P24'!$E74)</f>
        <v>0</v>
      </c>
      <c r="AD78" s="89">
        <f>IF('P25'!$E74&gt;"",'P25'!$E74&amp;" "&amp;CHAR(10)&amp;'P25'!$F74,'P25'!$E74)</f>
        <v>0</v>
      </c>
      <c r="AE78" s="89">
        <f>IF('P26'!$E74&gt;"",'P26'!$E74&amp;" "&amp;CHAR(10)&amp;'P26'!$F74,'P26'!$E74)</f>
        <v>0</v>
      </c>
      <c r="AF78" s="89">
        <f>IF('P27'!$E74&gt;"",'P27'!$E74&amp;" "&amp;CHAR(10)&amp;'P27'!$F74,'P27'!$E74)</f>
        <v>0</v>
      </c>
      <c r="AG78" s="89">
        <f>IF('P28'!$E74&gt;"",'P28'!$E74&amp;" "&amp;CHAR(10)&amp;'P28'!$F74,'P28'!$E74)</f>
        <v>0</v>
      </c>
      <c r="AH78" s="89">
        <f>IF('P29'!$E74&gt;"",'P29'!$E74&amp;" "&amp;CHAR(10)&amp;'P29'!$F74,'P29'!$E74)</f>
        <v>0</v>
      </c>
      <c r="AI78" s="89">
        <f>IF('P30'!$E74&gt;"",'P30'!$E74&amp;" "&amp;CHAR(10)&amp;'P30'!$F74,'P30'!$E74)</f>
        <v>0</v>
      </c>
      <c r="AJ78" s="89">
        <f>IF('P31'!$E74&gt;"",'P31'!$E74&amp;" "&amp;CHAR(10)&amp;'P31'!$F74,'P31'!$E74)</f>
        <v>0</v>
      </c>
      <c r="AK78" s="89">
        <f>IF('P32'!$E74&gt;"",'P32'!$E74&amp;" "&amp;CHAR(10)&amp;'P32'!$F74,'P32'!$E74)</f>
        <v>0</v>
      </c>
      <c r="AL78" s="89">
        <f>IF('P33'!$E74&gt;"",'P33'!$E74&amp;" "&amp;CHAR(10)&amp;'P33'!$F74,'P33'!$E74)</f>
        <v>0</v>
      </c>
      <c r="AM78" s="89">
        <f>IF('P34'!$E74&gt;"",'P34'!$E74&amp;" "&amp;CHAR(10)&amp;'P34'!$F74,'P34'!$E74)</f>
        <v>0</v>
      </c>
      <c r="AN78" s="89">
        <f>IF('P35'!$E74&gt;"",'P35'!$E74&amp;" "&amp;CHAR(10)&amp;'P35'!$F74,'P35'!$E74)</f>
        <v>0</v>
      </c>
      <c r="AO78" s="89">
        <f>IF('P36'!$E74&gt;"",'P36'!$E74&amp;" "&amp;CHAR(10)&amp;'P36'!$F74,'P36'!$E74)</f>
        <v>0</v>
      </c>
      <c r="AP78" s="89">
        <f>IF('P37'!$E74&gt;"",'P37'!$E74&amp;" "&amp;CHAR(10)&amp;'P37'!$F74,'P37'!$E74)</f>
        <v>0</v>
      </c>
      <c r="AQ78" s="89">
        <f>IF('P38'!$E74&gt;"",'P38'!$E74&amp;" "&amp;CHAR(10)&amp;'P38'!$F74,'P38'!$E74)</f>
        <v>0</v>
      </c>
      <c r="AR78" s="89">
        <f>IF('P39'!$E74&gt;"",'P39'!$E74&amp;" "&amp;CHAR(10)&amp;'P39'!$F74,'P39'!$E74)</f>
        <v>0</v>
      </c>
      <c r="AS78" s="89">
        <f>IF('P40'!$E74&gt;"",'P40'!$E74&amp;" "&amp;CHAR(10)&amp;'P40'!$F74,'P40'!$E74)</f>
        <v>0</v>
      </c>
      <c r="AT78" s="55">
        <f t="shared" si="9"/>
        <v>0</v>
      </c>
      <c r="AU78" s="9">
        <f t="shared" si="10"/>
        <v>0</v>
      </c>
      <c r="AV78" s="55">
        <f t="shared" si="11"/>
        <v>0</v>
      </c>
      <c r="AW78" s="38" t="str">
        <f t="shared" si="12"/>
        <v>NT</v>
      </c>
      <c r="AX78" s="12"/>
      <c r="AY78" s="10"/>
      <c r="AZ78" s="10"/>
      <c r="BA78" s="10" t="str">
        <f>IF('P01'!$G74&lt;&gt;"", 'P01'!$G74, "non")</f>
        <v>non</v>
      </c>
      <c r="BB78" s="10" t="str">
        <f>IF('P02'!$G74&lt;&gt;"", 'P02'!$G74, "non")</f>
        <v>non</v>
      </c>
      <c r="BC78" s="10" t="str">
        <f>IF('P03'!$G74&lt;&gt;"", 'P03'!$G74, "non")</f>
        <v>non</v>
      </c>
      <c r="BD78" s="10" t="str">
        <f>IF('P04'!$G74&lt;&gt;"", 'P04'!$G74, "non")</f>
        <v>non</v>
      </c>
      <c r="BE78" s="10" t="str">
        <f>IF('P05'!$G74&lt;&gt;"", 'P05'!$G74, "non")</f>
        <v>non</v>
      </c>
      <c r="BF78" s="10" t="str">
        <f>IF('P06'!$G74&lt;&gt;"", 'P06'!$G74, "non")</f>
        <v>non</v>
      </c>
      <c r="BG78" s="10" t="str">
        <f>IF('P07'!$G74&lt;&gt;"", 'P07'!$G74, "non")</f>
        <v>non</v>
      </c>
      <c r="BH78" s="10" t="str">
        <f>IF('P08'!$G74&lt;&gt;"", 'P08'!$G74, "non")</f>
        <v>non</v>
      </c>
      <c r="BI78" s="10" t="str">
        <f>IF('P09'!$G74&lt;&gt;"", 'P09'!$G74, "non")</f>
        <v>non</v>
      </c>
      <c r="BJ78" s="10" t="str">
        <f>IF('P10'!$G74&lt;&gt;"", 'P10'!$G74, "non")</f>
        <v>non</v>
      </c>
      <c r="BK78" s="10" t="str">
        <f>IF('P11'!$G74&lt;&gt;"", 'P11'!$G74, "non")</f>
        <v>non</v>
      </c>
      <c r="BL78" s="10" t="str">
        <f>IF('P12'!$G74&lt;&gt;"", 'P12'!$G74, "non")</f>
        <v>non</v>
      </c>
      <c r="BM78" s="10" t="str">
        <f>IF('P13'!$G74&lt;&gt;"", 'P13'!$G74, "non")</f>
        <v>non</v>
      </c>
      <c r="BN78" s="10" t="str">
        <f>IF('P14'!$G74&lt;&gt;"", 'P14'!$G74, "non")</f>
        <v>non</v>
      </c>
      <c r="BO78" s="10" t="str">
        <f>IF('P15'!$G74&lt;&gt;"", 'P15'!$G74, "non")</f>
        <v>non</v>
      </c>
      <c r="BP78" s="10" t="str">
        <f>IF('P16'!$G74&lt;&gt;"", 'P16'!$G74, "non")</f>
        <v>non</v>
      </c>
      <c r="BQ78" s="10" t="str">
        <f>IF('P17'!$G74&lt;&gt;"", 'P17'!$G74, "non")</f>
        <v>non</v>
      </c>
      <c r="BR78" s="10" t="str">
        <f>IF('P18'!$G74&lt;&gt;"", 'P18'!$G74, "non")</f>
        <v>non</v>
      </c>
      <c r="BS78" s="10" t="str">
        <f>IF('P19'!$G74&lt;&gt;"", 'P19'!$G74, "non")</f>
        <v>non</v>
      </c>
      <c r="BT78" s="11" t="str">
        <f>IF('P20'!$G74&lt;&gt;"", 'P20'!$G74, "non")</f>
        <v>non</v>
      </c>
      <c r="BU78" s="10" t="str">
        <f>IF('P21'!$G74&lt;&gt;"", 'P21'!$G74, "non")</f>
        <v>non</v>
      </c>
      <c r="BV78" s="11" t="str">
        <f>IF('P22'!$G74&lt;&gt;"", 'P22'!$G74, "non")</f>
        <v>non</v>
      </c>
      <c r="BW78" s="10" t="str">
        <f>IF('P23'!$G74&lt;&gt;"", 'P23'!$G74, "non")</f>
        <v>non</v>
      </c>
      <c r="BX78" s="11" t="str">
        <f>IF('P24'!$G74&lt;&gt;"", 'P24'!$G74, "non")</f>
        <v>non</v>
      </c>
      <c r="BY78" s="10" t="str">
        <f>IF('P25'!$G74&lt;&gt;"", 'P25'!$G74, "non")</f>
        <v>non</v>
      </c>
      <c r="BZ78" s="11" t="str">
        <f>IF('P26'!$G74&lt;&gt;"", 'P26'!$G74, "non")</f>
        <v>non</v>
      </c>
      <c r="CA78" s="10" t="str">
        <f>IF('P27'!$G74&lt;&gt;"", 'P27'!$G74, "non")</f>
        <v>non</v>
      </c>
      <c r="CB78" s="11" t="str">
        <f>IF('P28'!$G74&lt;&gt;"", 'P28'!$G74, "non")</f>
        <v>non</v>
      </c>
      <c r="CC78" s="10" t="str">
        <f>IF('P29'!$G74&lt;&gt;"", 'P29'!$G74, "non")</f>
        <v>non</v>
      </c>
      <c r="CD78" s="11" t="str">
        <f>IF('P30'!$G74&lt;&gt;"", 'P30'!$G74, "non")</f>
        <v>non</v>
      </c>
      <c r="CE78" s="10" t="str">
        <f>IF('P31'!$G74&lt;&gt;"", 'P31'!$G74, "non")</f>
        <v>non</v>
      </c>
      <c r="CF78" s="11" t="str">
        <f>IF('P32'!$G74&lt;&gt;"", 'P32'!$G74, "non")</f>
        <v>non</v>
      </c>
      <c r="CG78" s="10" t="str">
        <f>IF('P33'!$G74&lt;&gt;"", 'P33'!$G74, "non")</f>
        <v>non</v>
      </c>
      <c r="CH78" s="10" t="str">
        <f>IF('P34'!$G74&lt;&gt;"", 'P34'!$G74, "non")</f>
        <v>non</v>
      </c>
      <c r="CI78" s="11" t="str">
        <f>IF('P35'!$G74&lt;&gt;"", 'P35'!$G74, "non")</f>
        <v>non</v>
      </c>
      <c r="CJ78" s="10" t="str">
        <f>IF('P36'!$G74&lt;&gt;"", 'P36'!$G74, "non")</f>
        <v>non</v>
      </c>
      <c r="CK78" s="11" t="str">
        <f>IF('P37'!$G74&lt;&gt;"", 'P37'!$G74, "non")</f>
        <v>non</v>
      </c>
      <c r="CL78" s="10" t="str">
        <f>IF('P38'!$G74&lt;&gt;"", 'P38'!$G74, "non")</f>
        <v>non</v>
      </c>
      <c r="CM78" s="11" t="str">
        <f>IF('P39'!$G74&lt;&gt;"", 'P39'!$G74, "non")</f>
        <v>non</v>
      </c>
      <c r="CN78" s="10" t="str">
        <f>IF('P40'!$G74&lt;&gt;"", 'P40'!$G74, "non")</f>
        <v>non</v>
      </c>
    </row>
    <row r="79" spans="1:92" ht="39.75" customHeight="1">
      <c r="A79" s="122" t="str">
        <f>'Critères et tests'!B74</f>
        <v>FORMULAIRES</v>
      </c>
      <c r="B79" s="124" t="str">
        <f>'Critères et tests'!$A74</f>
        <v>11.2</v>
      </c>
      <c r="C79" s="192" t="str">
        <f>VLOOKUP(B79,'Critères et tests'!$1:$1048576,5,FALSE)</f>
        <v>Chaque étiquette associée à un champ de formulaire est-elle pertinente (hors cas particuliers) ?</v>
      </c>
      <c r="D79" s="124" t="str">
        <f>'Critères et tests'!$C74</f>
        <v>A</v>
      </c>
      <c r="E79" s="156" t="s">
        <v>460</v>
      </c>
      <c r="F79" s="88">
        <f>IF('P01'!$E75&gt;"",'P01'!$E75&amp;" "&amp;CHAR(10)&amp;'P01'!$F75,'P01'!$E75)</f>
        <v>0</v>
      </c>
      <c r="G79" s="89">
        <f>IF('P02'!$E75&gt;"",'P02'!$E75&amp;" "&amp;CHAR(10)&amp;'P02'!$F75,'P02'!$E75)</f>
        <v>0</v>
      </c>
      <c r="H79" s="89">
        <f>IF('P03'!$E75&gt;"",'P03'!$E75&amp;" "&amp;CHAR(10)&amp;'P03'!$F75,'P03'!$E75)</f>
        <v>0</v>
      </c>
      <c r="I79" s="89">
        <f>IF('P04'!$E75&gt;"",'P04'!$E75&amp;" "&amp;CHAR(10)&amp;'P04'!$F75,'P04'!$E75)</f>
        <v>0</v>
      </c>
      <c r="J79" s="89">
        <f>IF('P05'!$E75&gt;"",'P05'!$E75&amp;" "&amp;CHAR(10)&amp;'P05'!$F75,'P05'!$E75)</f>
        <v>0</v>
      </c>
      <c r="K79" s="89">
        <f>IF('P06'!$E75&gt;"",'P06'!$E75&amp;" "&amp;CHAR(10)&amp;'P06'!$F75,'P06'!$E75)</f>
        <v>0</v>
      </c>
      <c r="L79" s="89">
        <f>IF('P07'!$E75&gt;"",'P07'!$E75&amp;" "&amp;CHAR(10)&amp;'P07'!$F75,'P07'!$E75)</f>
        <v>0</v>
      </c>
      <c r="M79" s="89">
        <f>IF('P08'!$E75&gt;"",'P08'!$E75&amp;" "&amp;CHAR(10)&amp;'P08'!$F75,'P08'!$E75)</f>
        <v>0</v>
      </c>
      <c r="N79" s="89">
        <f>IF('P09'!$E75&gt;"",'P09'!$E75&amp;" "&amp;CHAR(10)&amp;'P09'!$F75,'P09'!$E75)</f>
        <v>0</v>
      </c>
      <c r="O79" s="89">
        <f>IF('P10'!$E75&gt;"",'P10'!$E75&amp;" "&amp;CHAR(10)&amp;'P10'!$F75,'P10'!$E75)</f>
        <v>0</v>
      </c>
      <c r="P79" s="89">
        <f>IF('P11'!$E75&gt;"",'P11'!$E75&amp;" "&amp;CHAR(10)&amp;'P11'!$F75,'P11'!$E75)</f>
        <v>0</v>
      </c>
      <c r="Q79" s="89">
        <f>IF('P12'!$E75&gt;"",'P12'!$E75&amp;" "&amp;CHAR(10)&amp;'P12'!$F75,'P12'!$E75)</f>
        <v>0</v>
      </c>
      <c r="R79" s="89">
        <f>IF('P13'!$E75&gt;"",'P13'!$E75&amp;" "&amp;CHAR(10)&amp;'P13'!$F75,'P13'!$E75)</f>
        <v>0</v>
      </c>
      <c r="S79" s="89">
        <f>IF('P14'!$E75&gt;"",'P14'!$E75&amp;" "&amp;CHAR(10)&amp;'P14'!$F75,'P14'!$E75)</f>
        <v>0</v>
      </c>
      <c r="T79" s="89">
        <f>IF('P15'!$E75&gt;"",'P15'!$E75&amp;" "&amp;CHAR(10)&amp;'P15'!$F75,'P15'!$E75)</f>
        <v>0</v>
      </c>
      <c r="U79" s="89">
        <f>IF('P16'!$E75&gt;"",'P16'!$E75&amp;" "&amp;CHAR(10)&amp;'P16'!$F75,'P16'!$E75)</f>
        <v>0</v>
      </c>
      <c r="V79" s="89">
        <f>IF('P17'!$E75&gt;"",'P17'!$E75&amp;" "&amp;CHAR(10)&amp;'P17'!$F75,'P17'!$E75)</f>
        <v>0</v>
      </c>
      <c r="W79" s="89">
        <f>IF('P18'!$E75&gt;"",'P18'!$E75&amp;" "&amp;CHAR(10)&amp;'P18'!$F75,'P18'!$E75)</f>
        <v>0</v>
      </c>
      <c r="X79" s="89">
        <f>IF('P19'!$E75&gt;"",'P19'!$E75&amp;" "&amp;CHAR(10)&amp;'P19'!$F75,'P19'!$E75)</f>
        <v>0</v>
      </c>
      <c r="Y79" s="89">
        <f>IF('P20'!$E75&gt;"",'P20'!$E75&amp;" "&amp;CHAR(10)&amp;'P20'!$F75,'P20'!$E75)</f>
        <v>0</v>
      </c>
      <c r="Z79" s="89">
        <f>IF('P21'!$E75&gt;"",'P21'!$E75&amp;" "&amp;CHAR(10)&amp;'P21'!$F75,'P21'!$E75)</f>
        <v>0</v>
      </c>
      <c r="AA79" s="89">
        <f>IF('P22'!$E75&gt;"",'P22'!$E75&amp;" "&amp;CHAR(10)&amp;'P22'!$F75,'P22'!$E75)</f>
        <v>0</v>
      </c>
      <c r="AB79" s="89">
        <f>IF('P23'!$E75&gt;"",'P23'!$E75&amp;" "&amp;CHAR(10)&amp;'P23'!$F75,'P23'!$E75)</f>
        <v>0</v>
      </c>
      <c r="AC79" s="89">
        <f>IF('P24'!$E75&gt;"",'P24'!$E75&amp;" "&amp;CHAR(10)&amp;'P24'!$F75,'P24'!$E75)</f>
        <v>0</v>
      </c>
      <c r="AD79" s="89">
        <f>IF('P25'!$E75&gt;"",'P25'!$E75&amp;" "&amp;CHAR(10)&amp;'P25'!$F75,'P25'!$E75)</f>
        <v>0</v>
      </c>
      <c r="AE79" s="89">
        <f>IF('P26'!$E75&gt;"",'P26'!$E75&amp;" "&amp;CHAR(10)&amp;'P26'!$F75,'P26'!$E75)</f>
        <v>0</v>
      </c>
      <c r="AF79" s="89">
        <f>IF('P27'!$E75&gt;"",'P27'!$E75&amp;" "&amp;CHAR(10)&amp;'P27'!$F75,'P27'!$E75)</f>
        <v>0</v>
      </c>
      <c r="AG79" s="89">
        <f>IF('P28'!$E75&gt;"",'P28'!$E75&amp;" "&amp;CHAR(10)&amp;'P28'!$F75,'P28'!$E75)</f>
        <v>0</v>
      </c>
      <c r="AH79" s="89">
        <f>IF('P29'!$E75&gt;"",'P29'!$E75&amp;" "&amp;CHAR(10)&amp;'P29'!$F75,'P29'!$E75)</f>
        <v>0</v>
      </c>
      <c r="AI79" s="89">
        <f>IF('P30'!$E75&gt;"",'P30'!$E75&amp;" "&amp;CHAR(10)&amp;'P30'!$F75,'P30'!$E75)</f>
        <v>0</v>
      </c>
      <c r="AJ79" s="89">
        <f>IF('P31'!$E75&gt;"",'P31'!$E75&amp;" "&amp;CHAR(10)&amp;'P31'!$F75,'P31'!$E75)</f>
        <v>0</v>
      </c>
      <c r="AK79" s="89">
        <f>IF('P32'!$E75&gt;"",'P32'!$E75&amp;" "&amp;CHAR(10)&amp;'P32'!$F75,'P32'!$E75)</f>
        <v>0</v>
      </c>
      <c r="AL79" s="89">
        <f>IF('P33'!$E75&gt;"",'P33'!$E75&amp;" "&amp;CHAR(10)&amp;'P33'!$F75,'P33'!$E75)</f>
        <v>0</v>
      </c>
      <c r="AM79" s="89">
        <f>IF('P34'!$E75&gt;"",'P34'!$E75&amp;" "&amp;CHAR(10)&amp;'P34'!$F75,'P34'!$E75)</f>
        <v>0</v>
      </c>
      <c r="AN79" s="89">
        <f>IF('P35'!$E75&gt;"",'P35'!$E75&amp;" "&amp;CHAR(10)&amp;'P35'!$F75,'P35'!$E75)</f>
        <v>0</v>
      </c>
      <c r="AO79" s="89">
        <f>IF('P36'!$E75&gt;"",'P36'!$E75&amp;" "&amp;CHAR(10)&amp;'P36'!$F75,'P36'!$E75)</f>
        <v>0</v>
      </c>
      <c r="AP79" s="89">
        <f>IF('P37'!$E75&gt;"",'P37'!$E75&amp;" "&amp;CHAR(10)&amp;'P37'!$F75,'P37'!$E75)</f>
        <v>0</v>
      </c>
      <c r="AQ79" s="89">
        <f>IF('P38'!$E75&gt;"",'P38'!$E75&amp;" "&amp;CHAR(10)&amp;'P38'!$F75,'P38'!$E75)</f>
        <v>0</v>
      </c>
      <c r="AR79" s="89">
        <f>IF('P39'!$E75&gt;"",'P39'!$E75&amp;" "&amp;CHAR(10)&amp;'P39'!$F75,'P39'!$E75)</f>
        <v>0</v>
      </c>
      <c r="AS79" s="89">
        <f>IF('P40'!$E75&gt;"",'P40'!$E75&amp;" "&amp;CHAR(10)&amp;'P40'!$F75,'P40'!$E75)</f>
        <v>0</v>
      </c>
      <c r="AT79" s="55">
        <f t="shared" si="9"/>
        <v>0</v>
      </c>
      <c r="AU79" s="9">
        <f t="shared" si="10"/>
        <v>0</v>
      </c>
      <c r="AV79" s="55">
        <f t="shared" si="11"/>
        <v>0</v>
      </c>
      <c r="AW79" s="38" t="str">
        <f t="shared" si="12"/>
        <v>NT</v>
      </c>
      <c r="AX79" s="12"/>
      <c r="AY79" s="10"/>
      <c r="AZ79" s="10"/>
      <c r="BA79" s="10" t="str">
        <f>IF('P01'!$G75&lt;&gt;"", 'P01'!$G75, "non")</f>
        <v>non</v>
      </c>
      <c r="BB79" s="10" t="str">
        <f>IF('P02'!$G75&lt;&gt;"", 'P02'!$G75, "non")</f>
        <v>non</v>
      </c>
      <c r="BC79" s="10" t="str">
        <f>IF('P03'!$G75&lt;&gt;"", 'P03'!$G75, "non")</f>
        <v>non</v>
      </c>
      <c r="BD79" s="10" t="str">
        <f>IF('P04'!$G75&lt;&gt;"", 'P04'!$G75, "non")</f>
        <v>non</v>
      </c>
      <c r="BE79" s="10" t="str">
        <f>IF('P05'!$G75&lt;&gt;"", 'P05'!$G75, "non")</f>
        <v>non</v>
      </c>
      <c r="BF79" s="10" t="str">
        <f>IF('P06'!$G75&lt;&gt;"", 'P06'!$G75, "non")</f>
        <v>non</v>
      </c>
      <c r="BG79" s="10" t="str">
        <f>IF('P07'!$G75&lt;&gt;"", 'P07'!$G75, "non")</f>
        <v>non</v>
      </c>
      <c r="BH79" s="10" t="str">
        <f>IF('P08'!$G75&lt;&gt;"", 'P08'!$G75, "non")</f>
        <v>non</v>
      </c>
      <c r="BI79" s="10" t="str">
        <f>IF('P09'!$G75&lt;&gt;"", 'P09'!$G75, "non")</f>
        <v>non</v>
      </c>
      <c r="BJ79" s="10" t="str">
        <f>IF('P10'!$G75&lt;&gt;"", 'P10'!$G75, "non")</f>
        <v>non</v>
      </c>
      <c r="BK79" s="10" t="str">
        <f>IF('P11'!$G75&lt;&gt;"", 'P11'!$G75, "non")</f>
        <v>non</v>
      </c>
      <c r="BL79" s="10" t="str">
        <f>IF('P12'!$G75&lt;&gt;"", 'P12'!$G75, "non")</f>
        <v>non</v>
      </c>
      <c r="BM79" s="10" t="str">
        <f>IF('P13'!$G75&lt;&gt;"", 'P13'!$G75, "non")</f>
        <v>non</v>
      </c>
      <c r="BN79" s="10" t="str">
        <f>IF('P14'!$G75&lt;&gt;"", 'P14'!$G75, "non")</f>
        <v>non</v>
      </c>
      <c r="BO79" s="10" t="str">
        <f>IF('P15'!$G75&lt;&gt;"", 'P15'!$G75, "non")</f>
        <v>non</v>
      </c>
      <c r="BP79" s="10" t="str">
        <f>IF('P16'!$G75&lt;&gt;"", 'P16'!$G75, "non")</f>
        <v>non</v>
      </c>
      <c r="BQ79" s="10" t="str">
        <f>IF('P17'!$G75&lt;&gt;"", 'P17'!$G75, "non")</f>
        <v>non</v>
      </c>
      <c r="BR79" s="10" t="str">
        <f>IF('P18'!$G75&lt;&gt;"", 'P18'!$G75, "non")</f>
        <v>non</v>
      </c>
      <c r="BS79" s="10" t="str">
        <f>IF('P19'!$G75&lt;&gt;"", 'P19'!$G75, "non")</f>
        <v>non</v>
      </c>
      <c r="BT79" s="11" t="str">
        <f>IF('P20'!$G75&lt;&gt;"", 'P20'!$G75, "non")</f>
        <v>non</v>
      </c>
      <c r="BU79" s="10" t="str">
        <f>IF('P21'!$G75&lt;&gt;"", 'P21'!$G75, "non")</f>
        <v>non</v>
      </c>
      <c r="BV79" s="11" t="str">
        <f>IF('P22'!$G75&lt;&gt;"", 'P22'!$G75, "non")</f>
        <v>non</v>
      </c>
      <c r="BW79" s="10" t="str">
        <f>IF('P23'!$G75&lt;&gt;"", 'P23'!$G75, "non")</f>
        <v>non</v>
      </c>
      <c r="BX79" s="11" t="str">
        <f>IF('P24'!$G75&lt;&gt;"", 'P24'!$G75, "non")</f>
        <v>non</v>
      </c>
      <c r="BY79" s="10" t="str">
        <f>IF('P25'!$G75&lt;&gt;"", 'P25'!$G75, "non")</f>
        <v>non</v>
      </c>
      <c r="BZ79" s="11" t="str">
        <f>IF('P26'!$G75&lt;&gt;"", 'P26'!$G75, "non")</f>
        <v>non</v>
      </c>
      <c r="CA79" s="10" t="str">
        <f>IF('P27'!$G75&lt;&gt;"", 'P27'!$G75, "non")</f>
        <v>non</v>
      </c>
      <c r="CB79" s="11" t="str">
        <f>IF('P28'!$G75&lt;&gt;"", 'P28'!$G75, "non")</f>
        <v>non</v>
      </c>
      <c r="CC79" s="10" t="str">
        <f>IF('P29'!$G75&lt;&gt;"", 'P29'!$G75, "non")</f>
        <v>non</v>
      </c>
      <c r="CD79" s="11" t="str">
        <f>IF('P30'!$G75&lt;&gt;"", 'P30'!$G75, "non")</f>
        <v>non</v>
      </c>
      <c r="CE79" s="10" t="str">
        <f>IF('P31'!$G75&lt;&gt;"", 'P31'!$G75, "non")</f>
        <v>non</v>
      </c>
      <c r="CF79" s="11" t="str">
        <f>IF('P32'!$G75&lt;&gt;"", 'P32'!$G75, "non")</f>
        <v>non</v>
      </c>
      <c r="CG79" s="10" t="str">
        <f>IF('P33'!$G75&lt;&gt;"", 'P33'!$G75, "non")</f>
        <v>non</v>
      </c>
      <c r="CH79" s="10" t="str">
        <f>IF('P34'!$G75&lt;&gt;"", 'P34'!$G75, "non")</f>
        <v>non</v>
      </c>
      <c r="CI79" s="11" t="str">
        <f>IF('P35'!$G75&lt;&gt;"", 'P35'!$G75, "non")</f>
        <v>non</v>
      </c>
      <c r="CJ79" s="10" t="str">
        <f>IF('P36'!$G75&lt;&gt;"", 'P36'!$G75, "non")</f>
        <v>non</v>
      </c>
      <c r="CK79" s="11" t="str">
        <f>IF('P37'!$G75&lt;&gt;"", 'P37'!$G75, "non")</f>
        <v>non</v>
      </c>
      <c r="CL79" s="10" t="str">
        <f>IF('P38'!$G75&lt;&gt;"", 'P38'!$G75, "non")</f>
        <v>non</v>
      </c>
      <c r="CM79" s="11" t="str">
        <f>IF('P39'!$G75&lt;&gt;"", 'P39'!$G75, "non")</f>
        <v>non</v>
      </c>
      <c r="CN79" s="10" t="str">
        <f>IF('P40'!$G75&lt;&gt;"", 'P40'!$G75, "non")</f>
        <v>non</v>
      </c>
    </row>
    <row r="80" spans="1:92" ht="39.75" customHeight="1">
      <c r="A80" s="122" t="str">
        <f>'Critères et tests'!B75</f>
        <v>FORMULAIRES</v>
      </c>
      <c r="B80" s="124" t="str">
        <f>'Critères et tests'!$A75</f>
        <v>11.3</v>
      </c>
      <c r="C80" s="192" t="str">
        <f>VLOOKUP(B80,'Critères et tests'!$1:$1048576,5,FALSE)</f>
        <v>Dans chaque formulaire, chaque étiquette associée à un champ de formulaire ayant la même fonction et répétée plusieurs fois dans une même page ou dans un ensemble de pages est-elle cohérente ?</v>
      </c>
      <c r="D80" s="124" t="str">
        <f>'Critères et tests'!$C75</f>
        <v>A</v>
      </c>
      <c r="E80" s="156" t="s">
        <v>460</v>
      </c>
      <c r="F80" s="88">
        <f>IF('P01'!$E76&gt;"",'P01'!$E76&amp;" "&amp;CHAR(10)&amp;'P01'!$F76,'P01'!$E76)</f>
        <v>0</v>
      </c>
      <c r="G80" s="89">
        <f>IF('P02'!$E76&gt;"",'P02'!$E76&amp;" "&amp;CHAR(10)&amp;'P02'!$F76,'P02'!$E76)</f>
        <v>0</v>
      </c>
      <c r="H80" s="89">
        <f>IF('P03'!$E76&gt;"",'P03'!$E76&amp;" "&amp;CHAR(10)&amp;'P03'!$F76,'P03'!$E76)</f>
        <v>0</v>
      </c>
      <c r="I80" s="89">
        <f>IF('P04'!$E76&gt;"",'P04'!$E76&amp;" "&amp;CHAR(10)&amp;'P04'!$F76,'P04'!$E76)</f>
        <v>0</v>
      </c>
      <c r="J80" s="89">
        <f>IF('P05'!$E76&gt;"",'P05'!$E76&amp;" "&amp;CHAR(10)&amp;'P05'!$F76,'P05'!$E76)</f>
        <v>0</v>
      </c>
      <c r="K80" s="89">
        <f>IF('P06'!$E76&gt;"",'P06'!$E76&amp;" "&amp;CHAR(10)&amp;'P06'!$F76,'P06'!$E76)</f>
        <v>0</v>
      </c>
      <c r="L80" s="89">
        <f>IF('P07'!$E76&gt;"",'P07'!$E76&amp;" "&amp;CHAR(10)&amp;'P07'!$F76,'P07'!$E76)</f>
        <v>0</v>
      </c>
      <c r="M80" s="89">
        <f>IF('P08'!$E76&gt;"",'P08'!$E76&amp;" "&amp;CHAR(10)&amp;'P08'!$F76,'P08'!$E76)</f>
        <v>0</v>
      </c>
      <c r="N80" s="89">
        <f>IF('P09'!$E76&gt;"",'P09'!$E76&amp;" "&amp;CHAR(10)&amp;'P09'!$F76,'P09'!$E76)</f>
        <v>0</v>
      </c>
      <c r="O80" s="89">
        <f>IF('P10'!$E76&gt;"",'P10'!$E76&amp;" "&amp;CHAR(10)&amp;'P10'!$F76,'P10'!$E76)</f>
        <v>0</v>
      </c>
      <c r="P80" s="89">
        <f>IF('P11'!$E76&gt;"",'P11'!$E76&amp;" "&amp;CHAR(10)&amp;'P11'!$F76,'P11'!$E76)</f>
        <v>0</v>
      </c>
      <c r="Q80" s="89">
        <f>IF('P12'!$E76&gt;"",'P12'!$E76&amp;" "&amp;CHAR(10)&amp;'P12'!$F76,'P12'!$E76)</f>
        <v>0</v>
      </c>
      <c r="R80" s="89">
        <f>IF('P13'!$E76&gt;"",'P13'!$E76&amp;" "&amp;CHAR(10)&amp;'P13'!$F76,'P13'!$E76)</f>
        <v>0</v>
      </c>
      <c r="S80" s="89">
        <f>IF('P14'!$E76&gt;"",'P14'!$E76&amp;" "&amp;CHAR(10)&amp;'P14'!$F76,'P14'!$E76)</f>
        <v>0</v>
      </c>
      <c r="T80" s="89">
        <f>IF('P15'!$E76&gt;"",'P15'!$E76&amp;" "&amp;CHAR(10)&amp;'P15'!$F76,'P15'!$E76)</f>
        <v>0</v>
      </c>
      <c r="U80" s="89">
        <f>IF('P16'!$E76&gt;"",'P16'!$E76&amp;" "&amp;CHAR(10)&amp;'P16'!$F76,'P16'!$E76)</f>
        <v>0</v>
      </c>
      <c r="V80" s="89">
        <f>IF('P17'!$E76&gt;"",'P17'!$E76&amp;" "&amp;CHAR(10)&amp;'P17'!$F76,'P17'!$E76)</f>
        <v>0</v>
      </c>
      <c r="W80" s="89">
        <f>IF('P18'!$E76&gt;"",'P18'!$E76&amp;" "&amp;CHAR(10)&amp;'P18'!$F76,'P18'!$E76)</f>
        <v>0</v>
      </c>
      <c r="X80" s="89">
        <f>IF('P19'!$E76&gt;"",'P19'!$E76&amp;" "&amp;CHAR(10)&amp;'P19'!$F76,'P19'!$E76)</f>
        <v>0</v>
      </c>
      <c r="Y80" s="89">
        <f>IF('P20'!$E76&gt;"",'P20'!$E76&amp;" "&amp;CHAR(10)&amp;'P20'!$F76,'P20'!$E76)</f>
        <v>0</v>
      </c>
      <c r="Z80" s="89">
        <f>IF('P21'!$E76&gt;"",'P21'!$E76&amp;" "&amp;CHAR(10)&amp;'P21'!$F76,'P21'!$E76)</f>
        <v>0</v>
      </c>
      <c r="AA80" s="89">
        <f>IF('P22'!$E76&gt;"",'P22'!$E76&amp;" "&amp;CHAR(10)&amp;'P22'!$F76,'P22'!$E76)</f>
        <v>0</v>
      </c>
      <c r="AB80" s="89">
        <f>IF('P23'!$E76&gt;"",'P23'!$E76&amp;" "&amp;CHAR(10)&amp;'P23'!$F76,'P23'!$E76)</f>
        <v>0</v>
      </c>
      <c r="AC80" s="89">
        <f>IF('P24'!$E76&gt;"",'P24'!$E76&amp;" "&amp;CHAR(10)&amp;'P24'!$F76,'P24'!$E76)</f>
        <v>0</v>
      </c>
      <c r="AD80" s="89">
        <f>IF('P25'!$E76&gt;"",'P25'!$E76&amp;" "&amp;CHAR(10)&amp;'P25'!$F76,'P25'!$E76)</f>
        <v>0</v>
      </c>
      <c r="AE80" s="89">
        <f>IF('P26'!$E76&gt;"",'P26'!$E76&amp;" "&amp;CHAR(10)&amp;'P26'!$F76,'P26'!$E76)</f>
        <v>0</v>
      </c>
      <c r="AF80" s="89">
        <f>IF('P27'!$E76&gt;"",'P27'!$E76&amp;" "&amp;CHAR(10)&amp;'P27'!$F76,'P27'!$E76)</f>
        <v>0</v>
      </c>
      <c r="AG80" s="89">
        <f>IF('P28'!$E76&gt;"",'P28'!$E76&amp;" "&amp;CHAR(10)&amp;'P28'!$F76,'P28'!$E76)</f>
        <v>0</v>
      </c>
      <c r="AH80" s="89">
        <f>IF('P29'!$E76&gt;"",'P29'!$E76&amp;" "&amp;CHAR(10)&amp;'P29'!$F76,'P29'!$E76)</f>
        <v>0</v>
      </c>
      <c r="AI80" s="89">
        <f>IF('P30'!$E76&gt;"",'P30'!$E76&amp;" "&amp;CHAR(10)&amp;'P30'!$F76,'P30'!$E76)</f>
        <v>0</v>
      </c>
      <c r="AJ80" s="89">
        <f>IF('P31'!$E76&gt;"",'P31'!$E76&amp;" "&amp;CHAR(10)&amp;'P31'!$F76,'P31'!$E76)</f>
        <v>0</v>
      </c>
      <c r="AK80" s="89">
        <f>IF('P32'!$E76&gt;"",'P32'!$E76&amp;" "&amp;CHAR(10)&amp;'P32'!$F76,'P32'!$E76)</f>
        <v>0</v>
      </c>
      <c r="AL80" s="89">
        <f>IF('P33'!$E76&gt;"",'P33'!$E76&amp;" "&amp;CHAR(10)&amp;'P33'!$F76,'P33'!$E76)</f>
        <v>0</v>
      </c>
      <c r="AM80" s="89">
        <f>IF('P34'!$E76&gt;"",'P34'!$E76&amp;" "&amp;CHAR(10)&amp;'P34'!$F76,'P34'!$E76)</f>
        <v>0</v>
      </c>
      <c r="AN80" s="89">
        <f>IF('P35'!$E76&gt;"",'P35'!$E76&amp;" "&amp;CHAR(10)&amp;'P35'!$F76,'P35'!$E76)</f>
        <v>0</v>
      </c>
      <c r="AO80" s="89">
        <f>IF('P36'!$E76&gt;"",'P36'!$E76&amp;" "&amp;CHAR(10)&amp;'P36'!$F76,'P36'!$E76)</f>
        <v>0</v>
      </c>
      <c r="AP80" s="89">
        <f>IF('P37'!$E76&gt;"",'P37'!$E76&amp;" "&amp;CHAR(10)&amp;'P37'!$F76,'P37'!$E76)</f>
        <v>0</v>
      </c>
      <c r="AQ80" s="89">
        <f>IF('P38'!$E76&gt;"",'P38'!$E76&amp;" "&amp;CHAR(10)&amp;'P38'!$F76,'P38'!$E76)</f>
        <v>0</v>
      </c>
      <c r="AR80" s="89">
        <f>IF('P39'!$E76&gt;"",'P39'!$E76&amp;" "&amp;CHAR(10)&amp;'P39'!$F76,'P39'!$E76)</f>
        <v>0</v>
      </c>
      <c r="AS80" s="89">
        <f>IF('P40'!$E76&gt;"",'P40'!$E76&amp;" "&amp;CHAR(10)&amp;'P40'!$F76,'P40'!$E76)</f>
        <v>0</v>
      </c>
      <c r="AT80" s="55">
        <f t="shared" si="9"/>
        <v>0</v>
      </c>
      <c r="AU80" s="9">
        <f t="shared" si="10"/>
        <v>0</v>
      </c>
      <c r="AV80" s="55">
        <f t="shared" si="11"/>
        <v>0</v>
      </c>
      <c r="AW80" s="38" t="str">
        <f t="shared" si="12"/>
        <v>NT</v>
      </c>
      <c r="AX80" s="12"/>
      <c r="AY80" s="10"/>
      <c r="AZ80" s="10"/>
      <c r="BA80" s="10" t="str">
        <f>IF('P01'!$G76&lt;&gt;"", 'P01'!$G76, "non")</f>
        <v>non</v>
      </c>
      <c r="BB80" s="10" t="str">
        <f>IF('P02'!$G76&lt;&gt;"", 'P02'!$G76, "non")</f>
        <v>non</v>
      </c>
      <c r="BC80" s="10" t="str">
        <f>IF('P03'!$G76&lt;&gt;"", 'P03'!$G76, "non")</f>
        <v>non</v>
      </c>
      <c r="BD80" s="10" t="str">
        <f>IF('P04'!$G76&lt;&gt;"", 'P04'!$G76, "non")</f>
        <v>non</v>
      </c>
      <c r="BE80" s="10" t="str">
        <f>IF('P05'!$G76&lt;&gt;"", 'P05'!$G76, "non")</f>
        <v>non</v>
      </c>
      <c r="BF80" s="10" t="str">
        <f>IF('P06'!$G76&lt;&gt;"", 'P06'!$G76, "non")</f>
        <v>non</v>
      </c>
      <c r="BG80" s="10" t="str">
        <f>IF('P07'!$G76&lt;&gt;"", 'P07'!$G76, "non")</f>
        <v>non</v>
      </c>
      <c r="BH80" s="10" t="str">
        <f>IF('P08'!$G76&lt;&gt;"", 'P08'!$G76, "non")</f>
        <v>non</v>
      </c>
      <c r="BI80" s="10" t="str">
        <f>IF('P09'!$G76&lt;&gt;"", 'P09'!$G76, "non")</f>
        <v>non</v>
      </c>
      <c r="BJ80" s="10" t="str">
        <f>IF('P10'!$G76&lt;&gt;"", 'P10'!$G76, "non")</f>
        <v>non</v>
      </c>
      <c r="BK80" s="10" t="str">
        <f>IF('P11'!$G76&lt;&gt;"", 'P11'!$G76, "non")</f>
        <v>non</v>
      </c>
      <c r="BL80" s="10" t="str">
        <f>IF('P12'!$G76&lt;&gt;"", 'P12'!$G76, "non")</f>
        <v>non</v>
      </c>
      <c r="BM80" s="10" t="str">
        <f>IF('P13'!$G76&lt;&gt;"", 'P13'!$G76, "non")</f>
        <v>non</v>
      </c>
      <c r="BN80" s="10" t="str">
        <f>IF('P14'!$G76&lt;&gt;"", 'P14'!$G76, "non")</f>
        <v>non</v>
      </c>
      <c r="BO80" s="10" t="str">
        <f>IF('P15'!$G76&lt;&gt;"", 'P15'!$G76, "non")</f>
        <v>non</v>
      </c>
      <c r="BP80" s="10" t="str">
        <f>IF('P16'!$G76&lt;&gt;"", 'P16'!$G76, "non")</f>
        <v>non</v>
      </c>
      <c r="BQ80" s="10" t="str">
        <f>IF('P17'!$G76&lt;&gt;"", 'P17'!$G76, "non")</f>
        <v>non</v>
      </c>
      <c r="BR80" s="10" t="str">
        <f>IF('P18'!$G76&lt;&gt;"", 'P18'!$G76, "non")</f>
        <v>non</v>
      </c>
      <c r="BS80" s="10" t="str">
        <f>IF('P19'!$G76&lt;&gt;"", 'P19'!$G76, "non")</f>
        <v>non</v>
      </c>
      <c r="BT80" s="11" t="str">
        <f>IF('P20'!$G76&lt;&gt;"", 'P20'!$G76, "non")</f>
        <v>non</v>
      </c>
      <c r="BU80" s="10" t="str">
        <f>IF('P21'!$G76&lt;&gt;"", 'P21'!$G76, "non")</f>
        <v>non</v>
      </c>
      <c r="BV80" s="11" t="str">
        <f>IF('P22'!$G76&lt;&gt;"", 'P22'!$G76, "non")</f>
        <v>non</v>
      </c>
      <c r="BW80" s="10" t="str">
        <f>IF('P23'!$G76&lt;&gt;"", 'P23'!$G76, "non")</f>
        <v>non</v>
      </c>
      <c r="BX80" s="11" t="str">
        <f>IF('P24'!$G76&lt;&gt;"", 'P24'!$G76, "non")</f>
        <v>non</v>
      </c>
      <c r="BY80" s="10" t="str">
        <f>IF('P25'!$G76&lt;&gt;"", 'P25'!$G76, "non")</f>
        <v>non</v>
      </c>
      <c r="BZ80" s="11" t="str">
        <f>IF('P26'!$G76&lt;&gt;"", 'P26'!$G76, "non")</f>
        <v>non</v>
      </c>
      <c r="CA80" s="10" t="str">
        <f>IF('P27'!$G76&lt;&gt;"", 'P27'!$G76, "non")</f>
        <v>non</v>
      </c>
      <c r="CB80" s="11" t="str">
        <f>IF('P28'!$G76&lt;&gt;"", 'P28'!$G76, "non")</f>
        <v>non</v>
      </c>
      <c r="CC80" s="10" t="str">
        <f>IF('P29'!$G76&lt;&gt;"", 'P29'!$G76, "non")</f>
        <v>non</v>
      </c>
      <c r="CD80" s="11" t="str">
        <f>IF('P30'!$G76&lt;&gt;"", 'P30'!$G76, "non")</f>
        <v>non</v>
      </c>
      <c r="CE80" s="10" t="str">
        <f>IF('P31'!$G76&lt;&gt;"", 'P31'!$G76, "non")</f>
        <v>non</v>
      </c>
      <c r="CF80" s="11" t="str">
        <f>IF('P32'!$G76&lt;&gt;"", 'P32'!$G76, "non")</f>
        <v>non</v>
      </c>
      <c r="CG80" s="10" t="str">
        <f>IF('P33'!$G76&lt;&gt;"", 'P33'!$G76, "non")</f>
        <v>non</v>
      </c>
      <c r="CH80" s="10" t="str">
        <f>IF('P34'!$G76&lt;&gt;"", 'P34'!$G76, "non")</f>
        <v>non</v>
      </c>
      <c r="CI80" s="11" t="str">
        <f>IF('P35'!$G76&lt;&gt;"", 'P35'!$G76, "non")</f>
        <v>non</v>
      </c>
      <c r="CJ80" s="10" t="str">
        <f>IF('P36'!$G76&lt;&gt;"", 'P36'!$G76, "non")</f>
        <v>non</v>
      </c>
      <c r="CK80" s="11" t="str">
        <f>IF('P37'!$G76&lt;&gt;"", 'P37'!$G76, "non")</f>
        <v>non</v>
      </c>
      <c r="CL80" s="10" t="str">
        <f>IF('P38'!$G76&lt;&gt;"", 'P38'!$G76, "non")</f>
        <v>non</v>
      </c>
      <c r="CM80" s="11" t="str">
        <f>IF('P39'!$G76&lt;&gt;"", 'P39'!$G76, "non")</f>
        <v>non</v>
      </c>
      <c r="CN80" s="10" t="str">
        <f>IF('P40'!$G76&lt;&gt;"", 'P40'!$G76, "non")</f>
        <v>non</v>
      </c>
    </row>
    <row r="81" spans="1:92" ht="39.75" customHeight="1">
      <c r="A81" s="122" t="str">
        <f>'Critères et tests'!B76</f>
        <v>FORMULAIRES</v>
      </c>
      <c r="B81" s="124" t="str">
        <f>'Critères et tests'!$A76</f>
        <v>11.4</v>
      </c>
      <c r="C81" s="192" t="str">
        <f>VLOOKUP(B81,'Critères et tests'!$1:$1048576,5,FALSE)</f>
        <v>Dans chaque formulaire, chaque étiquette de champ et son champ associé sont-ils accolés (hors cas particuliers) ?</v>
      </c>
      <c r="D81" s="124" t="str">
        <f>'Critères et tests'!$C76</f>
        <v>A</v>
      </c>
      <c r="E81" s="156" t="s">
        <v>460</v>
      </c>
      <c r="F81" s="88">
        <f>IF('P01'!$E77&gt;"",'P01'!$E77&amp;" "&amp;CHAR(10)&amp;'P01'!$F77,'P01'!$E77)</f>
        <v>0</v>
      </c>
      <c r="G81" s="89">
        <f>IF('P02'!$E77&gt;"",'P02'!$E77&amp;" "&amp;CHAR(10)&amp;'P02'!$F77,'P02'!$E77)</f>
        <v>0</v>
      </c>
      <c r="H81" s="89">
        <f>IF('P03'!$E77&gt;"",'P03'!$E77&amp;" "&amp;CHAR(10)&amp;'P03'!$F77,'P03'!$E77)</f>
        <v>0</v>
      </c>
      <c r="I81" s="89">
        <f>IF('P04'!$E77&gt;"",'P04'!$E77&amp;" "&amp;CHAR(10)&amp;'P04'!$F77,'P04'!$E77)</f>
        <v>0</v>
      </c>
      <c r="J81" s="89">
        <f>IF('P05'!$E77&gt;"",'P05'!$E77&amp;" "&amp;CHAR(10)&amp;'P05'!$F77,'P05'!$E77)</f>
        <v>0</v>
      </c>
      <c r="K81" s="89">
        <f>IF('P06'!$E77&gt;"",'P06'!$E77&amp;" "&amp;CHAR(10)&amp;'P06'!$F77,'P06'!$E77)</f>
        <v>0</v>
      </c>
      <c r="L81" s="89">
        <f>IF('P07'!$E77&gt;"",'P07'!$E77&amp;" "&amp;CHAR(10)&amp;'P07'!$F77,'P07'!$E77)</f>
        <v>0</v>
      </c>
      <c r="M81" s="89">
        <f>IF('P08'!$E77&gt;"",'P08'!$E77&amp;" "&amp;CHAR(10)&amp;'P08'!$F77,'P08'!$E77)</f>
        <v>0</v>
      </c>
      <c r="N81" s="89">
        <f>IF('P09'!$E77&gt;"",'P09'!$E77&amp;" "&amp;CHAR(10)&amp;'P09'!$F77,'P09'!$E77)</f>
        <v>0</v>
      </c>
      <c r="O81" s="89">
        <f>IF('P10'!$E77&gt;"",'P10'!$E77&amp;" "&amp;CHAR(10)&amp;'P10'!$F77,'P10'!$E77)</f>
        <v>0</v>
      </c>
      <c r="P81" s="89">
        <f>IF('P11'!$E77&gt;"",'P11'!$E77&amp;" "&amp;CHAR(10)&amp;'P11'!$F77,'P11'!$E77)</f>
        <v>0</v>
      </c>
      <c r="Q81" s="89">
        <f>IF('P12'!$E77&gt;"",'P12'!$E77&amp;" "&amp;CHAR(10)&amp;'P12'!$F77,'P12'!$E77)</f>
        <v>0</v>
      </c>
      <c r="R81" s="89">
        <f>IF('P13'!$E77&gt;"",'P13'!$E77&amp;" "&amp;CHAR(10)&amp;'P13'!$F77,'P13'!$E77)</f>
        <v>0</v>
      </c>
      <c r="S81" s="89">
        <f>IF('P14'!$E77&gt;"",'P14'!$E77&amp;" "&amp;CHAR(10)&amp;'P14'!$F77,'P14'!$E77)</f>
        <v>0</v>
      </c>
      <c r="T81" s="89">
        <f>IF('P15'!$E77&gt;"",'P15'!$E77&amp;" "&amp;CHAR(10)&amp;'P15'!$F77,'P15'!$E77)</f>
        <v>0</v>
      </c>
      <c r="U81" s="89">
        <f>IF('P16'!$E77&gt;"",'P16'!$E77&amp;" "&amp;CHAR(10)&amp;'P16'!$F77,'P16'!$E77)</f>
        <v>0</v>
      </c>
      <c r="V81" s="89">
        <f>IF('P17'!$E77&gt;"",'P17'!$E77&amp;" "&amp;CHAR(10)&amp;'P17'!$F77,'P17'!$E77)</f>
        <v>0</v>
      </c>
      <c r="W81" s="89">
        <f>IF('P18'!$E77&gt;"",'P18'!$E77&amp;" "&amp;CHAR(10)&amp;'P18'!$F77,'P18'!$E77)</f>
        <v>0</v>
      </c>
      <c r="X81" s="89">
        <f>IF('P19'!$E77&gt;"",'P19'!$E77&amp;" "&amp;CHAR(10)&amp;'P19'!$F77,'P19'!$E77)</f>
        <v>0</v>
      </c>
      <c r="Y81" s="89">
        <f>IF('P20'!$E77&gt;"",'P20'!$E77&amp;" "&amp;CHAR(10)&amp;'P20'!$F77,'P20'!$E77)</f>
        <v>0</v>
      </c>
      <c r="Z81" s="89">
        <f>IF('P21'!$E77&gt;"",'P21'!$E77&amp;" "&amp;CHAR(10)&amp;'P21'!$F77,'P21'!$E77)</f>
        <v>0</v>
      </c>
      <c r="AA81" s="89">
        <f>IF('P22'!$E77&gt;"",'P22'!$E77&amp;" "&amp;CHAR(10)&amp;'P22'!$F77,'P22'!$E77)</f>
        <v>0</v>
      </c>
      <c r="AB81" s="89">
        <f>IF('P23'!$E77&gt;"",'P23'!$E77&amp;" "&amp;CHAR(10)&amp;'P23'!$F77,'P23'!$E77)</f>
        <v>0</v>
      </c>
      <c r="AC81" s="89">
        <f>IF('P24'!$E77&gt;"",'P24'!$E77&amp;" "&amp;CHAR(10)&amp;'P24'!$F77,'P24'!$E77)</f>
        <v>0</v>
      </c>
      <c r="AD81" s="89">
        <f>IF('P25'!$E77&gt;"",'P25'!$E77&amp;" "&amp;CHAR(10)&amp;'P25'!$F77,'P25'!$E77)</f>
        <v>0</v>
      </c>
      <c r="AE81" s="89">
        <f>IF('P26'!$E77&gt;"",'P26'!$E77&amp;" "&amp;CHAR(10)&amp;'P26'!$F77,'P26'!$E77)</f>
        <v>0</v>
      </c>
      <c r="AF81" s="89">
        <f>IF('P27'!$E77&gt;"",'P27'!$E77&amp;" "&amp;CHAR(10)&amp;'P27'!$F77,'P27'!$E77)</f>
        <v>0</v>
      </c>
      <c r="AG81" s="89">
        <f>IF('P28'!$E77&gt;"",'P28'!$E77&amp;" "&amp;CHAR(10)&amp;'P28'!$F77,'P28'!$E77)</f>
        <v>0</v>
      </c>
      <c r="AH81" s="89">
        <f>IF('P29'!$E77&gt;"",'P29'!$E77&amp;" "&amp;CHAR(10)&amp;'P29'!$F77,'P29'!$E77)</f>
        <v>0</v>
      </c>
      <c r="AI81" s="89">
        <f>IF('P30'!$E77&gt;"",'P30'!$E77&amp;" "&amp;CHAR(10)&amp;'P30'!$F77,'P30'!$E77)</f>
        <v>0</v>
      </c>
      <c r="AJ81" s="89">
        <f>IF('P31'!$E77&gt;"",'P31'!$E77&amp;" "&amp;CHAR(10)&amp;'P31'!$F77,'P31'!$E77)</f>
        <v>0</v>
      </c>
      <c r="AK81" s="89">
        <f>IF('P32'!$E77&gt;"",'P32'!$E77&amp;" "&amp;CHAR(10)&amp;'P32'!$F77,'P32'!$E77)</f>
        <v>0</v>
      </c>
      <c r="AL81" s="89">
        <f>IF('P33'!$E77&gt;"",'P33'!$E77&amp;" "&amp;CHAR(10)&amp;'P33'!$F77,'P33'!$E77)</f>
        <v>0</v>
      </c>
      <c r="AM81" s="89">
        <f>IF('P34'!$E77&gt;"",'P34'!$E77&amp;" "&amp;CHAR(10)&amp;'P34'!$F77,'P34'!$E77)</f>
        <v>0</v>
      </c>
      <c r="AN81" s="89">
        <f>IF('P35'!$E77&gt;"",'P35'!$E77&amp;" "&amp;CHAR(10)&amp;'P35'!$F77,'P35'!$E77)</f>
        <v>0</v>
      </c>
      <c r="AO81" s="89">
        <f>IF('P36'!$E77&gt;"",'P36'!$E77&amp;" "&amp;CHAR(10)&amp;'P36'!$F77,'P36'!$E77)</f>
        <v>0</v>
      </c>
      <c r="AP81" s="89">
        <f>IF('P37'!$E77&gt;"",'P37'!$E77&amp;" "&amp;CHAR(10)&amp;'P37'!$F77,'P37'!$E77)</f>
        <v>0</v>
      </c>
      <c r="AQ81" s="89">
        <f>IF('P38'!$E77&gt;"",'P38'!$E77&amp;" "&amp;CHAR(10)&amp;'P38'!$F77,'P38'!$E77)</f>
        <v>0</v>
      </c>
      <c r="AR81" s="89">
        <f>IF('P39'!$E77&gt;"",'P39'!$E77&amp;" "&amp;CHAR(10)&amp;'P39'!$F77,'P39'!$E77)</f>
        <v>0</v>
      </c>
      <c r="AS81" s="89">
        <f>IF('P40'!$E77&gt;"",'P40'!$E77&amp;" "&amp;CHAR(10)&amp;'P40'!$F77,'P40'!$E77)</f>
        <v>0</v>
      </c>
      <c r="AT81" s="55">
        <f t="shared" si="9"/>
        <v>0</v>
      </c>
      <c r="AU81" s="9">
        <f t="shared" si="10"/>
        <v>0</v>
      </c>
      <c r="AV81" s="55">
        <f t="shared" si="11"/>
        <v>0</v>
      </c>
      <c r="AW81" s="38" t="str">
        <f t="shared" si="12"/>
        <v>NT</v>
      </c>
      <c r="AX81" s="12"/>
      <c r="AY81" s="10"/>
      <c r="AZ81" s="10"/>
      <c r="BA81" s="10" t="str">
        <f>IF('P01'!$G77&lt;&gt;"", 'P01'!$G77, "non")</f>
        <v>non</v>
      </c>
      <c r="BB81" s="10" t="str">
        <f>IF('P02'!$G77&lt;&gt;"", 'P02'!$G77, "non")</f>
        <v>non</v>
      </c>
      <c r="BC81" s="10" t="str">
        <f>IF('P03'!$G77&lt;&gt;"", 'P03'!$G77, "non")</f>
        <v>non</v>
      </c>
      <c r="BD81" s="10" t="str">
        <f>IF('P04'!$G77&lt;&gt;"", 'P04'!$G77, "non")</f>
        <v>non</v>
      </c>
      <c r="BE81" s="10" t="str">
        <f>IF('P05'!$G77&lt;&gt;"", 'P05'!$G77, "non")</f>
        <v>non</v>
      </c>
      <c r="BF81" s="10" t="str">
        <f>IF('P06'!$G77&lt;&gt;"", 'P06'!$G77, "non")</f>
        <v>non</v>
      </c>
      <c r="BG81" s="10" t="str">
        <f>IF('P07'!$G77&lt;&gt;"", 'P07'!$G77, "non")</f>
        <v>non</v>
      </c>
      <c r="BH81" s="10" t="str">
        <f>IF('P08'!$G77&lt;&gt;"", 'P08'!$G77, "non")</f>
        <v>non</v>
      </c>
      <c r="BI81" s="10" t="str">
        <f>IF('P09'!$G77&lt;&gt;"", 'P09'!$G77, "non")</f>
        <v>non</v>
      </c>
      <c r="BJ81" s="10" t="str">
        <f>IF('P10'!$G77&lt;&gt;"", 'P10'!$G77, "non")</f>
        <v>non</v>
      </c>
      <c r="BK81" s="10" t="str">
        <f>IF('P11'!$G77&lt;&gt;"", 'P11'!$G77, "non")</f>
        <v>non</v>
      </c>
      <c r="BL81" s="10" t="str">
        <f>IF('P12'!$G77&lt;&gt;"", 'P12'!$G77, "non")</f>
        <v>non</v>
      </c>
      <c r="BM81" s="10" t="str">
        <f>IF('P13'!$G77&lt;&gt;"", 'P13'!$G77, "non")</f>
        <v>non</v>
      </c>
      <c r="BN81" s="10" t="str">
        <f>IF('P14'!$G77&lt;&gt;"", 'P14'!$G77, "non")</f>
        <v>non</v>
      </c>
      <c r="BO81" s="10" t="str">
        <f>IF('P15'!$G77&lt;&gt;"", 'P15'!$G77, "non")</f>
        <v>non</v>
      </c>
      <c r="BP81" s="10" t="str">
        <f>IF('P16'!$G77&lt;&gt;"", 'P16'!$G77, "non")</f>
        <v>non</v>
      </c>
      <c r="BQ81" s="10" t="str">
        <f>IF('P17'!$G77&lt;&gt;"", 'P17'!$G77, "non")</f>
        <v>non</v>
      </c>
      <c r="BR81" s="10" t="str">
        <f>IF('P18'!$G77&lt;&gt;"", 'P18'!$G77, "non")</f>
        <v>non</v>
      </c>
      <c r="BS81" s="10" t="str">
        <f>IF('P19'!$G77&lt;&gt;"", 'P19'!$G77, "non")</f>
        <v>non</v>
      </c>
      <c r="BT81" s="11" t="str">
        <f>IF('P20'!$G77&lt;&gt;"", 'P20'!$G77, "non")</f>
        <v>non</v>
      </c>
      <c r="BU81" s="10" t="str">
        <f>IF('P21'!$G77&lt;&gt;"", 'P21'!$G77, "non")</f>
        <v>non</v>
      </c>
      <c r="BV81" s="11" t="str">
        <f>IF('P22'!$G77&lt;&gt;"", 'P22'!$G77, "non")</f>
        <v>non</v>
      </c>
      <c r="BW81" s="10" t="str">
        <f>IF('P23'!$G77&lt;&gt;"", 'P23'!$G77, "non")</f>
        <v>non</v>
      </c>
      <c r="BX81" s="11" t="str">
        <f>IF('P24'!$G77&lt;&gt;"", 'P24'!$G77, "non")</f>
        <v>non</v>
      </c>
      <c r="BY81" s="10" t="str">
        <f>IF('P25'!$G77&lt;&gt;"", 'P25'!$G77, "non")</f>
        <v>non</v>
      </c>
      <c r="BZ81" s="11" t="str">
        <f>IF('P26'!$G77&lt;&gt;"", 'P26'!$G77, "non")</f>
        <v>non</v>
      </c>
      <c r="CA81" s="10" t="str">
        <f>IF('P27'!$G77&lt;&gt;"", 'P27'!$G77, "non")</f>
        <v>non</v>
      </c>
      <c r="CB81" s="11" t="str">
        <f>IF('P28'!$G77&lt;&gt;"", 'P28'!$G77, "non")</f>
        <v>non</v>
      </c>
      <c r="CC81" s="10" t="str">
        <f>IF('P29'!$G77&lt;&gt;"", 'P29'!$G77, "non")</f>
        <v>non</v>
      </c>
      <c r="CD81" s="11" t="str">
        <f>IF('P30'!$G77&lt;&gt;"", 'P30'!$G77, "non")</f>
        <v>non</v>
      </c>
      <c r="CE81" s="10" t="str">
        <f>IF('P31'!$G77&lt;&gt;"", 'P31'!$G77, "non")</f>
        <v>non</v>
      </c>
      <c r="CF81" s="11" t="str">
        <f>IF('P32'!$G77&lt;&gt;"", 'P32'!$G77, "non")</f>
        <v>non</v>
      </c>
      <c r="CG81" s="10" t="str">
        <f>IF('P33'!$G77&lt;&gt;"", 'P33'!$G77, "non")</f>
        <v>non</v>
      </c>
      <c r="CH81" s="10" t="str">
        <f>IF('P34'!$G77&lt;&gt;"", 'P34'!$G77, "non")</f>
        <v>non</v>
      </c>
      <c r="CI81" s="11" t="str">
        <f>IF('P35'!$G77&lt;&gt;"", 'P35'!$G77, "non")</f>
        <v>non</v>
      </c>
      <c r="CJ81" s="10" t="str">
        <f>IF('P36'!$G77&lt;&gt;"", 'P36'!$G77, "non")</f>
        <v>non</v>
      </c>
      <c r="CK81" s="11" t="str">
        <f>IF('P37'!$G77&lt;&gt;"", 'P37'!$G77, "non")</f>
        <v>non</v>
      </c>
      <c r="CL81" s="10" t="str">
        <f>IF('P38'!$G77&lt;&gt;"", 'P38'!$G77, "non")</f>
        <v>non</v>
      </c>
      <c r="CM81" s="11" t="str">
        <f>IF('P39'!$G77&lt;&gt;"", 'P39'!$G77, "non")</f>
        <v>non</v>
      </c>
      <c r="CN81" s="10" t="str">
        <f>IF('P40'!$G77&lt;&gt;"", 'P40'!$G77, "non")</f>
        <v>non</v>
      </c>
    </row>
    <row r="82" spans="1:92" ht="39.75" customHeight="1">
      <c r="A82" s="122" t="str">
        <f>'Critères et tests'!B77</f>
        <v>FORMULAIRES</v>
      </c>
      <c r="B82" s="124" t="str">
        <f>'Critères et tests'!$A77</f>
        <v>11.5</v>
      </c>
      <c r="C82" s="192" t="str">
        <f>VLOOKUP(B82,'Critères et tests'!$1:$1048576,5,FALSE)</f>
        <v>Dans chaque formulaire, les champs de même nature sont-ils regroupés, si nécessaire ?</v>
      </c>
      <c r="D82" s="124" t="str">
        <f>'Critères et tests'!$C77</f>
        <v>A</v>
      </c>
      <c r="E82" s="156" t="s">
        <v>460</v>
      </c>
      <c r="F82" s="88">
        <f>IF('P01'!$E78&gt;"",'P01'!$E78&amp;" "&amp;CHAR(10)&amp;'P01'!$F78,'P01'!$E78)</f>
        <v>0</v>
      </c>
      <c r="G82" s="89">
        <f>IF('P02'!$E78&gt;"",'P02'!$E78&amp;" "&amp;CHAR(10)&amp;'P02'!$F78,'P02'!$E78)</f>
        <v>0</v>
      </c>
      <c r="H82" s="89">
        <f>IF('P03'!$E78&gt;"",'P03'!$E78&amp;" "&amp;CHAR(10)&amp;'P03'!$F78,'P03'!$E78)</f>
        <v>0</v>
      </c>
      <c r="I82" s="89">
        <f>IF('P04'!$E78&gt;"",'P04'!$E78&amp;" "&amp;CHAR(10)&amp;'P04'!$F78,'P04'!$E78)</f>
        <v>0</v>
      </c>
      <c r="J82" s="89">
        <f>IF('P05'!$E78&gt;"",'P05'!$E78&amp;" "&amp;CHAR(10)&amp;'P05'!$F78,'P05'!$E78)</f>
        <v>0</v>
      </c>
      <c r="K82" s="89">
        <f>IF('P06'!$E78&gt;"",'P06'!$E78&amp;" "&amp;CHAR(10)&amp;'P06'!$F78,'P06'!$E78)</f>
        <v>0</v>
      </c>
      <c r="L82" s="89">
        <f>IF('P07'!$E78&gt;"",'P07'!$E78&amp;" "&amp;CHAR(10)&amp;'P07'!$F78,'P07'!$E78)</f>
        <v>0</v>
      </c>
      <c r="M82" s="89">
        <f>IF('P08'!$E78&gt;"",'P08'!$E78&amp;" "&amp;CHAR(10)&amp;'P08'!$F78,'P08'!$E78)</f>
        <v>0</v>
      </c>
      <c r="N82" s="89">
        <f>IF('P09'!$E78&gt;"",'P09'!$E78&amp;" "&amp;CHAR(10)&amp;'P09'!$F78,'P09'!$E78)</f>
        <v>0</v>
      </c>
      <c r="O82" s="89">
        <f>IF('P10'!$E78&gt;"",'P10'!$E78&amp;" "&amp;CHAR(10)&amp;'P10'!$F78,'P10'!$E78)</f>
        <v>0</v>
      </c>
      <c r="P82" s="89">
        <f>IF('P11'!$E78&gt;"",'P11'!$E78&amp;" "&amp;CHAR(10)&amp;'P11'!$F78,'P11'!$E78)</f>
        <v>0</v>
      </c>
      <c r="Q82" s="89">
        <f>IF('P12'!$E78&gt;"",'P12'!$E78&amp;" "&amp;CHAR(10)&amp;'P12'!$F78,'P12'!$E78)</f>
        <v>0</v>
      </c>
      <c r="R82" s="89">
        <f>IF('P13'!$E78&gt;"",'P13'!$E78&amp;" "&amp;CHAR(10)&amp;'P13'!$F78,'P13'!$E78)</f>
        <v>0</v>
      </c>
      <c r="S82" s="89">
        <f>IF('P14'!$E78&gt;"",'P14'!$E78&amp;" "&amp;CHAR(10)&amp;'P14'!$F78,'P14'!$E78)</f>
        <v>0</v>
      </c>
      <c r="T82" s="89">
        <f>IF('P15'!$E78&gt;"",'P15'!$E78&amp;" "&amp;CHAR(10)&amp;'P15'!$F78,'P15'!$E78)</f>
        <v>0</v>
      </c>
      <c r="U82" s="89">
        <f>IF('P16'!$E78&gt;"",'P16'!$E78&amp;" "&amp;CHAR(10)&amp;'P16'!$F78,'P16'!$E78)</f>
        <v>0</v>
      </c>
      <c r="V82" s="89">
        <f>IF('P17'!$E78&gt;"",'P17'!$E78&amp;" "&amp;CHAR(10)&amp;'P17'!$F78,'P17'!$E78)</f>
        <v>0</v>
      </c>
      <c r="W82" s="89">
        <f>IF('P18'!$E78&gt;"",'P18'!$E78&amp;" "&amp;CHAR(10)&amp;'P18'!$F78,'P18'!$E78)</f>
        <v>0</v>
      </c>
      <c r="X82" s="89">
        <f>IF('P19'!$E78&gt;"",'P19'!$E78&amp;" "&amp;CHAR(10)&amp;'P19'!$F78,'P19'!$E78)</f>
        <v>0</v>
      </c>
      <c r="Y82" s="89">
        <f>IF('P20'!$E78&gt;"",'P20'!$E78&amp;" "&amp;CHAR(10)&amp;'P20'!$F78,'P20'!$E78)</f>
        <v>0</v>
      </c>
      <c r="Z82" s="89">
        <f>IF('P21'!$E78&gt;"",'P21'!$E78&amp;" "&amp;CHAR(10)&amp;'P21'!$F78,'P21'!$E78)</f>
        <v>0</v>
      </c>
      <c r="AA82" s="89">
        <f>IF('P22'!$E78&gt;"",'P22'!$E78&amp;" "&amp;CHAR(10)&amp;'P22'!$F78,'P22'!$E78)</f>
        <v>0</v>
      </c>
      <c r="AB82" s="89">
        <f>IF('P23'!$E78&gt;"",'P23'!$E78&amp;" "&amp;CHAR(10)&amp;'P23'!$F78,'P23'!$E78)</f>
        <v>0</v>
      </c>
      <c r="AC82" s="89">
        <f>IF('P24'!$E78&gt;"",'P24'!$E78&amp;" "&amp;CHAR(10)&amp;'P24'!$F78,'P24'!$E78)</f>
        <v>0</v>
      </c>
      <c r="AD82" s="89">
        <f>IF('P25'!$E78&gt;"",'P25'!$E78&amp;" "&amp;CHAR(10)&amp;'P25'!$F78,'P25'!$E78)</f>
        <v>0</v>
      </c>
      <c r="AE82" s="89">
        <f>IF('P26'!$E78&gt;"",'P26'!$E78&amp;" "&amp;CHAR(10)&amp;'P26'!$F78,'P26'!$E78)</f>
        <v>0</v>
      </c>
      <c r="AF82" s="89">
        <f>IF('P27'!$E78&gt;"",'P27'!$E78&amp;" "&amp;CHAR(10)&amp;'P27'!$F78,'P27'!$E78)</f>
        <v>0</v>
      </c>
      <c r="AG82" s="89">
        <f>IF('P28'!$E78&gt;"",'P28'!$E78&amp;" "&amp;CHAR(10)&amp;'P28'!$F78,'P28'!$E78)</f>
        <v>0</v>
      </c>
      <c r="AH82" s="89">
        <f>IF('P29'!$E78&gt;"",'P29'!$E78&amp;" "&amp;CHAR(10)&amp;'P29'!$F78,'P29'!$E78)</f>
        <v>0</v>
      </c>
      <c r="AI82" s="89">
        <f>IF('P30'!$E78&gt;"",'P30'!$E78&amp;" "&amp;CHAR(10)&amp;'P30'!$F78,'P30'!$E78)</f>
        <v>0</v>
      </c>
      <c r="AJ82" s="89">
        <f>IF('P31'!$E78&gt;"",'P31'!$E78&amp;" "&amp;CHAR(10)&amp;'P31'!$F78,'P31'!$E78)</f>
        <v>0</v>
      </c>
      <c r="AK82" s="89">
        <f>IF('P32'!$E78&gt;"",'P32'!$E78&amp;" "&amp;CHAR(10)&amp;'P32'!$F78,'P32'!$E78)</f>
        <v>0</v>
      </c>
      <c r="AL82" s="89">
        <f>IF('P33'!$E78&gt;"",'P33'!$E78&amp;" "&amp;CHAR(10)&amp;'P33'!$F78,'P33'!$E78)</f>
        <v>0</v>
      </c>
      <c r="AM82" s="89">
        <f>IF('P34'!$E78&gt;"",'P34'!$E78&amp;" "&amp;CHAR(10)&amp;'P34'!$F78,'P34'!$E78)</f>
        <v>0</v>
      </c>
      <c r="AN82" s="89">
        <f>IF('P35'!$E78&gt;"",'P35'!$E78&amp;" "&amp;CHAR(10)&amp;'P35'!$F78,'P35'!$E78)</f>
        <v>0</v>
      </c>
      <c r="AO82" s="89">
        <f>IF('P36'!$E78&gt;"",'P36'!$E78&amp;" "&amp;CHAR(10)&amp;'P36'!$F78,'P36'!$E78)</f>
        <v>0</v>
      </c>
      <c r="AP82" s="89">
        <f>IF('P37'!$E78&gt;"",'P37'!$E78&amp;" "&amp;CHAR(10)&amp;'P37'!$F78,'P37'!$E78)</f>
        <v>0</v>
      </c>
      <c r="AQ82" s="89">
        <f>IF('P38'!$E78&gt;"",'P38'!$E78&amp;" "&amp;CHAR(10)&amp;'P38'!$F78,'P38'!$E78)</f>
        <v>0</v>
      </c>
      <c r="AR82" s="89">
        <f>IF('P39'!$E78&gt;"",'P39'!$E78&amp;" "&amp;CHAR(10)&amp;'P39'!$F78,'P39'!$E78)</f>
        <v>0</v>
      </c>
      <c r="AS82" s="89">
        <f>IF('P40'!$E78&gt;"",'P40'!$E78&amp;" "&amp;CHAR(10)&amp;'P40'!$F78,'P40'!$E78)</f>
        <v>0</v>
      </c>
      <c r="AT82" s="55">
        <f t="shared" si="9"/>
        <v>0</v>
      </c>
      <c r="AU82" s="9">
        <f t="shared" si="10"/>
        <v>0</v>
      </c>
      <c r="AV82" s="55">
        <f t="shared" si="11"/>
        <v>0</v>
      </c>
      <c r="AW82" s="38" t="str">
        <f t="shared" si="12"/>
        <v>NT</v>
      </c>
      <c r="AX82" s="12"/>
      <c r="AY82" s="10"/>
      <c r="AZ82" s="10"/>
      <c r="BA82" s="10" t="str">
        <f>IF('P01'!$G78&lt;&gt;"", 'P01'!$G78, "non")</f>
        <v>non</v>
      </c>
      <c r="BB82" s="10" t="str">
        <f>IF('P02'!$G78&lt;&gt;"", 'P02'!$G78, "non")</f>
        <v>non</v>
      </c>
      <c r="BC82" s="10" t="str">
        <f>IF('P03'!$G78&lt;&gt;"", 'P03'!$G78, "non")</f>
        <v>non</v>
      </c>
      <c r="BD82" s="10" t="str">
        <f>IF('P04'!$G78&lt;&gt;"", 'P04'!$G78, "non")</f>
        <v>non</v>
      </c>
      <c r="BE82" s="10" t="str">
        <f>IF('P05'!$G78&lt;&gt;"", 'P05'!$G78, "non")</f>
        <v>non</v>
      </c>
      <c r="BF82" s="10" t="str">
        <f>IF('P06'!$G78&lt;&gt;"", 'P06'!$G78, "non")</f>
        <v>non</v>
      </c>
      <c r="BG82" s="10" t="str">
        <f>IF('P07'!$G78&lt;&gt;"", 'P07'!$G78, "non")</f>
        <v>non</v>
      </c>
      <c r="BH82" s="10" t="str">
        <f>IF('P08'!$G78&lt;&gt;"", 'P08'!$G78, "non")</f>
        <v>non</v>
      </c>
      <c r="BI82" s="10" t="str">
        <f>IF('P09'!$G78&lt;&gt;"", 'P09'!$G78, "non")</f>
        <v>non</v>
      </c>
      <c r="BJ82" s="10" t="str">
        <f>IF('P10'!$G78&lt;&gt;"", 'P10'!$G78, "non")</f>
        <v>non</v>
      </c>
      <c r="BK82" s="10" t="str">
        <f>IF('P11'!$G78&lt;&gt;"", 'P11'!$G78, "non")</f>
        <v>non</v>
      </c>
      <c r="BL82" s="10" t="str">
        <f>IF('P12'!$G78&lt;&gt;"", 'P12'!$G78, "non")</f>
        <v>non</v>
      </c>
      <c r="BM82" s="10" t="str">
        <f>IF('P13'!$G78&lt;&gt;"", 'P13'!$G78, "non")</f>
        <v>non</v>
      </c>
      <c r="BN82" s="10" t="str">
        <f>IF('P14'!$G78&lt;&gt;"", 'P14'!$G78, "non")</f>
        <v>non</v>
      </c>
      <c r="BO82" s="10" t="str">
        <f>IF('P15'!$G78&lt;&gt;"", 'P15'!$G78, "non")</f>
        <v>non</v>
      </c>
      <c r="BP82" s="10" t="str">
        <f>IF('P16'!$G78&lt;&gt;"", 'P16'!$G78, "non")</f>
        <v>non</v>
      </c>
      <c r="BQ82" s="10" t="str">
        <f>IF('P17'!$G78&lt;&gt;"", 'P17'!$G78, "non")</f>
        <v>non</v>
      </c>
      <c r="BR82" s="10" t="str">
        <f>IF('P18'!$G78&lt;&gt;"", 'P18'!$G78, "non")</f>
        <v>non</v>
      </c>
      <c r="BS82" s="10" t="str">
        <f>IF('P19'!$G78&lt;&gt;"", 'P19'!$G78, "non")</f>
        <v>non</v>
      </c>
      <c r="BT82" s="11" t="str">
        <f>IF('P20'!$G78&lt;&gt;"", 'P20'!$G78, "non")</f>
        <v>non</v>
      </c>
      <c r="BU82" s="10" t="str">
        <f>IF('P21'!$G78&lt;&gt;"", 'P21'!$G78, "non")</f>
        <v>non</v>
      </c>
      <c r="BV82" s="11" t="str">
        <f>IF('P22'!$G78&lt;&gt;"", 'P22'!$G78, "non")</f>
        <v>non</v>
      </c>
      <c r="BW82" s="10" t="str">
        <f>IF('P23'!$G78&lt;&gt;"", 'P23'!$G78, "non")</f>
        <v>non</v>
      </c>
      <c r="BX82" s="11" t="str">
        <f>IF('P24'!$G78&lt;&gt;"", 'P24'!$G78, "non")</f>
        <v>non</v>
      </c>
      <c r="BY82" s="10" t="str">
        <f>IF('P25'!$G78&lt;&gt;"", 'P25'!$G78, "non")</f>
        <v>non</v>
      </c>
      <c r="BZ82" s="11" t="str">
        <f>IF('P26'!$G78&lt;&gt;"", 'P26'!$G78, "non")</f>
        <v>non</v>
      </c>
      <c r="CA82" s="10" t="str">
        <f>IF('P27'!$G78&lt;&gt;"", 'P27'!$G78, "non")</f>
        <v>non</v>
      </c>
      <c r="CB82" s="11" t="str">
        <f>IF('P28'!$G78&lt;&gt;"", 'P28'!$G78, "non")</f>
        <v>non</v>
      </c>
      <c r="CC82" s="10" t="str">
        <f>IF('P29'!$G78&lt;&gt;"", 'P29'!$G78, "non")</f>
        <v>non</v>
      </c>
      <c r="CD82" s="11" t="str">
        <f>IF('P30'!$G78&lt;&gt;"", 'P30'!$G78, "non")</f>
        <v>non</v>
      </c>
      <c r="CE82" s="10" t="str">
        <f>IF('P31'!$G78&lt;&gt;"", 'P31'!$G78, "non")</f>
        <v>non</v>
      </c>
      <c r="CF82" s="11" t="str">
        <f>IF('P32'!$G78&lt;&gt;"", 'P32'!$G78, "non")</f>
        <v>non</v>
      </c>
      <c r="CG82" s="10" t="str">
        <f>IF('P33'!$G78&lt;&gt;"", 'P33'!$G78, "non")</f>
        <v>non</v>
      </c>
      <c r="CH82" s="10" t="str">
        <f>IF('P34'!$G78&lt;&gt;"", 'P34'!$G78, "non")</f>
        <v>non</v>
      </c>
      <c r="CI82" s="11" t="str">
        <f>IF('P35'!$G78&lt;&gt;"", 'P35'!$G78, "non")</f>
        <v>non</v>
      </c>
      <c r="CJ82" s="10" t="str">
        <f>IF('P36'!$G78&lt;&gt;"", 'P36'!$G78, "non")</f>
        <v>non</v>
      </c>
      <c r="CK82" s="11" t="str">
        <f>IF('P37'!$G78&lt;&gt;"", 'P37'!$G78, "non")</f>
        <v>non</v>
      </c>
      <c r="CL82" s="10" t="str">
        <f>IF('P38'!$G78&lt;&gt;"", 'P38'!$G78, "non")</f>
        <v>non</v>
      </c>
      <c r="CM82" s="11" t="str">
        <f>IF('P39'!$G78&lt;&gt;"", 'P39'!$G78, "non")</f>
        <v>non</v>
      </c>
      <c r="CN82" s="10" t="str">
        <f>IF('P40'!$G78&lt;&gt;"", 'P40'!$G78, "non")</f>
        <v>non</v>
      </c>
    </row>
    <row r="83" spans="1:92" ht="39.75" customHeight="1">
      <c r="A83" s="122" t="str">
        <f>'Critères et tests'!B78</f>
        <v>FORMULAIRES</v>
      </c>
      <c r="B83" s="124" t="str">
        <f>'Critères et tests'!$A78</f>
        <v>11.6</v>
      </c>
      <c r="C83" s="192" t="str">
        <f>VLOOKUP(B83,'Critères et tests'!$1:$1048576,5,FALSE)</f>
        <v>Dans chaque formulaire, chaque regroupement de champs de même nature a-t-il une légende ?</v>
      </c>
      <c r="D83" s="124" t="str">
        <f>'Critères et tests'!$C78</f>
        <v>A</v>
      </c>
      <c r="E83" s="156" t="s">
        <v>460</v>
      </c>
      <c r="F83" s="88">
        <f>IF('P01'!$E79&gt;"",'P01'!$E79&amp;" "&amp;CHAR(10)&amp;'P01'!$F79,'P01'!$E79)</f>
        <v>0</v>
      </c>
      <c r="G83" s="89">
        <f>IF('P02'!$E79&gt;"",'P02'!$E79&amp;" "&amp;CHAR(10)&amp;'P02'!$F79,'P02'!$E79)</f>
        <v>0</v>
      </c>
      <c r="H83" s="89">
        <f>IF('P03'!$E79&gt;"",'P03'!$E79&amp;" "&amp;CHAR(10)&amp;'P03'!$F79,'P03'!$E79)</f>
        <v>0</v>
      </c>
      <c r="I83" s="89">
        <f>IF('P04'!$E79&gt;"",'P04'!$E79&amp;" "&amp;CHAR(10)&amp;'P04'!$F79,'P04'!$E79)</f>
        <v>0</v>
      </c>
      <c r="J83" s="89">
        <f>IF('P05'!$E79&gt;"",'P05'!$E79&amp;" "&amp;CHAR(10)&amp;'P05'!$F79,'P05'!$E79)</f>
        <v>0</v>
      </c>
      <c r="K83" s="89">
        <f>IF('P06'!$E79&gt;"",'P06'!$E79&amp;" "&amp;CHAR(10)&amp;'P06'!$F79,'P06'!$E79)</f>
        <v>0</v>
      </c>
      <c r="L83" s="89">
        <f>IF('P07'!$E79&gt;"",'P07'!$E79&amp;" "&amp;CHAR(10)&amp;'P07'!$F79,'P07'!$E79)</f>
        <v>0</v>
      </c>
      <c r="M83" s="89">
        <f>IF('P08'!$E79&gt;"",'P08'!$E79&amp;" "&amp;CHAR(10)&amp;'P08'!$F79,'P08'!$E79)</f>
        <v>0</v>
      </c>
      <c r="N83" s="89">
        <f>IF('P09'!$E79&gt;"",'P09'!$E79&amp;" "&amp;CHAR(10)&amp;'P09'!$F79,'P09'!$E79)</f>
        <v>0</v>
      </c>
      <c r="O83" s="89">
        <f>IF('P10'!$E79&gt;"",'P10'!$E79&amp;" "&amp;CHAR(10)&amp;'P10'!$F79,'P10'!$E79)</f>
        <v>0</v>
      </c>
      <c r="P83" s="89">
        <f>IF('P11'!$E79&gt;"",'P11'!$E79&amp;" "&amp;CHAR(10)&amp;'P11'!$F79,'P11'!$E79)</f>
        <v>0</v>
      </c>
      <c r="Q83" s="89">
        <f>IF('P12'!$E79&gt;"",'P12'!$E79&amp;" "&amp;CHAR(10)&amp;'P12'!$F79,'P12'!$E79)</f>
        <v>0</v>
      </c>
      <c r="R83" s="89">
        <f>IF('P13'!$E79&gt;"",'P13'!$E79&amp;" "&amp;CHAR(10)&amp;'P13'!$F79,'P13'!$E79)</f>
        <v>0</v>
      </c>
      <c r="S83" s="89">
        <f>IF('P14'!$E79&gt;"",'P14'!$E79&amp;" "&amp;CHAR(10)&amp;'P14'!$F79,'P14'!$E79)</f>
        <v>0</v>
      </c>
      <c r="T83" s="89">
        <f>IF('P15'!$E79&gt;"",'P15'!$E79&amp;" "&amp;CHAR(10)&amp;'P15'!$F79,'P15'!$E79)</f>
        <v>0</v>
      </c>
      <c r="U83" s="89">
        <f>IF('P16'!$E79&gt;"",'P16'!$E79&amp;" "&amp;CHAR(10)&amp;'P16'!$F79,'P16'!$E79)</f>
        <v>0</v>
      </c>
      <c r="V83" s="89">
        <f>IF('P17'!$E79&gt;"",'P17'!$E79&amp;" "&amp;CHAR(10)&amp;'P17'!$F79,'P17'!$E79)</f>
        <v>0</v>
      </c>
      <c r="W83" s="89">
        <f>IF('P18'!$E79&gt;"",'P18'!$E79&amp;" "&amp;CHAR(10)&amp;'P18'!$F79,'P18'!$E79)</f>
        <v>0</v>
      </c>
      <c r="X83" s="89">
        <f>IF('P19'!$E79&gt;"",'P19'!$E79&amp;" "&amp;CHAR(10)&amp;'P19'!$F79,'P19'!$E79)</f>
        <v>0</v>
      </c>
      <c r="Y83" s="89">
        <f>IF('P20'!$E79&gt;"",'P20'!$E79&amp;" "&amp;CHAR(10)&amp;'P20'!$F79,'P20'!$E79)</f>
        <v>0</v>
      </c>
      <c r="Z83" s="89">
        <f>IF('P21'!$E79&gt;"",'P21'!$E79&amp;" "&amp;CHAR(10)&amp;'P21'!$F79,'P21'!$E79)</f>
        <v>0</v>
      </c>
      <c r="AA83" s="89">
        <f>IF('P22'!$E79&gt;"",'P22'!$E79&amp;" "&amp;CHAR(10)&amp;'P22'!$F79,'P22'!$E79)</f>
        <v>0</v>
      </c>
      <c r="AB83" s="89">
        <f>IF('P23'!$E79&gt;"",'P23'!$E79&amp;" "&amp;CHAR(10)&amp;'P23'!$F79,'P23'!$E79)</f>
        <v>0</v>
      </c>
      <c r="AC83" s="89">
        <f>IF('P24'!$E79&gt;"",'P24'!$E79&amp;" "&amp;CHAR(10)&amp;'P24'!$F79,'P24'!$E79)</f>
        <v>0</v>
      </c>
      <c r="AD83" s="89">
        <f>IF('P25'!$E79&gt;"",'P25'!$E79&amp;" "&amp;CHAR(10)&amp;'P25'!$F79,'P25'!$E79)</f>
        <v>0</v>
      </c>
      <c r="AE83" s="89">
        <f>IF('P26'!$E79&gt;"",'P26'!$E79&amp;" "&amp;CHAR(10)&amp;'P26'!$F79,'P26'!$E79)</f>
        <v>0</v>
      </c>
      <c r="AF83" s="89">
        <f>IF('P27'!$E79&gt;"",'P27'!$E79&amp;" "&amp;CHAR(10)&amp;'P27'!$F79,'P27'!$E79)</f>
        <v>0</v>
      </c>
      <c r="AG83" s="89">
        <f>IF('P28'!$E79&gt;"",'P28'!$E79&amp;" "&amp;CHAR(10)&amp;'P28'!$F79,'P28'!$E79)</f>
        <v>0</v>
      </c>
      <c r="AH83" s="89">
        <f>IF('P29'!$E79&gt;"",'P29'!$E79&amp;" "&amp;CHAR(10)&amp;'P29'!$F79,'P29'!$E79)</f>
        <v>0</v>
      </c>
      <c r="AI83" s="89">
        <f>IF('P30'!$E79&gt;"",'P30'!$E79&amp;" "&amp;CHAR(10)&amp;'P30'!$F79,'P30'!$E79)</f>
        <v>0</v>
      </c>
      <c r="AJ83" s="89">
        <f>IF('P31'!$E79&gt;"",'P31'!$E79&amp;" "&amp;CHAR(10)&amp;'P31'!$F79,'P31'!$E79)</f>
        <v>0</v>
      </c>
      <c r="AK83" s="89">
        <f>IF('P32'!$E79&gt;"",'P32'!$E79&amp;" "&amp;CHAR(10)&amp;'P32'!$F79,'P32'!$E79)</f>
        <v>0</v>
      </c>
      <c r="AL83" s="89">
        <f>IF('P33'!$E79&gt;"",'P33'!$E79&amp;" "&amp;CHAR(10)&amp;'P33'!$F79,'P33'!$E79)</f>
        <v>0</v>
      </c>
      <c r="AM83" s="89">
        <f>IF('P34'!$E79&gt;"",'P34'!$E79&amp;" "&amp;CHAR(10)&amp;'P34'!$F79,'P34'!$E79)</f>
        <v>0</v>
      </c>
      <c r="AN83" s="89">
        <f>IF('P35'!$E79&gt;"",'P35'!$E79&amp;" "&amp;CHAR(10)&amp;'P35'!$F79,'P35'!$E79)</f>
        <v>0</v>
      </c>
      <c r="AO83" s="89">
        <f>IF('P36'!$E79&gt;"",'P36'!$E79&amp;" "&amp;CHAR(10)&amp;'P36'!$F79,'P36'!$E79)</f>
        <v>0</v>
      </c>
      <c r="AP83" s="89">
        <f>IF('P37'!$E79&gt;"",'P37'!$E79&amp;" "&amp;CHAR(10)&amp;'P37'!$F79,'P37'!$E79)</f>
        <v>0</v>
      </c>
      <c r="AQ83" s="89">
        <f>IF('P38'!$E79&gt;"",'P38'!$E79&amp;" "&amp;CHAR(10)&amp;'P38'!$F79,'P38'!$E79)</f>
        <v>0</v>
      </c>
      <c r="AR83" s="89">
        <f>IF('P39'!$E79&gt;"",'P39'!$E79&amp;" "&amp;CHAR(10)&amp;'P39'!$F79,'P39'!$E79)</f>
        <v>0</v>
      </c>
      <c r="AS83" s="89">
        <f>IF('P40'!$E79&gt;"",'P40'!$E79&amp;" "&amp;CHAR(10)&amp;'P40'!$F79,'P40'!$E79)</f>
        <v>0</v>
      </c>
      <c r="AT83" s="55">
        <f t="shared" si="9"/>
        <v>0</v>
      </c>
      <c r="AU83" s="9">
        <f t="shared" si="10"/>
        <v>0</v>
      </c>
      <c r="AV83" s="55">
        <f t="shared" si="11"/>
        <v>0</v>
      </c>
      <c r="AW83" s="38" t="str">
        <f t="shared" si="12"/>
        <v>NT</v>
      </c>
      <c r="AX83" s="12"/>
      <c r="AY83" s="10"/>
      <c r="AZ83" s="10"/>
      <c r="BA83" s="10" t="str">
        <f>IF('P01'!$G79&lt;&gt;"", 'P01'!$G79, "non")</f>
        <v>non</v>
      </c>
      <c r="BB83" s="10" t="str">
        <f>IF('P02'!$G79&lt;&gt;"", 'P02'!$G79, "non")</f>
        <v>non</v>
      </c>
      <c r="BC83" s="10" t="str">
        <f>IF('P03'!$G79&lt;&gt;"", 'P03'!$G79, "non")</f>
        <v>non</v>
      </c>
      <c r="BD83" s="10" t="str">
        <f>IF('P04'!$G79&lt;&gt;"", 'P04'!$G79, "non")</f>
        <v>non</v>
      </c>
      <c r="BE83" s="10" t="str">
        <f>IF('P05'!$G79&lt;&gt;"", 'P05'!$G79, "non")</f>
        <v>non</v>
      </c>
      <c r="BF83" s="10" t="str">
        <f>IF('P06'!$G79&lt;&gt;"", 'P06'!$G79, "non")</f>
        <v>non</v>
      </c>
      <c r="BG83" s="10" t="str">
        <f>IF('P07'!$G79&lt;&gt;"", 'P07'!$G79, "non")</f>
        <v>non</v>
      </c>
      <c r="BH83" s="10" t="str">
        <f>IF('P08'!$G79&lt;&gt;"", 'P08'!$G79, "non")</f>
        <v>non</v>
      </c>
      <c r="BI83" s="10" t="str">
        <f>IF('P09'!$G79&lt;&gt;"", 'P09'!$G79, "non")</f>
        <v>non</v>
      </c>
      <c r="BJ83" s="10" t="str">
        <f>IF('P10'!$G79&lt;&gt;"", 'P10'!$G79, "non")</f>
        <v>non</v>
      </c>
      <c r="BK83" s="10" t="str">
        <f>IF('P11'!$G79&lt;&gt;"", 'P11'!$G79, "non")</f>
        <v>non</v>
      </c>
      <c r="BL83" s="10" t="str">
        <f>IF('P12'!$G79&lt;&gt;"", 'P12'!$G79, "non")</f>
        <v>non</v>
      </c>
      <c r="BM83" s="10" t="str">
        <f>IF('P13'!$G79&lt;&gt;"", 'P13'!$G79, "non")</f>
        <v>non</v>
      </c>
      <c r="BN83" s="10" t="str">
        <f>IF('P14'!$G79&lt;&gt;"", 'P14'!$G79, "non")</f>
        <v>non</v>
      </c>
      <c r="BO83" s="10" t="str">
        <f>IF('P15'!$G79&lt;&gt;"", 'P15'!$G79, "non")</f>
        <v>non</v>
      </c>
      <c r="BP83" s="10" t="str">
        <f>IF('P16'!$G79&lt;&gt;"", 'P16'!$G79, "non")</f>
        <v>non</v>
      </c>
      <c r="BQ83" s="10" t="str">
        <f>IF('P17'!$G79&lt;&gt;"", 'P17'!$G79, "non")</f>
        <v>non</v>
      </c>
      <c r="BR83" s="10" t="str">
        <f>IF('P18'!$G79&lt;&gt;"", 'P18'!$G79, "non")</f>
        <v>non</v>
      </c>
      <c r="BS83" s="10" t="str">
        <f>IF('P19'!$G79&lt;&gt;"", 'P19'!$G79, "non")</f>
        <v>non</v>
      </c>
      <c r="BT83" s="11" t="str">
        <f>IF('P20'!$G79&lt;&gt;"", 'P20'!$G79, "non")</f>
        <v>non</v>
      </c>
      <c r="BU83" s="10" t="str">
        <f>IF('P21'!$G79&lt;&gt;"", 'P21'!$G79, "non")</f>
        <v>non</v>
      </c>
      <c r="BV83" s="11" t="str">
        <f>IF('P22'!$G79&lt;&gt;"", 'P22'!$G79, "non")</f>
        <v>non</v>
      </c>
      <c r="BW83" s="10" t="str">
        <f>IF('P23'!$G79&lt;&gt;"", 'P23'!$G79, "non")</f>
        <v>non</v>
      </c>
      <c r="BX83" s="11" t="str">
        <f>IF('P24'!$G79&lt;&gt;"", 'P24'!$G79, "non")</f>
        <v>non</v>
      </c>
      <c r="BY83" s="10" t="str">
        <f>IF('P25'!$G79&lt;&gt;"", 'P25'!$G79, "non")</f>
        <v>non</v>
      </c>
      <c r="BZ83" s="11" t="str">
        <f>IF('P26'!$G79&lt;&gt;"", 'P26'!$G79, "non")</f>
        <v>non</v>
      </c>
      <c r="CA83" s="10" t="str">
        <f>IF('P27'!$G79&lt;&gt;"", 'P27'!$G79, "non")</f>
        <v>non</v>
      </c>
      <c r="CB83" s="11" t="str">
        <f>IF('P28'!$G79&lt;&gt;"", 'P28'!$G79, "non")</f>
        <v>non</v>
      </c>
      <c r="CC83" s="10" t="str">
        <f>IF('P29'!$G79&lt;&gt;"", 'P29'!$G79, "non")</f>
        <v>non</v>
      </c>
      <c r="CD83" s="11" t="str">
        <f>IF('P30'!$G79&lt;&gt;"", 'P30'!$G79, "non")</f>
        <v>non</v>
      </c>
      <c r="CE83" s="10" t="str">
        <f>IF('P31'!$G79&lt;&gt;"", 'P31'!$G79, "non")</f>
        <v>non</v>
      </c>
      <c r="CF83" s="11" t="str">
        <f>IF('P32'!$G79&lt;&gt;"", 'P32'!$G79, "non")</f>
        <v>non</v>
      </c>
      <c r="CG83" s="10" t="str">
        <f>IF('P33'!$G79&lt;&gt;"", 'P33'!$G79, "non")</f>
        <v>non</v>
      </c>
      <c r="CH83" s="10" t="str">
        <f>IF('P34'!$G79&lt;&gt;"", 'P34'!$G79, "non")</f>
        <v>non</v>
      </c>
      <c r="CI83" s="11" t="str">
        <f>IF('P35'!$G79&lt;&gt;"", 'P35'!$G79, "non")</f>
        <v>non</v>
      </c>
      <c r="CJ83" s="10" t="str">
        <f>IF('P36'!$G79&lt;&gt;"", 'P36'!$G79, "non")</f>
        <v>non</v>
      </c>
      <c r="CK83" s="11" t="str">
        <f>IF('P37'!$G79&lt;&gt;"", 'P37'!$G79, "non")</f>
        <v>non</v>
      </c>
      <c r="CL83" s="10" t="str">
        <f>IF('P38'!$G79&lt;&gt;"", 'P38'!$G79, "non")</f>
        <v>non</v>
      </c>
      <c r="CM83" s="11" t="str">
        <f>IF('P39'!$G79&lt;&gt;"", 'P39'!$G79, "non")</f>
        <v>non</v>
      </c>
      <c r="CN83" s="10" t="str">
        <f>IF('P40'!$G79&lt;&gt;"", 'P40'!$G79, "non")</f>
        <v>non</v>
      </c>
    </row>
    <row r="84" spans="1:92" ht="39.75" customHeight="1">
      <c r="A84" s="122" t="str">
        <f>'Critères et tests'!B79</f>
        <v>FORMULAIRES</v>
      </c>
      <c r="B84" s="124" t="str">
        <f>'Critères et tests'!$A79</f>
        <v>11.7</v>
      </c>
      <c r="C84" s="192" t="str">
        <f>VLOOKUP(B84,'Critères et tests'!$1:$1048576,5,FALSE)</f>
        <v>Dans chaque formulaire, chaque légende associée à un regroupement de champs de même nature est-elle pertinente ?</v>
      </c>
      <c r="D84" s="124" t="str">
        <f>'Critères et tests'!$C79</f>
        <v>A</v>
      </c>
      <c r="E84" s="156" t="s">
        <v>460</v>
      </c>
      <c r="F84" s="88">
        <f>IF('P01'!$E80&gt;"",'P01'!$E80&amp;" "&amp;CHAR(10)&amp;'P01'!$F80,'P01'!$E80)</f>
        <v>0</v>
      </c>
      <c r="G84" s="89">
        <f>IF('P02'!$E80&gt;"",'P02'!$E80&amp;" "&amp;CHAR(10)&amp;'P02'!$F80,'P02'!$E80)</f>
        <v>0</v>
      </c>
      <c r="H84" s="89">
        <f>IF('P03'!$E80&gt;"",'P03'!$E80&amp;" "&amp;CHAR(10)&amp;'P03'!$F80,'P03'!$E80)</f>
        <v>0</v>
      </c>
      <c r="I84" s="89">
        <f>IF('P04'!$E80&gt;"",'P04'!$E80&amp;" "&amp;CHAR(10)&amp;'P04'!$F80,'P04'!$E80)</f>
        <v>0</v>
      </c>
      <c r="J84" s="89">
        <f>IF('P05'!$E80&gt;"",'P05'!$E80&amp;" "&amp;CHAR(10)&amp;'P05'!$F80,'P05'!$E80)</f>
        <v>0</v>
      </c>
      <c r="K84" s="89">
        <f>IF('P06'!$E80&gt;"",'P06'!$E80&amp;" "&amp;CHAR(10)&amp;'P06'!$F80,'P06'!$E80)</f>
        <v>0</v>
      </c>
      <c r="L84" s="89">
        <f>IF('P07'!$E80&gt;"",'P07'!$E80&amp;" "&amp;CHAR(10)&amp;'P07'!$F80,'P07'!$E80)</f>
        <v>0</v>
      </c>
      <c r="M84" s="89">
        <f>IF('P08'!$E80&gt;"",'P08'!$E80&amp;" "&amp;CHAR(10)&amp;'P08'!$F80,'P08'!$E80)</f>
        <v>0</v>
      </c>
      <c r="N84" s="89">
        <f>IF('P09'!$E80&gt;"",'P09'!$E80&amp;" "&amp;CHAR(10)&amp;'P09'!$F80,'P09'!$E80)</f>
        <v>0</v>
      </c>
      <c r="O84" s="89">
        <f>IF('P10'!$E80&gt;"",'P10'!$E80&amp;" "&amp;CHAR(10)&amp;'P10'!$F80,'P10'!$E80)</f>
        <v>0</v>
      </c>
      <c r="P84" s="89">
        <f>IF('P11'!$E80&gt;"",'P11'!$E80&amp;" "&amp;CHAR(10)&amp;'P11'!$F80,'P11'!$E80)</f>
        <v>0</v>
      </c>
      <c r="Q84" s="89">
        <f>IF('P12'!$E80&gt;"",'P12'!$E80&amp;" "&amp;CHAR(10)&amp;'P12'!$F80,'P12'!$E80)</f>
        <v>0</v>
      </c>
      <c r="R84" s="89">
        <f>IF('P13'!$E80&gt;"",'P13'!$E80&amp;" "&amp;CHAR(10)&amp;'P13'!$F80,'P13'!$E80)</f>
        <v>0</v>
      </c>
      <c r="S84" s="89">
        <f>IF('P14'!$E80&gt;"",'P14'!$E80&amp;" "&amp;CHAR(10)&amp;'P14'!$F80,'P14'!$E80)</f>
        <v>0</v>
      </c>
      <c r="T84" s="89">
        <f>IF('P15'!$E80&gt;"",'P15'!$E80&amp;" "&amp;CHAR(10)&amp;'P15'!$F80,'P15'!$E80)</f>
        <v>0</v>
      </c>
      <c r="U84" s="89">
        <f>IF('P16'!$E80&gt;"",'P16'!$E80&amp;" "&amp;CHAR(10)&amp;'P16'!$F80,'P16'!$E80)</f>
        <v>0</v>
      </c>
      <c r="V84" s="89">
        <f>IF('P17'!$E80&gt;"",'P17'!$E80&amp;" "&amp;CHAR(10)&amp;'P17'!$F80,'P17'!$E80)</f>
        <v>0</v>
      </c>
      <c r="W84" s="89">
        <f>IF('P18'!$E80&gt;"",'P18'!$E80&amp;" "&amp;CHAR(10)&amp;'P18'!$F80,'P18'!$E80)</f>
        <v>0</v>
      </c>
      <c r="X84" s="89">
        <f>IF('P19'!$E80&gt;"",'P19'!$E80&amp;" "&amp;CHAR(10)&amp;'P19'!$F80,'P19'!$E80)</f>
        <v>0</v>
      </c>
      <c r="Y84" s="89">
        <f>IF('P20'!$E80&gt;"",'P20'!$E80&amp;" "&amp;CHAR(10)&amp;'P20'!$F80,'P20'!$E80)</f>
        <v>0</v>
      </c>
      <c r="Z84" s="89">
        <f>IF('P21'!$E80&gt;"",'P21'!$E80&amp;" "&amp;CHAR(10)&amp;'P21'!$F80,'P21'!$E80)</f>
        <v>0</v>
      </c>
      <c r="AA84" s="89">
        <f>IF('P22'!$E80&gt;"",'P22'!$E80&amp;" "&amp;CHAR(10)&amp;'P22'!$F80,'P22'!$E80)</f>
        <v>0</v>
      </c>
      <c r="AB84" s="89">
        <f>IF('P23'!$E80&gt;"",'P23'!$E80&amp;" "&amp;CHAR(10)&amp;'P23'!$F80,'P23'!$E80)</f>
        <v>0</v>
      </c>
      <c r="AC84" s="89">
        <f>IF('P24'!$E80&gt;"",'P24'!$E80&amp;" "&amp;CHAR(10)&amp;'P24'!$F80,'P24'!$E80)</f>
        <v>0</v>
      </c>
      <c r="AD84" s="89">
        <f>IF('P25'!$E80&gt;"",'P25'!$E80&amp;" "&amp;CHAR(10)&amp;'P25'!$F80,'P25'!$E80)</f>
        <v>0</v>
      </c>
      <c r="AE84" s="89">
        <f>IF('P26'!$E80&gt;"",'P26'!$E80&amp;" "&amp;CHAR(10)&amp;'P26'!$F80,'P26'!$E80)</f>
        <v>0</v>
      </c>
      <c r="AF84" s="89">
        <f>IF('P27'!$E80&gt;"",'P27'!$E80&amp;" "&amp;CHAR(10)&amp;'P27'!$F80,'P27'!$E80)</f>
        <v>0</v>
      </c>
      <c r="AG84" s="89">
        <f>IF('P28'!$E80&gt;"",'P28'!$E80&amp;" "&amp;CHAR(10)&amp;'P28'!$F80,'P28'!$E80)</f>
        <v>0</v>
      </c>
      <c r="AH84" s="89">
        <f>IF('P29'!$E80&gt;"",'P29'!$E80&amp;" "&amp;CHAR(10)&amp;'P29'!$F80,'P29'!$E80)</f>
        <v>0</v>
      </c>
      <c r="AI84" s="89">
        <f>IF('P30'!$E80&gt;"",'P30'!$E80&amp;" "&amp;CHAR(10)&amp;'P30'!$F80,'P30'!$E80)</f>
        <v>0</v>
      </c>
      <c r="AJ84" s="89">
        <f>IF('P31'!$E80&gt;"",'P31'!$E80&amp;" "&amp;CHAR(10)&amp;'P31'!$F80,'P31'!$E80)</f>
        <v>0</v>
      </c>
      <c r="AK84" s="89">
        <f>IF('P32'!$E80&gt;"",'P32'!$E80&amp;" "&amp;CHAR(10)&amp;'P32'!$F80,'P32'!$E80)</f>
        <v>0</v>
      </c>
      <c r="AL84" s="89">
        <f>IF('P33'!$E80&gt;"",'P33'!$E80&amp;" "&amp;CHAR(10)&amp;'P33'!$F80,'P33'!$E80)</f>
        <v>0</v>
      </c>
      <c r="AM84" s="89">
        <f>IF('P34'!$E80&gt;"",'P34'!$E80&amp;" "&amp;CHAR(10)&amp;'P34'!$F80,'P34'!$E80)</f>
        <v>0</v>
      </c>
      <c r="AN84" s="89">
        <f>IF('P35'!$E80&gt;"",'P35'!$E80&amp;" "&amp;CHAR(10)&amp;'P35'!$F80,'P35'!$E80)</f>
        <v>0</v>
      </c>
      <c r="AO84" s="89">
        <f>IF('P36'!$E80&gt;"",'P36'!$E80&amp;" "&amp;CHAR(10)&amp;'P36'!$F80,'P36'!$E80)</f>
        <v>0</v>
      </c>
      <c r="AP84" s="89">
        <f>IF('P37'!$E80&gt;"",'P37'!$E80&amp;" "&amp;CHAR(10)&amp;'P37'!$F80,'P37'!$E80)</f>
        <v>0</v>
      </c>
      <c r="AQ84" s="89">
        <f>IF('P38'!$E80&gt;"",'P38'!$E80&amp;" "&amp;CHAR(10)&amp;'P38'!$F80,'P38'!$E80)</f>
        <v>0</v>
      </c>
      <c r="AR84" s="89">
        <f>IF('P39'!$E80&gt;"",'P39'!$E80&amp;" "&amp;CHAR(10)&amp;'P39'!$F80,'P39'!$E80)</f>
        <v>0</v>
      </c>
      <c r="AS84" s="89">
        <f>IF('P40'!$E80&gt;"",'P40'!$E80&amp;" "&amp;CHAR(10)&amp;'P40'!$F80,'P40'!$E80)</f>
        <v>0</v>
      </c>
      <c r="AT84" s="55">
        <f t="shared" si="9"/>
        <v>0</v>
      </c>
      <c r="AU84" s="9">
        <f t="shared" si="10"/>
        <v>0</v>
      </c>
      <c r="AV84" s="55">
        <f t="shared" si="11"/>
        <v>0</v>
      </c>
      <c r="AW84" s="38" t="str">
        <f t="shared" si="12"/>
        <v>NT</v>
      </c>
      <c r="AX84" s="12"/>
      <c r="AY84" s="10"/>
      <c r="AZ84" s="10"/>
      <c r="BA84" s="10" t="str">
        <f>IF('P01'!$G80&lt;&gt;"", 'P01'!$G80, "non")</f>
        <v>non</v>
      </c>
      <c r="BB84" s="10" t="str">
        <f>IF('P02'!$G80&lt;&gt;"", 'P02'!$G80, "non")</f>
        <v>non</v>
      </c>
      <c r="BC84" s="10" t="str">
        <f>IF('P03'!$G80&lt;&gt;"", 'P03'!$G80, "non")</f>
        <v>non</v>
      </c>
      <c r="BD84" s="10" t="str">
        <f>IF('P04'!$G80&lt;&gt;"", 'P04'!$G80, "non")</f>
        <v>non</v>
      </c>
      <c r="BE84" s="10" t="str">
        <f>IF('P05'!$G80&lt;&gt;"", 'P05'!$G80, "non")</f>
        <v>non</v>
      </c>
      <c r="BF84" s="10" t="str">
        <f>IF('P06'!$G80&lt;&gt;"", 'P06'!$G80, "non")</f>
        <v>non</v>
      </c>
      <c r="BG84" s="10" t="str">
        <f>IF('P07'!$G80&lt;&gt;"", 'P07'!$G80, "non")</f>
        <v>non</v>
      </c>
      <c r="BH84" s="10" t="str">
        <f>IF('P08'!$G80&lt;&gt;"", 'P08'!$G80, "non")</f>
        <v>non</v>
      </c>
      <c r="BI84" s="10" t="str">
        <f>IF('P09'!$G80&lt;&gt;"", 'P09'!$G80, "non")</f>
        <v>non</v>
      </c>
      <c r="BJ84" s="10" t="str">
        <f>IF('P10'!$G80&lt;&gt;"", 'P10'!$G80, "non")</f>
        <v>non</v>
      </c>
      <c r="BK84" s="10" t="str">
        <f>IF('P11'!$G80&lt;&gt;"", 'P11'!$G80, "non")</f>
        <v>non</v>
      </c>
      <c r="BL84" s="10" t="str">
        <f>IF('P12'!$G80&lt;&gt;"", 'P12'!$G80, "non")</f>
        <v>non</v>
      </c>
      <c r="BM84" s="10" t="str">
        <f>IF('P13'!$G80&lt;&gt;"", 'P13'!$G80, "non")</f>
        <v>non</v>
      </c>
      <c r="BN84" s="10" t="str">
        <f>IF('P14'!$G80&lt;&gt;"", 'P14'!$G80, "non")</f>
        <v>non</v>
      </c>
      <c r="BO84" s="10" t="str">
        <f>IF('P15'!$G80&lt;&gt;"", 'P15'!$G80, "non")</f>
        <v>non</v>
      </c>
      <c r="BP84" s="10" t="str">
        <f>IF('P16'!$G80&lt;&gt;"", 'P16'!$G80, "non")</f>
        <v>non</v>
      </c>
      <c r="BQ84" s="10" t="str">
        <f>IF('P17'!$G80&lt;&gt;"", 'P17'!$G80, "non")</f>
        <v>non</v>
      </c>
      <c r="BR84" s="10" t="str">
        <f>IF('P18'!$G80&lt;&gt;"", 'P18'!$G80, "non")</f>
        <v>non</v>
      </c>
      <c r="BS84" s="10" t="str">
        <f>IF('P19'!$G80&lt;&gt;"", 'P19'!$G80, "non")</f>
        <v>non</v>
      </c>
      <c r="BT84" s="11" t="str">
        <f>IF('P20'!$G80&lt;&gt;"", 'P20'!$G80, "non")</f>
        <v>non</v>
      </c>
      <c r="BU84" s="10" t="str">
        <f>IF('P21'!$G80&lt;&gt;"", 'P21'!$G80, "non")</f>
        <v>non</v>
      </c>
      <c r="BV84" s="11" t="str">
        <f>IF('P22'!$G80&lt;&gt;"", 'P22'!$G80, "non")</f>
        <v>non</v>
      </c>
      <c r="BW84" s="10" t="str">
        <f>IF('P23'!$G80&lt;&gt;"", 'P23'!$G80, "non")</f>
        <v>non</v>
      </c>
      <c r="BX84" s="11" t="str">
        <f>IF('P24'!$G80&lt;&gt;"", 'P24'!$G80, "non")</f>
        <v>non</v>
      </c>
      <c r="BY84" s="10" t="str">
        <f>IF('P25'!$G80&lt;&gt;"", 'P25'!$G80, "non")</f>
        <v>non</v>
      </c>
      <c r="BZ84" s="11" t="str">
        <f>IF('P26'!$G80&lt;&gt;"", 'P26'!$G80, "non")</f>
        <v>non</v>
      </c>
      <c r="CA84" s="10" t="str">
        <f>IF('P27'!$G80&lt;&gt;"", 'P27'!$G80, "non")</f>
        <v>non</v>
      </c>
      <c r="CB84" s="11" t="str">
        <f>IF('P28'!$G80&lt;&gt;"", 'P28'!$G80, "non")</f>
        <v>non</v>
      </c>
      <c r="CC84" s="10" t="str">
        <f>IF('P29'!$G80&lt;&gt;"", 'P29'!$G80, "non")</f>
        <v>non</v>
      </c>
      <c r="CD84" s="11" t="str">
        <f>IF('P30'!$G80&lt;&gt;"", 'P30'!$G80, "non")</f>
        <v>non</v>
      </c>
      <c r="CE84" s="10" t="str">
        <f>IF('P31'!$G80&lt;&gt;"", 'P31'!$G80, "non")</f>
        <v>non</v>
      </c>
      <c r="CF84" s="11" t="str">
        <f>IF('P32'!$G80&lt;&gt;"", 'P32'!$G80, "non")</f>
        <v>non</v>
      </c>
      <c r="CG84" s="10" t="str">
        <f>IF('P33'!$G80&lt;&gt;"", 'P33'!$G80, "non")</f>
        <v>non</v>
      </c>
      <c r="CH84" s="10" t="str">
        <f>IF('P34'!$G80&lt;&gt;"", 'P34'!$G80, "non")</f>
        <v>non</v>
      </c>
      <c r="CI84" s="11" t="str">
        <f>IF('P35'!$G80&lt;&gt;"", 'P35'!$G80, "non")</f>
        <v>non</v>
      </c>
      <c r="CJ84" s="10" t="str">
        <f>IF('P36'!$G80&lt;&gt;"", 'P36'!$G80, "non")</f>
        <v>non</v>
      </c>
      <c r="CK84" s="11" t="str">
        <f>IF('P37'!$G80&lt;&gt;"", 'P37'!$G80, "non")</f>
        <v>non</v>
      </c>
      <c r="CL84" s="10" t="str">
        <f>IF('P38'!$G80&lt;&gt;"", 'P38'!$G80, "non")</f>
        <v>non</v>
      </c>
      <c r="CM84" s="11" t="str">
        <f>IF('P39'!$G80&lt;&gt;"", 'P39'!$G80, "non")</f>
        <v>non</v>
      </c>
      <c r="CN84" s="10" t="str">
        <f>IF('P40'!$G80&lt;&gt;"", 'P40'!$G80, "non")</f>
        <v>non</v>
      </c>
    </row>
    <row r="85" spans="1:92" ht="39.75" customHeight="1">
      <c r="A85" s="122" t="str">
        <f>'Critères et tests'!B80</f>
        <v>FORMULAIRES</v>
      </c>
      <c r="B85" s="124" t="str">
        <f>'Critères et tests'!$A80</f>
        <v>11.8</v>
      </c>
      <c r="C85" s="192" t="str">
        <f>VLOOKUP(B85,'Critères et tests'!$1:$1048576,5,FALSE)</f>
        <v>Dans chaque formulaire, les items de même nature d’une liste de choix sont-ils regroupés de manière pertinente ?</v>
      </c>
      <c r="D85" s="124" t="str">
        <f>'Critères et tests'!$C80</f>
        <v>A</v>
      </c>
      <c r="E85" s="156" t="s">
        <v>460</v>
      </c>
      <c r="F85" s="88">
        <f>IF('P01'!$E81&gt;"",'P01'!$E81&amp;" "&amp;CHAR(10)&amp;'P01'!$F81,'P01'!$E81)</f>
        <v>0</v>
      </c>
      <c r="G85" s="89">
        <f>IF('P02'!$E81&gt;"",'P02'!$E81&amp;" "&amp;CHAR(10)&amp;'P02'!$F81,'P02'!$E81)</f>
        <v>0</v>
      </c>
      <c r="H85" s="89">
        <f>IF('P03'!$E81&gt;"",'P03'!$E81&amp;" "&amp;CHAR(10)&amp;'P03'!$F81,'P03'!$E81)</f>
        <v>0</v>
      </c>
      <c r="I85" s="89">
        <f>IF('P04'!$E81&gt;"",'P04'!$E81&amp;" "&amp;CHAR(10)&amp;'P04'!$F81,'P04'!$E81)</f>
        <v>0</v>
      </c>
      <c r="J85" s="89">
        <f>IF('P05'!$E81&gt;"",'P05'!$E81&amp;" "&amp;CHAR(10)&amp;'P05'!$F81,'P05'!$E81)</f>
        <v>0</v>
      </c>
      <c r="K85" s="89">
        <f>IF('P06'!$E81&gt;"",'P06'!$E81&amp;" "&amp;CHAR(10)&amp;'P06'!$F81,'P06'!$E81)</f>
        <v>0</v>
      </c>
      <c r="L85" s="89">
        <f>IF('P07'!$E81&gt;"",'P07'!$E81&amp;" "&amp;CHAR(10)&amp;'P07'!$F81,'P07'!$E81)</f>
        <v>0</v>
      </c>
      <c r="M85" s="89">
        <f>IF('P08'!$E81&gt;"",'P08'!$E81&amp;" "&amp;CHAR(10)&amp;'P08'!$F81,'P08'!$E81)</f>
        <v>0</v>
      </c>
      <c r="N85" s="89">
        <f>IF('P09'!$E81&gt;"",'P09'!$E81&amp;" "&amp;CHAR(10)&amp;'P09'!$F81,'P09'!$E81)</f>
        <v>0</v>
      </c>
      <c r="O85" s="89">
        <f>IF('P10'!$E81&gt;"",'P10'!$E81&amp;" "&amp;CHAR(10)&amp;'P10'!$F81,'P10'!$E81)</f>
        <v>0</v>
      </c>
      <c r="P85" s="89">
        <f>IF('P11'!$E81&gt;"",'P11'!$E81&amp;" "&amp;CHAR(10)&amp;'P11'!$F81,'P11'!$E81)</f>
        <v>0</v>
      </c>
      <c r="Q85" s="89">
        <f>IF('P12'!$E81&gt;"",'P12'!$E81&amp;" "&amp;CHAR(10)&amp;'P12'!$F81,'P12'!$E81)</f>
        <v>0</v>
      </c>
      <c r="R85" s="89">
        <f>IF('P13'!$E81&gt;"",'P13'!$E81&amp;" "&amp;CHAR(10)&amp;'P13'!$F81,'P13'!$E81)</f>
        <v>0</v>
      </c>
      <c r="S85" s="89">
        <f>IF('P14'!$E81&gt;"",'P14'!$E81&amp;" "&amp;CHAR(10)&amp;'P14'!$F81,'P14'!$E81)</f>
        <v>0</v>
      </c>
      <c r="T85" s="89">
        <f>IF('P15'!$E81&gt;"",'P15'!$E81&amp;" "&amp;CHAR(10)&amp;'P15'!$F81,'P15'!$E81)</f>
        <v>0</v>
      </c>
      <c r="U85" s="89">
        <f>IF('P16'!$E81&gt;"",'P16'!$E81&amp;" "&amp;CHAR(10)&amp;'P16'!$F81,'P16'!$E81)</f>
        <v>0</v>
      </c>
      <c r="V85" s="89">
        <f>IF('P17'!$E81&gt;"",'P17'!$E81&amp;" "&amp;CHAR(10)&amp;'P17'!$F81,'P17'!$E81)</f>
        <v>0</v>
      </c>
      <c r="W85" s="89">
        <f>IF('P18'!$E81&gt;"",'P18'!$E81&amp;" "&amp;CHAR(10)&amp;'P18'!$F81,'P18'!$E81)</f>
        <v>0</v>
      </c>
      <c r="X85" s="89">
        <f>IF('P19'!$E81&gt;"",'P19'!$E81&amp;" "&amp;CHAR(10)&amp;'P19'!$F81,'P19'!$E81)</f>
        <v>0</v>
      </c>
      <c r="Y85" s="89">
        <f>IF('P20'!$E81&gt;"",'P20'!$E81&amp;" "&amp;CHAR(10)&amp;'P20'!$F81,'P20'!$E81)</f>
        <v>0</v>
      </c>
      <c r="Z85" s="89">
        <f>IF('P21'!$E81&gt;"",'P21'!$E81&amp;" "&amp;CHAR(10)&amp;'P21'!$F81,'P21'!$E81)</f>
        <v>0</v>
      </c>
      <c r="AA85" s="89">
        <f>IF('P22'!$E81&gt;"",'P22'!$E81&amp;" "&amp;CHAR(10)&amp;'P22'!$F81,'P22'!$E81)</f>
        <v>0</v>
      </c>
      <c r="AB85" s="89">
        <f>IF('P23'!$E81&gt;"",'P23'!$E81&amp;" "&amp;CHAR(10)&amp;'P23'!$F81,'P23'!$E81)</f>
        <v>0</v>
      </c>
      <c r="AC85" s="89">
        <f>IF('P24'!$E81&gt;"",'P24'!$E81&amp;" "&amp;CHAR(10)&amp;'P24'!$F81,'P24'!$E81)</f>
        <v>0</v>
      </c>
      <c r="AD85" s="89">
        <f>IF('P25'!$E81&gt;"",'P25'!$E81&amp;" "&amp;CHAR(10)&amp;'P25'!$F81,'P25'!$E81)</f>
        <v>0</v>
      </c>
      <c r="AE85" s="89">
        <f>IF('P26'!$E81&gt;"",'P26'!$E81&amp;" "&amp;CHAR(10)&amp;'P26'!$F81,'P26'!$E81)</f>
        <v>0</v>
      </c>
      <c r="AF85" s="89">
        <f>IF('P27'!$E81&gt;"",'P27'!$E81&amp;" "&amp;CHAR(10)&amp;'P27'!$F81,'P27'!$E81)</f>
        <v>0</v>
      </c>
      <c r="AG85" s="89">
        <f>IF('P28'!$E81&gt;"",'P28'!$E81&amp;" "&amp;CHAR(10)&amp;'P28'!$F81,'P28'!$E81)</f>
        <v>0</v>
      </c>
      <c r="AH85" s="89">
        <f>IF('P29'!$E81&gt;"",'P29'!$E81&amp;" "&amp;CHAR(10)&amp;'P29'!$F81,'P29'!$E81)</f>
        <v>0</v>
      </c>
      <c r="AI85" s="89">
        <f>IF('P30'!$E81&gt;"",'P30'!$E81&amp;" "&amp;CHAR(10)&amp;'P30'!$F81,'P30'!$E81)</f>
        <v>0</v>
      </c>
      <c r="AJ85" s="89">
        <f>IF('P31'!$E81&gt;"",'P31'!$E81&amp;" "&amp;CHAR(10)&amp;'P31'!$F81,'P31'!$E81)</f>
        <v>0</v>
      </c>
      <c r="AK85" s="89">
        <f>IF('P32'!$E81&gt;"",'P32'!$E81&amp;" "&amp;CHAR(10)&amp;'P32'!$F81,'P32'!$E81)</f>
        <v>0</v>
      </c>
      <c r="AL85" s="89">
        <f>IF('P33'!$E81&gt;"",'P33'!$E81&amp;" "&amp;CHAR(10)&amp;'P33'!$F81,'P33'!$E81)</f>
        <v>0</v>
      </c>
      <c r="AM85" s="89">
        <f>IF('P34'!$E81&gt;"",'P34'!$E81&amp;" "&amp;CHAR(10)&amp;'P34'!$F81,'P34'!$E81)</f>
        <v>0</v>
      </c>
      <c r="AN85" s="89">
        <f>IF('P35'!$E81&gt;"",'P35'!$E81&amp;" "&amp;CHAR(10)&amp;'P35'!$F81,'P35'!$E81)</f>
        <v>0</v>
      </c>
      <c r="AO85" s="89">
        <f>IF('P36'!$E81&gt;"",'P36'!$E81&amp;" "&amp;CHAR(10)&amp;'P36'!$F81,'P36'!$E81)</f>
        <v>0</v>
      </c>
      <c r="AP85" s="89">
        <f>IF('P37'!$E81&gt;"",'P37'!$E81&amp;" "&amp;CHAR(10)&amp;'P37'!$F81,'P37'!$E81)</f>
        <v>0</v>
      </c>
      <c r="AQ85" s="89">
        <f>IF('P38'!$E81&gt;"",'P38'!$E81&amp;" "&amp;CHAR(10)&amp;'P38'!$F81,'P38'!$E81)</f>
        <v>0</v>
      </c>
      <c r="AR85" s="89">
        <f>IF('P39'!$E81&gt;"",'P39'!$E81&amp;" "&amp;CHAR(10)&amp;'P39'!$F81,'P39'!$E81)</f>
        <v>0</v>
      </c>
      <c r="AS85" s="89">
        <f>IF('P40'!$E81&gt;"",'P40'!$E81&amp;" "&amp;CHAR(10)&amp;'P40'!$F81,'P40'!$E81)</f>
        <v>0</v>
      </c>
      <c r="AT85" s="55">
        <f t="shared" si="9"/>
        <v>0</v>
      </c>
      <c r="AU85" s="9">
        <f t="shared" si="10"/>
        <v>0</v>
      </c>
      <c r="AV85" s="55">
        <f t="shared" si="11"/>
        <v>0</v>
      </c>
      <c r="AW85" s="38" t="str">
        <f t="shared" si="12"/>
        <v>NT</v>
      </c>
      <c r="AX85" s="12"/>
      <c r="AY85" s="10"/>
      <c r="AZ85" s="10"/>
      <c r="BA85" s="10" t="str">
        <f>IF('P01'!$G81&lt;&gt;"", 'P01'!$G81, "non")</f>
        <v>non</v>
      </c>
      <c r="BB85" s="10" t="str">
        <f>IF('P02'!$G81&lt;&gt;"", 'P02'!$G81, "non")</f>
        <v>non</v>
      </c>
      <c r="BC85" s="10" t="str">
        <f>IF('P03'!$G81&lt;&gt;"", 'P03'!$G81, "non")</f>
        <v>non</v>
      </c>
      <c r="BD85" s="10" t="str">
        <f>IF('P04'!$G81&lt;&gt;"", 'P04'!$G81, "non")</f>
        <v>non</v>
      </c>
      <c r="BE85" s="10" t="str">
        <f>IF('P05'!$G81&lt;&gt;"", 'P05'!$G81, "non")</f>
        <v>non</v>
      </c>
      <c r="BF85" s="10" t="str">
        <f>IF('P06'!$G81&lt;&gt;"", 'P06'!$G81, "non")</f>
        <v>non</v>
      </c>
      <c r="BG85" s="10" t="str">
        <f>IF('P07'!$G81&lt;&gt;"", 'P07'!$G81, "non")</f>
        <v>non</v>
      </c>
      <c r="BH85" s="10" t="str">
        <f>IF('P08'!$G81&lt;&gt;"", 'P08'!$G81, "non")</f>
        <v>non</v>
      </c>
      <c r="BI85" s="10" t="str">
        <f>IF('P09'!$G81&lt;&gt;"", 'P09'!$G81, "non")</f>
        <v>non</v>
      </c>
      <c r="BJ85" s="10" t="str">
        <f>IF('P10'!$G81&lt;&gt;"", 'P10'!$G81, "non")</f>
        <v>non</v>
      </c>
      <c r="BK85" s="10" t="str">
        <f>IF('P11'!$G81&lt;&gt;"", 'P11'!$G81, "non")</f>
        <v>non</v>
      </c>
      <c r="BL85" s="10" t="str">
        <f>IF('P12'!$G81&lt;&gt;"", 'P12'!$G81, "non")</f>
        <v>non</v>
      </c>
      <c r="BM85" s="10" t="str">
        <f>IF('P13'!$G81&lt;&gt;"", 'P13'!$G81, "non")</f>
        <v>non</v>
      </c>
      <c r="BN85" s="10" t="str">
        <f>IF('P14'!$G81&lt;&gt;"", 'P14'!$G81, "non")</f>
        <v>non</v>
      </c>
      <c r="BO85" s="10" t="str">
        <f>IF('P15'!$G81&lt;&gt;"", 'P15'!$G81, "non")</f>
        <v>non</v>
      </c>
      <c r="BP85" s="10" t="str">
        <f>IF('P16'!$G81&lt;&gt;"", 'P16'!$G81, "non")</f>
        <v>non</v>
      </c>
      <c r="BQ85" s="10" t="str">
        <f>IF('P17'!$G81&lt;&gt;"", 'P17'!$G81, "non")</f>
        <v>non</v>
      </c>
      <c r="BR85" s="10" t="str">
        <f>IF('P18'!$G81&lt;&gt;"", 'P18'!$G81, "non")</f>
        <v>non</v>
      </c>
      <c r="BS85" s="10" t="str">
        <f>IF('P19'!$G81&lt;&gt;"", 'P19'!$G81, "non")</f>
        <v>non</v>
      </c>
      <c r="BT85" s="11" t="str">
        <f>IF('P20'!$G81&lt;&gt;"", 'P20'!$G81, "non")</f>
        <v>non</v>
      </c>
      <c r="BU85" s="10" t="str">
        <f>IF('P21'!$G81&lt;&gt;"", 'P21'!$G81, "non")</f>
        <v>non</v>
      </c>
      <c r="BV85" s="11" t="str">
        <f>IF('P22'!$G81&lt;&gt;"", 'P22'!$G81, "non")</f>
        <v>non</v>
      </c>
      <c r="BW85" s="10" t="str">
        <f>IF('P23'!$G81&lt;&gt;"", 'P23'!$G81, "non")</f>
        <v>non</v>
      </c>
      <c r="BX85" s="11" t="str">
        <f>IF('P24'!$G81&lt;&gt;"", 'P24'!$G81, "non")</f>
        <v>non</v>
      </c>
      <c r="BY85" s="10" t="str">
        <f>IF('P25'!$G81&lt;&gt;"", 'P25'!$G81, "non")</f>
        <v>non</v>
      </c>
      <c r="BZ85" s="11" t="str">
        <f>IF('P26'!$G81&lt;&gt;"", 'P26'!$G81, "non")</f>
        <v>non</v>
      </c>
      <c r="CA85" s="10" t="str">
        <f>IF('P27'!$G81&lt;&gt;"", 'P27'!$G81, "non")</f>
        <v>non</v>
      </c>
      <c r="CB85" s="11" t="str">
        <f>IF('P28'!$G81&lt;&gt;"", 'P28'!$G81, "non")</f>
        <v>non</v>
      </c>
      <c r="CC85" s="10" t="str">
        <f>IF('P29'!$G81&lt;&gt;"", 'P29'!$G81, "non")</f>
        <v>non</v>
      </c>
      <c r="CD85" s="11" t="str">
        <f>IF('P30'!$G81&lt;&gt;"", 'P30'!$G81, "non")</f>
        <v>non</v>
      </c>
      <c r="CE85" s="10" t="str">
        <f>IF('P31'!$G81&lt;&gt;"", 'P31'!$G81, "non")</f>
        <v>non</v>
      </c>
      <c r="CF85" s="11" t="str">
        <f>IF('P32'!$G81&lt;&gt;"", 'P32'!$G81, "non")</f>
        <v>non</v>
      </c>
      <c r="CG85" s="10" t="str">
        <f>IF('P33'!$G81&lt;&gt;"", 'P33'!$G81, "non")</f>
        <v>non</v>
      </c>
      <c r="CH85" s="10" t="str">
        <f>IF('P34'!$G81&lt;&gt;"", 'P34'!$G81, "non")</f>
        <v>non</v>
      </c>
      <c r="CI85" s="11" t="str">
        <f>IF('P35'!$G81&lt;&gt;"", 'P35'!$G81, "non")</f>
        <v>non</v>
      </c>
      <c r="CJ85" s="10" t="str">
        <f>IF('P36'!$G81&lt;&gt;"", 'P36'!$G81, "non")</f>
        <v>non</v>
      </c>
      <c r="CK85" s="11" t="str">
        <f>IF('P37'!$G81&lt;&gt;"", 'P37'!$G81, "non")</f>
        <v>non</v>
      </c>
      <c r="CL85" s="10" t="str">
        <f>IF('P38'!$G81&lt;&gt;"", 'P38'!$G81, "non")</f>
        <v>non</v>
      </c>
      <c r="CM85" s="11" t="str">
        <f>IF('P39'!$G81&lt;&gt;"", 'P39'!$G81, "non")</f>
        <v>non</v>
      </c>
      <c r="CN85" s="10" t="str">
        <f>IF('P40'!$G81&lt;&gt;"", 'P40'!$G81, "non")</f>
        <v>non</v>
      </c>
    </row>
    <row r="86" spans="1:92" ht="39.75" customHeight="1">
      <c r="A86" s="122" t="str">
        <f>'Critères et tests'!B81</f>
        <v>FORMULAIRES</v>
      </c>
      <c r="B86" s="124" t="str">
        <f>'Critères et tests'!$A81</f>
        <v>11.9</v>
      </c>
      <c r="C86" s="192" t="str">
        <f>VLOOKUP(B86,'Critères et tests'!$1:$1048576,5,FALSE)</f>
        <v>Dans chaque formulaire, l’intitulé de chaque bouton est-il pertinent (hors cas particuliers) ?</v>
      </c>
      <c r="D86" s="124" t="str">
        <f>'Critères et tests'!$C81</f>
        <v>A</v>
      </c>
      <c r="E86" s="156" t="s">
        <v>460</v>
      </c>
      <c r="F86" s="88">
        <f>IF('P01'!$E82&gt;"",'P01'!$E82&amp;" "&amp;CHAR(10)&amp;'P01'!$F82,'P01'!$E82)</f>
        <v>0</v>
      </c>
      <c r="G86" s="89">
        <f>IF('P02'!$E82&gt;"",'P02'!$E82&amp;" "&amp;CHAR(10)&amp;'P02'!$F82,'P02'!$E82)</f>
        <v>0</v>
      </c>
      <c r="H86" s="89">
        <f>IF('P03'!$E82&gt;"",'P03'!$E82&amp;" "&amp;CHAR(10)&amp;'P03'!$F82,'P03'!$E82)</f>
        <v>0</v>
      </c>
      <c r="I86" s="89">
        <f>IF('P04'!$E82&gt;"",'P04'!$E82&amp;" "&amp;CHAR(10)&amp;'P04'!$F82,'P04'!$E82)</f>
        <v>0</v>
      </c>
      <c r="J86" s="89">
        <f>IF('P05'!$E82&gt;"",'P05'!$E82&amp;" "&amp;CHAR(10)&amp;'P05'!$F82,'P05'!$E82)</f>
        <v>0</v>
      </c>
      <c r="K86" s="89">
        <f>IF('P06'!$E82&gt;"",'P06'!$E82&amp;" "&amp;CHAR(10)&amp;'P06'!$F82,'P06'!$E82)</f>
        <v>0</v>
      </c>
      <c r="L86" s="89">
        <f>IF('P07'!$E82&gt;"",'P07'!$E82&amp;" "&amp;CHAR(10)&amp;'P07'!$F82,'P07'!$E82)</f>
        <v>0</v>
      </c>
      <c r="M86" s="89">
        <f>IF('P08'!$E82&gt;"",'P08'!$E82&amp;" "&amp;CHAR(10)&amp;'P08'!$F82,'P08'!$E82)</f>
        <v>0</v>
      </c>
      <c r="N86" s="89">
        <f>IF('P09'!$E82&gt;"",'P09'!$E82&amp;" "&amp;CHAR(10)&amp;'P09'!$F82,'P09'!$E82)</f>
        <v>0</v>
      </c>
      <c r="O86" s="89">
        <f>IF('P10'!$E82&gt;"",'P10'!$E82&amp;" "&amp;CHAR(10)&amp;'P10'!$F82,'P10'!$E82)</f>
        <v>0</v>
      </c>
      <c r="P86" s="89">
        <f>IF('P11'!$E82&gt;"",'P11'!$E82&amp;" "&amp;CHAR(10)&amp;'P11'!$F82,'P11'!$E82)</f>
        <v>0</v>
      </c>
      <c r="Q86" s="89">
        <f>IF('P12'!$E82&gt;"",'P12'!$E82&amp;" "&amp;CHAR(10)&amp;'P12'!$F82,'P12'!$E82)</f>
        <v>0</v>
      </c>
      <c r="R86" s="89">
        <f>IF('P13'!$E82&gt;"",'P13'!$E82&amp;" "&amp;CHAR(10)&amp;'P13'!$F82,'P13'!$E82)</f>
        <v>0</v>
      </c>
      <c r="S86" s="89">
        <f>IF('P14'!$E82&gt;"",'P14'!$E82&amp;" "&amp;CHAR(10)&amp;'P14'!$F82,'P14'!$E82)</f>
        <v>0</v>
      </c>
      <c r="T86" s="89">
        <f>IF('P15'!$E82&gt;"",'P15'!$E82&amp;" "&amp;CHAR(10)&amp;'P15'!$F82,'P15'!$E82)</f>
        <v>0</v>
      </c>
      <c r="U86" s="89">
        <f>IF('P16'!$E82&gt;"",'P16'!$E82&amp;" "&amp;CHAR(10)&amp;'P16'!$F82,'P16'!$E82)</f>
        <v>0</v>
      </c>
      <c r="V86" s="89">
        <f>IF('P17'!$E82&gt;"",'P17'!$E82&amp;" "&amp;CHAR(10)&amp;'P17'!$F82,'P17'!$E82)</f>
        <v>0</v>
      </c>
      <c r="W86" s="89">
        <f>IF('P18'!$E82&gt;"",'P18'!$E82&amp;" "&amp;CHAR(10)&amp;'P18'!$F82,'P18'!$E82)</f>
        <v>0</v>
      </c>
      <c r="X86" s="89">
        <f>IF('P19'!$E82&gt;"",'P19'!$E82&amp;" "&amp;CHAR(10)&amp;'P19'!$F82,'P19'!$E82)</f>
        <v>0</v>
      </c>
      <c r="Y86" s="89">
        <f>IF('P20'!$E82&gt;"",'P20'!$E82&amp;" "&amp;CHAR(10)&amp;'P20'!$F82,'P20'!$E82)</f>
        <v>0</v>
      </c>
      <c r="Z86" s="89">
        <f>IF('P21'!$E82&gt;"",'P21'!$E82&amp;" "&amp;CHAR(10)&amp;'P21'!$F82,'P21'!$E82)</f>
        <v>0</v>
      </c>
      <c r="AA86" s="89">
        <f>IF('P22'!$E82&gt;"",'P22'!$E82&amp;" "&amp;CHAR(10)&amp;'P22'!$F82,'P22'!$E82)</f>
        <v>0</v>
      </c>
      <c r="AB86" s="89">
        <f>IF('P23'!$E82&gt;"",'P23'!$E82&amp;" "&amp;CHAR(10)&amp;'P23'!$F82,'P23'!$E82)</f>
        <v>0</v>
      </c>
      <c r="AC86" s="89">
        <f>IF('P24'!$E82&gt;"",'P24'!$E82&amp;" "&amp;CHAR(10)&amp;'P24'!$F82,'P24'!$E82)</f>
        <v>0</v>
      </c>
      <c r="AD86" s="89">
        <f>IF('P25'!$E82&gt;"",'P25'!$E82&amp;" "&amp;CHAR(10)&amp;'P25'!$F82,'P25'!$E82)</f>
        <v>0</v>
      </c>
      <c r="AE86" s="89">
        <f>IF('P26'!$E82&gt;"",'P26'!$E82&amp;" "&amp;CHAR(10)&amp;'P26'!$F82,'P26'!$E82)</f>
        <v>0</v>
      </c>
      <c r="AF86" s="89">
        <f>IF('P27'!$E82&gt;"",'P27'!$E82&amp;" "&amp;CHAR(10)&amp;'P27'!$F82,'P27'!$E82)</f>
        <v>0</v>
      </c>
      <c r="AG86" s="89">
        <f>IF('P28'!$E82&gt;"",'P28'!$E82&amp;" "&amp;CHAR(10)&amp;'P28'!$F82,'P28'!$E82)</f>
        <v>0</v>
      </c>
      <c r="AH86" s="89">
        <f>IF('P29'!$E82&gt;"",'P29'!$E82&amp;" "&amp;CHAR(10)&amp;'P29'!$F82,'P29'!$E82)</f>
        <v>0</v>
      </c>
      <c r="AI86" s="89">
        <f>IF('P30'!$E82&gt;"",'P30'!$E82&amp;" "&amp;CHAR(10)&amp;'P30'!$F82,'P30'!$E82)</f>
        <v>0</v>
      </c>
      <c r="AJ86" s="89">
        <f>IF('P31'!$E82&gt;"",'P31'!$E82&amp;" "&amp;CHAR(10)&amp;'P31'!$F82,'P31'!$E82)</f>
        <v>0</v>
      </c>
      <c r="AK86" s="89">
        <f>IF('P32'!$E82&gt;"",'P32'!$E82&amp;" "&amp;CHAR(10)&amp;'P32'!$F82,'P32'!$E82)</f>
        <v>0</v>
      </c>
      <c r="AL86" s="89">
        <f>IF('P33'!$E82&gt;"",'P33'!$E82&amp;" "&amp;CHAR(10)&amp;'P33'!$F82,'P33'!$E82)</f>
        <v>0</v>
      </c>
      <c r="AM86" s="89">
        <f>IF('P34'!$E82&gt;"",'P34'!$E82&amp;" "&amp;CHAR(10)&amp;'P34'!$F82,'P34'!$E82)</f>
        <v>0</v>
      </c>
      <c r="AN86" s="89">
        <f>IF('P35'!$E82&gt;"",'P35'!$E82&amp;" "&amp;CHAR(10)&amp;'P35'!$F82,'P35'!$E82)</f>
        <v>0</v>
      </c>
      <c r="AO86" s="89">
        <f>IF('P36'!$E82&gt;"",'P36'!$E82&amp;" "&amp;CHAR(10)&amp;'P36'!$F82,'P36'!$E82)</f>
        <v>0</v>
      </c>
      <c r="AP86" s="89">
        <f>IF('P37'!$E82&gt;"",'P37'!$E82&amp;" "&amp;CHAR(10)&amp;'P37'!$F82,'P37'!$E82)</f>
        <v>0</v>
      </c>
      <c r="AQ86" s="89">
        <f>IF('P38'!$E82&gt;"",'P38'!$E82&amp;" "&amp;CHAR(10)&amp;'P38'!$F82,'P38'!$E82)</f>
        <v>0</v>
      </c>
      <c r="AR86" s="89">
        <f>IF('P39'!$E82&gt;"",'P39'!$E82&amp;" "&amp;CHAR(10)&amp;'P39'!$F82,'P39'!$E82)</f>
        <v>0</v>
      </c>
      <c r="AS86" s="89">
        <f>IF('P40'!$E82&gt;"",'P40'!$E82&amp;" "&amp;CHAR(10)&amp;'P40'!$F82,'P40'!$E82)</f>
        <v>0</v>
      </c>
      <c r="AT86" s="55">
        <f t="shared" si="9"/>
        <v>0</v>
      </c>
      <c r="AU86" s="9">
        <f t="shared" si="10"/>
        <v>0</v>
      </c>
      <c r="AV86" s="55">
        <f t="shared" si="11"/>
        <v>0</v>
      </c>
      <c r="AW86" s="38" t="str">
        <f t="shared" si="12"/>
        <v>NT</v>
      </c>
      <c r="AX86" s="12"/>
      <c r="AY86" s="10"/>
      <c r="AZ86" s="10"/>
      <c r="BA86" s="10" t="str">
        <f>IF('P01'!$G82&lt;&gt;"", 'P01'!$G82, "non")</f>
        <v>non</v>
      </c>
      <c r="BB86" s="10" t="str">
        <f>IF('P02'!$G82&lt;&gt;"", 'P02'!$G82, "non")</f>
        <v>non</v>
      </c>
      <c r="BC86" s="10" t="str">
        <f>IF('P03'!$G82&lt;&gt;"", 'P03'!$G82, "non")</f>
        <v>non</v>
      </c>
      <c r="BD86" s="10" t="str">
        <f>IF('P04'!$G82&lt;&gt;"", 'P04'!$G82, "non")</f>
        <v>non</v>
      </c>
      <c r="BE86" s="10" t="str">
        <f>IF('P05'!$G82&lt;&gt;"", 'P05'!$G82, "non")</f>
        <v>non</v>
      </c>
      <c r="BF86" s="10" t="str">
        <f>IF('P06'!$G82&lt;&gt;"", 'P06'!$G82, "non")</f>
        <v>non</v>
      </c>
      <c r="BG86" s="10" t="str">
        <f>IF('P07'!$G82&lt;&gt;"", 'P07'!$G82, "non")</f>
        <v>non</v>
      </c>
      <c r="BH86" s="10" t="str">
        <f>IF('P08'!$G82&lt;&gt;"", 'P08'!$G82, "non")</f>
        <v>non</v>
      </c>
      <c r="BI86" s="10" t="str">
        <f>IF('P09'!$G82&lt;&gt;"", 'P09'!$G82, "non")</f>
        <v>non</v>
      </c>
      <c r="BJ86" s="10" t="str">
        <f>IF('P10'!$G82&lt;&gt;"", 'P10'!$G82, "non")</f>
        <v>non</v>
      </c>
      <c r="BK86" s="10" t="str">
        <f>IF('P11'!$G82&lt;&gt;"", 'P11'!$G82, "non")</f>
        <v>non</v>
      </c>
      <c r="BL86" s="10" t="str">
        <f>IF('P12'!$G82&lt;&gt;"", 'P12'!$G82, "non")</f>
        <v>non</v>
      </c>
      <c r="BM86" s="10" t="str">
        <f>IF('P13'!$G82&lt;&gt;"", 'P13'!$G82, "non")</f>
        <v>non</v>
      </c>
      <c r="BN86" s="10" t="str">
        <f>IF('P14'!$G82&lt;&gt;"", 'P14'!$G82, "non")</f>
        <v>non</v>
      </c>
      <c r="BO86" s="10" t="str">
        <f>IF('P15'!$G82&lt;&gt;"", 'P15'!$G82, "non")</f>
        <v>non</v>
      </c>
      <c r="BP86" s="10" t="str">
        <f>IF('P16'!$G82&lt;&gt;"", 'P16'!$G82, "non")</f>
        <v>non</v>
      </c>
      <c r="BQ86" s="10" t="str">
        <f>IF('P17'!$G82&lt;&gt;"", 'P17'!$G82, "non")</f>
        <v>non</v>
      </c>
      <c r="BR86" s="10" t="str">
        <f>IF('P18'!$G82&lt;&gt;"", 'P18'!$G82, "non")</f>
        <v>non</v>
      </c>
      <c r="BS86" s="10" t="str">
        <f>IF('P19'!$G82&lt;&gt;"", 'P19'!$G82, "non")</f>
        <v>non</v>
      </c>
      <c r="BT86" s="11" t="str">
        <f>IF('P20'!$G82&lt;&gt;"", 'P20'!$G82, "non")</f>
        <v>non</v>
      </c>
      <c r="BU86" s="10" t="str">
        <f>IF('P21'!$G82&lt;&gt;"", 'P21'!$G82, "non")</f>
        <v>non</v>
      </c>
      <c r="BV86" s="11" t="str">
        <f>IF('P22'!$G82&lt;&gt;"", 'P22'!$G82, "non")</f>
        <v>non</v>
      </c>
      <c r="BW86" s="10" t="str">
        <f>IF('P23'!$G82&lt;&gt;"", 'P23'!$G82, "non")</f>
        <v>non</v>
      </c>
      <c r="BX86" s="11" t="str">
        <f>IF('P24'!$G82&lt;&gt;"", 'P24'!$G82, "non")</f>
        <v>non</v>
      </c>
      <c r="BY86" s="10" t="str">
        <f>IF('P25'!$G82&lt;&gt;"", 'P25'!$G82, "non")</f>
        <v>non</v>
      </c>
      <c r="BZ86" s="11" t="str">
        <f>IF('P26'!$G82&lt;&gt;"", 'P26'!$G82, "non")</f>
        <v>non</v>
      </c>
      <c r="CA86" s="10" t="str">
        <f>IF('P27'!$G82&lt;&gt;"", 'P27'!$G82, "non")</f>
        <v>non</v>
      </c>
      <c r="CB86" s="11" t="str">
        <f>IF('P28'!$G82&lt;&gt;"", 'P28'!$G82, "non")</f>
        <v>non</v>
      </c>
      <c r="CC86" s="10" t="str">
        <f>IF('P29'!$G82&lt;&gt;"", 'P29'!$G82, "non")</f>
        <v>non</v>
      </c>
      <c r="CD86" s="11" t="str">
        <f>IF('P30'!$G82&lt;&gt;"", 'P30'!$G82, "non")</f>
        <v>non</v>
      </c>
      <c r="CE86" s="10" t="str">
        <f>IF('P31'!$G82&lt;&gt;"", 'P31'!$G82, "non")</f>
        <v>non</v>
      </c>
      <c r="CF86" s="11" t="str">
        <f>IF('P32'!$G82&lt;&gt;"", 'P32'!$G82, "non")</f>
        <v>non</v>
      </c>
      <c r="CG86" s="10" t="str">
        <f>IF('P33'!$G82&lt;&gt;"", 'P33'!$G82, "non")</f>
        <v>non</v>
      </c>
      <c r="CH86" s="10" t="str">
        <f>IF('P34'!$G82&lt;&gt;"", 'P34'!$G82, "non")</f>
        <v>non</v>
      </c>
      <c r="CI86" s="11" t="str">
        <f>IF('P35'!$G82&lt;&gt;"", 'P35'!$G82, "non")</f>
        <v>non</v>
      </c>
      <c r="CJ86" s="10" t="str">
        <f>IF('P36'!$G82&lt;&gt;"", 'P36'!$G82, "non")</f>
        <v>non</v>
      </c>
      <c r="CK86" s="11" t="str">
        <f>IF('P37'!$G82&lt;&gt;"", 'P37'!$G82, "non")</f>
        <v>non</v>
      </c>
      <c r="CL86" s="10" t="str">
        <f>IF('P38'!$G82&lt;&gt;"", 'P38'!$G82, "non")</f>
        <v>non</v>
      </c>
      <c r="CM86" s="11" t="str">
        <f>IF('P39'!$G82&lt;&gt;"", 'P39'!$G82, "non")</f>
        <v>non</v>
      </c>
      <c r="CN86" s="10" t="str">
        <f>IF('P40'!$G82&lt;&gt;"", 'P40'!$G82, "non")</f>
        <v>non</v>
      </c>
    </row>
    <row r="87" spans="1:92" ht="39.75" customHeight="1">
      <c r="A87" s="122" t="str">
        <f>'Critères et tests'!B82</f>
        <v>FORMULAIRES</v>
      </c>
      <c r="B87" s="124" t="str">
        <f>'Critères et tests'!$A82</f>
        <v>11.10</v>
      </c>
      <c r="C87" s="192" t="str">
        <f>VLOOKUP(B87,'Critères et tests'!$1:$1048576,5,FALSE)</f>
        <v>Dans chaque formulaire, le contrôle de saisie est-il utilisé de manière pertinente (hors cas particuliers) ?</v>
      </c>
      <c r="D87" s="124" t="str">
        <f>'Critères et tests'!$C82</f>
        <v>A</v>
      </c>
      <c r="E87" s="156" t="s">
        <v>460</v>
      </c>
      <c r="F87" s="88">
        <f>IF('P01'!$E83&gt;"",'P01'!$E83&amp;" "&amp;CHAR(10)&amp;'P01'!$F83,'P01'!$E83)</f>
        <v>0</v>
      </c>
      <c r="G87" s="89">
        <f>IF('P02'!$E83&gt;"",'P02'!$E83&amp;" "&amp;CHAR(10)&amp;'P02'!$F83,'P02'!$E83)</f>
        <v>0</v>
      </c>
      <c r="H87" s="89">
        <f>IF('P03'!$E83&gt;"",'P03'!$E83&amp;" "&amp;CHAR(10)&amp;'P03'!$F83,'P03'!$E83)</f>
        <v>0</v>
      </c>
      <c r="I87" s="89">
        <f>IF('P04'!$E83&gt;"",'P04'!$E83&amp;" "&amp;CHAR(10)&amp;'P04'!$F83,'P04'!$E83)</f>
        <v>0</v>
      </c>
      <c r="J87" s="89">
        <f>IF('P05'!$E83&gt;"",'P05'!$E83&amp;" "&amp;CHAR(10)&amp;'P05'!$F83,'P05'!$E83)</f>
        <v>0</v>
      </c>
      <c r="K87" s="89">
        <f>IF('P06'!$E83&gt;"",'P06'!$E83&amp;" "&amp;CHAR(10)&amp;'P06'!$F83,'P06'!$E83)</f>
        <v>0</v>
      </c>
      <c r="L87" s="89">
        <f>IF('P07'!$E83&gt;"",'P07'!$E83&amp;" "&amp;CHAR(10)&amp;'P07'!$F83,'P07'!$E83)</f>
        <v>0</v>
      </c>
      <c r="M87" s="89">
        <f>IF('P08'!$E83&gt;"",'P08'!$E83&amp;" "&amp;CHAR(10)&amp;'P08'!$F83,'P08'!$E83)</f>
        <v>0</v>
      </c>
      <c r="N87" s="89">
        <f>IF('P09'!$E83&gt;"",'P09'!$E83&amp;" "&amp;CHAR(10)&amp;'P09'!$F83,'P09'!$E83)</f>
        <v>0</v>
      </c>
      <c r="O87" s="89">
        <f>IF('P10'!$E83&gt;"",'P10'!$E83&amp;" "&amp;CHAR(10)&amp;'P10'!$F83,'P10'!$E83)</f>
        <v>0</v>
      </c>
      <c r="P87" s="89">
        <f>IF('P11'!$E83&gt;"",'P11'!$E83&amp;" "&amp;CHAR(10)&amp;'P11'!$F83,'P11'!$E83)</f>
        <v>0</v>
      </c>
      <c r="Q87" s="89">
        <f>IF('P12'!$E83&gt;"",'P12'!$E83&amp;" "&amp;CHAR(10)&amp;'P12'!$F83,'P12'!$E83)</f>
        <v>0</v>
      </c>
      <c r="R87" s="89">
        <f>IF('P13'!$E83&gt;"",'P13'!$E83&amp;" "&amp;CHAR(10)&amp;'P13'!$F83,'P13'!$E83)</f>
        <v>0</v>
      </c>
      <c r="S87" s="89">
        <f>IF('P14'!$E83&gt;"",'P14'!$E83&amp;" "&amp;CHAR(10)&amp;'P14'!$F83,'P14'!$E83)</f>
        <v>0</v>
      </c>
      <c r="T87" s="89">
        <f>IF('P15'!$E83&gt;"",'P15'!$E83&amp;" "&amp;CHAR(10)&amp;'P15'!$F83,'P15'!$E83)</f>
        <v>0</v>
      </c>
      <c r="U87" s="89">
        <f>IF('P16'!$E83&gt;"",'P16'!$E83&amp;" "&amp;CHAR(10)&amp;'P16'!$F83,'P16'!$E83)</f>
        <v>0</v>
      </c>
      <c r="V87" s="89">
        <f>IF('P17'!$E83&gt;"",'P17'!$E83&amp;" "&amp;CHAR(10)&amp;'P17'!$F83,'P17'!$E83)</f>
        <v>0</v>
      </c>
      <c r="W87" s="89">
        <f>IF('P18'!$E83&gt;"",'P18'!$E83&amp;" "&amp;CHAR(10)&amp;'P18'!$F83,'P18'!$E83)</f>
        <v>0</v>
      </c>
      <c r="X87" s="89">
        <f>IF('P19'!$E83&gt;"",'P19'!$E83&amp;" "&amp;CHAR(10)&amp;'P19'!$F83,'P19'!$E83)</f>
        <v>0</v>
      </c>
      <c r="Y87" s="89">
        <f>IF('P20'!$E83&gt;"",'P20'!$E83&amp;" "&amp;CHAR(10)&amp;'P20'!$F83,'P20'!$E83)</f>
        <v>0</v>
      </c>
      <c r="Z87" s="89">
        <f>IF('P21'!$E83&gt;"",'P21'!$E83&amp;" "&amp;CHAR(10)&amp;'P21'!$F83,'P21'!$E83)</f>
        <v>0</v>
      </c>
      <c r="AA87" s="89">
        <f>IF('P22'!$E83&gt;"",'P22'!$E83&amp;" "&amp;CHAR(10)&amp;'P22'!$F83,'P22'!$E83)</f>
        <v>0</v>
      </c>
      <c r="AB87" s="89">
        <f>IF('P23'!$E83&gt;"",'P23'!$E83&amp;" "&amp;CHAR(10)&amp;'P23'!$F83,'P23'!$E83)</f>
        <v>0</v>
      </c>
      <c r="AC87" s="89">
        <f>IF('P24'!$E83&gt;"",'P24'!$E83&amp;" "&amp;CHAR(10)&amp;'P24'!$F83,'P24'!$E83)</f>
        <v>0</v>
      </c>
      <c r="AD87" s="89">
        <f>IF('P25'!$E83&gt;"",'P25'!$E83&amp;" "&amp;CHAR(10)&amp;'P25'!$F83,'P25'!$E83)</f>
        <v>0</v>
      </c>
      <c r="AE87" s="89">
        <f>IF('P26'!$E83&gt;"",'P26'!$E83&amp;" "&amp;CHAR(10)&amp;'P26'!$F83,'P26'!$E83)</f>
        <v>0</v>
      </c>
      <c r="AF87" s="89">
        <f>IF('P27'!$E83&gt;"",'P27'!$E83&amp;" "&amp;CHAR(10)&amp;'P27'!$F83,'P27'!$E83)</f>
        <v>0</v>
      </c>
      <c r="AG87" s="89">
        <f>IF('P28'!$E83&gt;"",'P28'!$E83&amp;" "&amp;CHAR(10)&amp;'P28'!$F83,'P28'!$E83)</f>
        <v>0</v>
      </c>
      <c r="AH87" s="89">
        <f>IF('P29'!$E83&gt;"",'P29'!$E83&amp;" "&amp;CHAR(10)&amp;'P29'!$F83,'P29'!$E83)</f>
        <v>0</v>
      </c>
      <c r="AI87" s="89">
        <f>IF('P30'!$E83&gt;"",'P30'!$E83&amp;" "&amp;CHAR(10)&amp;'P30'!$F83,'P30'!$E83)</f>
        <v>0</v>
      </c>
      <c r="AJ87" s="89">
        <f>IF('P31'!$E83&gt;"",'P31'!$E83&amp;" "&amp;CHAR(10)&amp;'P31'!$F83,'P31'!$E83)</f>
        <v>0</v>
      </c>
      <c r="AK87" s="89">
        <f>IF('P32'!$E83&gt;"",'P32'!$E83&amp;" "&amp;CHAR(10)&amp;'P32'!$F83,'P32'!$E83)</f>
        <v>0</v>
      </c>
      <c r="AL87" s="89">
        <f>IF('P33'!$E83&gt;"",'P33'!$E83&amp;" "&amp;CHAR(10)&amp;'P33'!$F83,'P33'!$E83)</f>
        <v>0</v>
      </c>
      <c r="AM87" s="89">
        <f>IF('P34'!$E83&gt;"",'P34'!$E83&amp;" "&amp;CHAR(10)&amp;'P34'!$F83,'P34'!$E83)</f>
        <v>0</v>
      </c>
      <c r="AN87" s="89">
        <f>IF('P35'!$E83&gt;"",'P35'!$E83&amp;" "&amp;CHAR(10)&amp;'P35'!$F83,'P35'!$E83)</f>
        <v>0</v>
      </c>
      <c r="AO87" s="89">
        <f>IF('P36'!$E83&gt;"",'P36'!$E83&amp;" "&amp;CHAR(10)&amp;'P36'!$F83,'P36'!$E83)</f>
        <v>0</v>
      </c>
      <c r="AP87" s="89">
        <f>IF('P37'!$E83&gt;"",'P37'!$E83&amp;" "&amp;CHAR(10)&amp;'P37'!$F83,'P37'!$E83)</f>
        <v>0</v>
      </c>
      <c r="AQ87" s="89">
        <f>IF('P38'!$E83&gt;"",'P38'!$E83&amp;" "&amp;CHAR(10)&amp;'P38'!$F83,'P38'!$E83)</f>
        <v>0</v>
      </c>
      <c r="AR87" s="89">
        <f>IF('P39'!$E83&gt;"",'P39'!$E83&amp;" "&amp;CHAR(10)&amp;'P39'!$F83,'P39'!$E83)</f>
        <v>0</v>
      </c>
      <c r="AS87" s="89">
        <f>IF('P40'!$E83&gt;"",'P40'!$E83&amp;" "&amp;CHAR(10)&amp;'P40'!$F83,'P40'!$E83)</f>
        <v>0</v>
      </c>
      <c r="AT87" s="55">
        <f t="shared" si="9"/>
        <v>0</v>
      </c>
      <c r="AU87" s="9">
        <f t="shared" si="10"/>
        <v>0</v>
      </c>
      <c r="AV87" s="55">
        <f t="shared" si="11"/>
        <v>0</v>
      </c>
      <c r="AW87" s="38" t="str">
        <f t="shared" si="12"/>
        <v>NT</v>
      </c>
      <c r="AX87" s="12"/>
      <c r="AY87" s="10"/>
      <c r="AZ87" s="10"/>
      <c r="BA87" s="10" t="str">
        <f>IF('P01'!$G83&lt;&gt;"", 'P01'!$G83, "non")</f>
        <v>non</v>
      </c>
      <c r="BB87" s="10" t="str">
        <f>IF('P02'!$G83&lt;&gt;"", 'P02'!$G83, "non")</f>
        <v>non</v>
      </c>
      <c r="BC87" s="10" t="str">
        <f>IF('P03'!$G83&lt;&gt;"", 'P03'!$G83, "non")</f>
        <v>non</v>
      </c>
      <c r="BD87" s="10" t="str">
        <f>IF('P04'!$G83&lt;&gt;"", 'P04'!$G83, "non")</f>
        <v>non</v>
      </c>
      <c r="BE87" s="10" t="str">
        <f>IF('P05'!$G83&lt;&gt;"", 'P05'!$G83, "non")</f>
        <v>non</v>
      </c>
      <c r="BF87" s="10" t="str">
        <f>IF('P06'!$G83&lt;&gt;"", 'P06'!$G83, "non")</f>
        <v>non</v>
      </c>
      <c r="BG87" s="10" t="str">
        <f>IF('P07'!$G83&lt;&gt;"", 'P07'!$G83, "non")</f>
        <v>non</v>
      </c>
      <c r="BH87" s="10" t="str">
        <f>IF('P08'!$G83&lt;&gt;"", 'P08'!$G83, "non")</f>
        <v>non</v>
      </c>
      <c r="BI87" s="10" t="str">
        <f>IF('P09'!$G83&lt;&gt;"", 'P09'!$G83, "non")</f>
        <v>non</v>
      </c>
      <c r="BJ87" s="10" t="str">
        <f>IF('P10'!$G83&lt;&gt;"", 'P10'!$G83, "non")</f>
        <v>non</v>
      </c>
      <c r="BK87" s="10" t="str">
        <f>IF('P11'!$G83&lt;&gt;"", 'P11'!$G83, "non")</f>
        <v>non</v>
      </c>
      <c r="BL87" s="10" t="str">
        <f>IF('P12'!$G83&lt;&gt;"", 'P12'!$G83, "non")</f>
        <v>non</v>
      </c>
      <c r="BM87" s="10" t="str">
        <f>IF('P13'!$G83&lt;&gt;"", 'P13'!$G83, "non")</f>
        <v>non</v>
      </c>
      <c r="BN87" s="10" t="str">
        <f>IF('P14'!$G83&lt;&gt;"", 'P14'!$G83, "non")</f>
        <v>non</v>
      </c>
      <c r="BO87" s="10" t="str">
        <f>IF('P15'!$G83&lt;&gt;"", 'P15'!$G83, "non")</f>
        <v>non</v>
      </c>
      <c r="BP87" s="10" t="str">
        <f>IF('P16'!$G83&lt;&gt;"", 'P16'!$G83, "non")</f>
        <v>non</v>
      </c>
      <c r="BQ87" s="10" t="str">
        <f>IF('P17'!$G83&lt;&gt;"", 'P17'!$G83, "non")</f>
        <v>non</v>
      </c>
      <c r="BR87" s="10" t="str">
        <f>IF('P18'!$G83&lt;&gt;"", 'P18'!$G83, "non")</f>
        <v>non</v>
      </c>
      <c r="BS87" s="10" t="str">
        <f>IF('P19'!$G83&lt;&gt;"", 'P19'!$G83, "non")</f>
        <v>non</v>
      </c>
      <c r="BT87" s="11" t="str">
        <f>IF('P20'!$G83&lt;&gt;"", 'P20'!$G83, "non")</f>
        <v>non</v>
      </c>
      <c r="BU87" s="10" t="str">
        <f>IF('P21'!$G83&lt;&gt;"", 'P21'!$G83, "non")</f>
        <v>non</v>
      </c>
      <c r="BV87" s="11" t="str">
        <f>IF('P22'!$G83&lt;&gt;"", 'P22'!$G83, "non")</f>
        <v>non</v>
      </c>
      <c r="BW87" s="10" t="str">
        <f>IF('P23'!$G83&lt;&gt;"", 'P23'!$G83, "non")</f>
        <v>non</v>
      </c>
      <c r="BX87" s="11" t="str">
        <f>IF('P24'!$G83&lt;&gt;"", 'P24'!$G83, "non")</f>
        <v>non</v>
      </c>
      <c r="BY87" s="10" t="str">
        <f>IF('P25'!$G83&lt;&gt;"", 'P25'!$G83, "non")</f>
        <v>non</v>
      </c>
      <c r="BZ87" s="11" t="str">
        <f>IF('P26'!$G83&lt;&gt;"", 'P26'!$G83, "non")</f>
        <v>non</v>
      </c>
      <c r="CA87" s="10" t="str">
        <f>IF('P27'!$G83&lt;&gt;"", 'P27'!$G83, "non")</f>
        <v>non</v>
      </c>
      <c r="CB87" s="11" t="str">
        <f>IF('P28'!$G83&lt;&gt;"", 'P28'!$G83, "non")</f>
        <v>non</v>
      </c>
      <c r="CC87" s="10" t="str">
        <f>IF('P29'!$G83&lt;&gt;"", 'P29'!$G83, "non")</f>
        <v>non</v>
      </c>
      <c r="CD87" s="11" t="str">
        <f>IF('P30'!$G83&lt;&gt;"", 'P30'!$G83, "non")</f>
        <v>non</v>
      </c>
      <c r="CE87" s="10" t="str">
        <f>IF('P31'!$G83&lt;&gt;"", 'P31'!$G83, "non")</f>
        <v>non</v>
      </c>
      <c r="CF87" s="11" t="str">
        <f>IF('P32'!$G83&lt;&gt;"", 'P32'!$G83, "non")</f>
        <v>non</v>
      </c>
      <c r="CG87" s="10" t="str">
        <f>IF('P33'!$G83&lt;&gt;"", 'P33'!$G83, "non")</f>
        <v>non</v>
      </c>
      <c r="CH87" s="10" t="str">
        <f>IF('P34'!$G83&lt;&gt;"", 'P34'!$G83, "non")</f>
        <v>non</v>
      </c>
      <c r="CI87" s="11" t="str">
        <f>IF('P35'!$G83&lt;&gt;"", 'P35'!$G83, "non")</f>
        <v>non</v>
      </c>
      <c r="CJ87" s="10" t="str">
        <f>IF('P36'!$G83&lt;&gt;"", 'P36'!$G83, "non")</f>
        <v>non</v>
      </c>
      <c r="CK87" s="11" t="str">
        <f>IF('P37'!$G83&lt;&gt;"", 'P37'!$G83, "non")</f>
        <v>non</v>
      </c>
      <c r="CL87" s="10" t="str">
        <f>IF('P38'!$G83&lt;&gt;"", 'P38'!$G83, "non")</f>
        <v>non</v>
      </c>
      <c r="CM87" s="11" t="str">
        <f>IF('P39'!$G83&lt;&gt;"", 'P39'!$G83, "non")</f>
        <v>non</v>
      </c>
      <c r="CN87" s="10" t="str">
        <f>IF('P40'!$G83&lt;&gt;"", 'P40'!$G83, "non")</f>
        <v>non</v>
      </c>
    </row>
    <row r="88" spans="1:92" ht="39.75" customHeight="1">
      <c r="A88" s="122" t="str">
        <f>'Critères et tests'!B83</f>
        <v>FORMULAIRES</v>
      </c>
      <c r="B88" s="124" t="str">
        <f>'Critères et tests'!$A83</f>
        <v>11.11</v>
      </c>
      <c r="C88" s="192" t="str">
        <f>VLOOKUP(B88,'Critères et tests'!$1:$1048576,5,FALSE)</f>
        <v>Dans chaque formulaire, le contrôle de saisie est-il accompagné, si nécessaire, de suggestions facilitant la correction des erreurs de saisie ?</v>
      </c>
      <c r="D88" s="124" t="str">
        <f>'Critères et tests'!$C83</f>
        <v>A</v>
      </c>
      <c r="E88" s="156" t="s">
        <v>460</v>
      </c>
      <c r="F88" s="88">
        <f>IF('P01'!$E84&gt;"",'P01'!$E84&amp;" "&amp;CHAR(10)&amp;'P01'!$F84,'P01'!$E84)</f>
        <v>0</v>
      </c>
      <c r="G88" s="89">
        <f>IF('P02'!$E84&gt;"",'P02'!$E84&amp;" "&amp;CHAR(10)&amp;'P02'!$F84,'P02'!$E84)</f>
        <v>0</v>
      </c>
      <c r="H88" s="89">
        <f>IF('P03'!$E84&gt;"",'P03'!$E84&amp;" "&amp;CHAR(10)&amp;'P03'!$F84,'P03'!$E84)</f>
        <v>0</v>
      </c>
      <c r="I88" s="89">
        <f>IF('P04'!$E84&gt;"",'P04'!$E84&amp;" "&amp;CHAR(10)&amp;'P04'!$F84,'P04'!$E84)</f>
        <v>0</v>
      </c>
      <c r="J88" s="89">
        <f>IF('P05'!$E84&gt;"",'P05'!$E84&amp;" "&amp;CHAR(10)&amp;'P05'!$F84,'P05'!$E84)</f>
        <v>0</v>
      </c>
      <c r="K88" s="89">
        <f>IF('P06'!$E84&gt;"",'P06'!$E84&amp;" "&amp;CHAR(10)&amp;'P06'!$F84,'P06'!$E84)</f>
        <v>0</v>
      </c>
      <c r="L88" s="89">
        <f>IF('P07'!$E84&gt;"",'P07'!$E84&amp;" "&amp;CHAR(10)&amp;'P07'!$F84,'P07'!$E84)</f>
        <v>0</v>
      </c>
      <c r="M88" s="89">
        <f>IF('P08'!$E84&gt;"",'P08'!$E84&amp;" "&amp;CHAR(10)&amp;'P08'!$F84,'P08'!$E84)</f>
        <v>0</v>
      </c>
      <c r="N88" s="89">
        <f>IF('P09'!$E84&gt;"",'P09'!$E84&amp;" "&amp;CHAR(10)&amp;'P09'!$F84,'P09'!$E84)</f>
        <v>0</v>
      </c>
      <c r="O88" s="89">
        <f>IF('P10'!$E84&gt;"",'P10'!$E84&amp;" "&amp;CHAR(10)&amp;'P10'!$F84,'P10'!$E84)</f>
        <v>0</v>
      </c>
      <c r="P88" s="89">
        <f>IF('P11'!$E84&gt;"",'P11'!$E84&amp;" "&amp;CHAR(10)&amp;'P11'!$F84,'P11'!$E84)</f>
        <v>0</v>
      </c>
      <c r="Q88" s="89">
        <f>IF('P12'!$E84&gt;"",'P12'!$E84&amp;" "&amp;CHAR(10)&amp;'P12'!$F84,'P12'!$E84)</f>
        <v>0</v>
      </c>
      <c r="R88" s="89">
        <f>IF('P13'!$E84&gt;"",'P13'!$E84&amp;" "&amp;CHAR(10)&amp;'P13'!$F84,'P13'!$E84)</f>
        <v>0</v>
      </c>
      <c r="S88" s="89">
        <f>IF('P14'!$E84&gt;"",'P14'!$E84&amp;" "&amp;CHAR(10)&amp;'P14'!$F84,'P14'!$E84)</f>
        <v>0</v>
      </c>
      <c r="T88" s="89">
        <f>IF('P15'!$E84&gt;"",'P15'!$E84&amp;" "&amp;CHAR(10)&amp;'P15'!$F84,'P15'!$E84)</f>
        <v>0</v>
      </c>
      <c r="U88" s="89">
        <f>IF('P16'!$E84&gt;"",'P16'!$E84&amp;" "&amp;CHAR(10)&amp;'P16'!$F84,'P16'!$E84)</f>
        <v>0</v>
      </c>
      <c r="V88" s="89">
        <f>IF('P17'!$E84&gt;"",'P17'!$E84&amp;" "&amp;CHAR(10)&amp;'P17'!$F84,'P17'!$E84)</f>
        <v>0</v>
      </c>
      <c r="W88" s="89">
        <f>IF('P18'!$E84&gt;"",'P18'!$E84&amp;" "&amp;CHAR(10)&amp;'P18'!$F84,'P18'!$E84)</f>
        <v>0</v>
      </c>
      <c r="X88" s="89">
        <f>IF('P19'!$E84&gt;"",'P19'!$E84&amp;" "&amp;CHAR(10)&amp;'P19'!$F84,'P19'!$E84)</f>
        <v>0</v>
      </c>
      <c r="Y88" s="89">
        <f>IF('P20'!$E84&gt;"",'P20'!$E84&amp;" "&amp;CHAR(10)&amp;'P20'!$F84,'P20'!$E84)</f>
        <v>0</v>
      </c>
      <c r="Z88" s="89">
        <f>IF('P21'!$E84&gt;"",'P21'!$E84&amp;" "&amp;CHAR(10)&amp;'P21'!$F84,'P21'!$E84)</f>
        <v>0</v>
      </c>
      <c r="AA88" s="89">
        <f>IF('P22'!$E84&gt;"",'P22'!$E84&amp;" "&amp;CHAR(10)&amp;'P22'!$F84,'P22'!$E84)</f>
        <v>0</v>
      </c>
      <c r="AB88" s="89">
        <f>IF('P23'!$E84&gt;"",'P23'!$E84&amp;" "&amp;CHAR(10)&amp;'P23'!$F84,'P23'!$E84)</f>
        <v>0</v>
      </c>
      <c r="AC88" s="89">
        <f>IF('P24'!$E84&gt;"",'P24'!$E84&amp;" "&amp;CHAR(10)&amp;'P24'!$F84,'P24'!$E84)</f>
        <v>0</v>
      </c>
      <c r="AD88" s="89">
        <f>IF('P25'!$E84&gt;"",'P25'!$E84&amp;" "&amp;CHAR(10)&amp;'P25'!$F84,'P25'!$E84)</f>
        <v>0</v>
      </c>
      <c r="AE88" s="89">
        <f>IF('P26'!$E84&gt;"",'P26'!$E84&amp;" "&amp;CHAR(10)&amp;'P26'!$F84,'P26'!$E84)</f>
        <v>0</v>
      </c>
      <c r="AF88" s="89">
        <f>IF('P27'!$E84&gt;"",'P27'!$E84&amp;" "&amp;CHAR(10)&amp;'P27'!$F84,'P27'!$E84)</f>
        <v>0</v>
      </c>
      <c r="AG88" s="89">
        <f>IF('P28'!$E84&gt;"",'P28'!$E84&amp;" "&amp;CHAR(10)&amp;'P28'!$F84,'P28'!$E84)</f>
        <v>0</v>
      </c>
      <c r="AH88" s="89">
        <f>IF('P29'!$E84&gt;"",'P29'!$E84&amp;" "&amp;CHAR(10)&amp;'P29'!$F84,'P29'!$E84)</f>
        <v>0</v>
      </c>
      <c r="AI88" s="89">
        <f>IF('P30'!$E84&gt;"",'P30'!$E84&amp;" "&amp;CHAR(10)&amp;'P30'!$F84,'P30'!$E84)</f>
        <v>0</v>
      </c>
      <c r="AJ88" s="89">
        <f>IF('P31'!$E84&gt;"",'P31'!$E84&amp;" "&amp;CHAR(10)&amp;'P31'!$F84,'P31'!$E84)</f>
        <v>0</v>
      </c>
      <c r="AK88" s="89">
        <f>IF('P32'!$E84&gt;"",'P32'!$E84&amp;" "&amp;CHAR(10)&amp;'P32'!$F84,'P32'!$E84)</f>
        <v>0</v>
      </c>
      <c r="AL88" s="89">
        <f>IF('P33'!$E84&gt;"",'P33'!$E84&amp;" "&amp;CHAR(10)&amp;'P33'!$F84,'P33'!$E84)</f>
        <v>0</v>
      </c>
      <c r="AM88" s="89">
        <f>IF('P34'!$E84&gt;"",'P34'!$E84&amp;" "&amp;CHAR(10)&amp;'P34'!$F84,'P34'!$E84)</f>
        <v>0</v>
      </c>
      <c r="AN88" s="89">
        <f>IF('P35'!$E84&gt;"",'P35'!$E84&amp;" "&amp;CHAR(10)&amp;'P35'!$F84,'P35'!$E84)</f>
        <v>0</v>
      </c>
      <c r="AO88" s="89">
        <f>IF('P36'!$E84&gt;"",'P36'!$E84&amp;" "&amp;CHAR(10)&amp;'P36'!$F84,'P36'!$E84)</f>
        <v>0</v>
      </c>
      <c r="AP88" s="89">
        <f>IF('P37'!$E84&gt;"",'P37'!$E84&amp;" "&amp;CHAR(10)&amp;'P37'!$F84,'P37'!$E84)</f>
        <v>0</v>
      </c>
      <c r="AQ88" s="89">
        <f>IF('P38'!$E84&gt;"",'P38'!$E84&amp;" "&amp;CHAR(10)&amp;'P38'!$F84,'P38'!$E84)</f>
        <v>0</v>
      </c>
      <c r="AR88" s="89">
        <f>IF('P39'!$E84&gt;"",'P39'!$E84&amp;" "&amp;CHAR(10)&amp;'P39'!$F84,'P39'!$E84)</f>
        <v>0</v>
      </c>
      <c r="AS88" s="89">
        <f>IF('P40'!$E84&gt;"",'P40'!$E84&amp;" "&amp;CHAR(10)&amp;'P40'!$F84,'P40'!$E84)</f>
        <v>0</v>
      </c>
      <c r="AT88" s="55">
        <f t="shared" si="9"/>
        <v>0</v>
      </c>
      <c r="AU88" s="9">
        <f t="shared" si="10"/>
        <v>0</v>
      </c>
      <c r="AV88" s="55">
        <f t="shared" si="11"/>
        <v>0</v>
      </c>
      <c r="AW88" s="38" t="str">
        <f t="shared" si="12"/>
        <v>NT</v>
      </c>
      <c r="AX88" s="12"/>
      <c r="AY88" s="10"/>
      <c r="AZ88" s="10"/>
      <c r="BA88" s="10" t="str">
        <f>IF('P01'!$G84&lt;&gt;"", 'P01'!$G84, "non")</f>
        <v>non</v>
      </c>
      <c r="BB88" s="10" t="str">
        <f>IF('P02'!$G84&lt;&gt;"", 'P02'!$G84, "non")</f>
        <v>non</v>
      </c>
      <c r="BC88" s="10" t="str">
        <f>IF('P03'!$G84&lt;&gt;"", 'P03'!$G84, "non")</f>
        <v>non</v>
      </c>
      <c r="BD88" s="10" t="str">
        <f>IF('P04'!$G84&lt;&gt;"", 'P04'!$G84, "non")</f>
        <v>non</v>
      </c>
      <c r="BE88" s="10" t="str">
        <f>IF('P05'!$G84&lt;&gt;"", 'P05'!$G84, "non")</f>
        <v>non</v>
      </c>
      <c r="BF88" s="10" t="str">
        <f>IF('P06'!$G84&lt;&gt;"", 'P06'!$G84, "non")</f>
        <v>non</v>
      </c>
      <c r="BG88" s="10" t="str">
        <f>IF('P07'!$G84&lt;&gt;"", 'P07'!$G84, "non")</f>
        <v>non</v>
      </c>
      <c r="BH88" s="10" t="str">
        <f>IF('P08'!$G84&lt;&gt;"", 'P08'!$G84, "non")</f>
        <v>non</v>
      </c>
      <c r="BI88" s="10" t="str">
        <f>IF('P09'!$G84&lt;&gt;"", 'P09'!$G84, "non")</f>
        <v>non</v>
      </c>
      <c r="BJ88" s="10" t="str">
        <f>IF('P10'!$G84&lt;&gt;"", 'P10'!$G84, "non")</f>
        <v>non</v>
      </c>
      <c r="BK88" s="10" t="str">
        <f>IF('P11'!$G84&lt;&gt;"", 'P11'!$G84, "non")</f>
        <v>non</v>
      </c>
      <c r="BL88" s="10" t="str">
        <f>IF('P12'!$G84&lt;&gt;"", 'P12'!$G84, "non")</f>
        <v>non</v>
      </c>
      <c r="BM88" s="10" t="str">
        <f>IF('P13'!$G84&lt;&gt;"", 'P13'!$G84, "non")</f>
        <v>non</v>
      </c>
      <c r="BN88" s="10" t="str">
        <f>IF('P14'!$G84&lt;&gt;"", 'P14'!$G84, "non")</f>
        <v>non</v>
      </c>
      <c r="BO88" s="10" t="str">
        <f>IF('P15'!$G84&lt;&gt;"", 'P15'!$G84, "non")</f>
        <v>non</v>
      </c>
      <c r="BP88" s="10" t="str">
        <f>IF('P16'!$G84&lt;&gt;"", 'P16'!$G84, "non")</f>
        <v>non</v>
      </c>
      <c r="BQ88" s="10" t="str">
        <f>IF('P17'!$G84&lt;&gt;"", 'P17'!$G84, "non")</f>
        <v>non</v>
      </c>
      <c r="BR88" s="10" t="str">
        <f>IF('P18'!$G84&lt;&gt;"", 'P18'!$G84, "non")</f>
        <v>non</v>
      </c>
      <c r="BS88" s="10" t="str">
        <f>IF('P19'!$G84&lt;&gt;"", 'P19'!$G84, "non")</f>
        <v>non</v>
      </c>
      <c r="BT88" s="11" t="str">
        <f>IF('P20'!$G84&lt;&gt;"", 'P20'!$G84, "non")</f>
        <v>non</v>
      </c>
      <c r="BU88" s="10" t="str">
        <f>IF('P21'!$G84&lt;&gt;"", 'P21'!$G84, "non")</f>
        <v>non</v>
      </c>
      <c r="BV88" s="11" t="str">
        <f>IF('P22'!$G84&lt;&gt;"", 'P22'!$G84, "non")</f>
        <v>non</v>
      </c>
      <c r="BW88" s="10" t="str">
        <f>IF('P23'!$G84&lt;&gt;"", 'P23'!$G84, "non")</f>
        <v>non</v>
      </c>
      <c r="BX88" s="11" t="str">
        <f>IF('P24'!$G84&lt;&gt;"", 'P24'!$G84, "non")</f>
        <v>non</v>
      </c>
      <c r="BY88" s="10" t="str">
        <f>IF('P25'!$G84&lt;&gt;"", 'P25'!$G84, "non")</f>
        <v>non</v>
      </c>
      <c r="BZ88" s="11" t="str">
        <f>IF('P26'!$G84&lt;&gt;"", 'P26'!$G84, "non")</f>
        <v>non</v>
      </c>
      <c r="CA88" s="10" t="str">
        <f>IF('P27'!$G84&lt;&gt;"", 'P27'!$G84, "non")</f>
        <v>non</v>
      </c>
      <c r="CB88" s="11" t="str">
        <f>IF('P28'!$G84&lt;&gt;"", 'P28'!$G84, "non")</f>
        <v>non</v>
      </c>
      <c r="CC88" s="10" t="str">
        <f>IF('P29'!$G84&lt;&gt;"", 'P29'!$G84, "non")</f>
        <v>non</v>
      </c>
      <c r="CD88" s="11" t="str">
        <f>IF('P30'!$G84&lt;&gt;"", 'P30'!$G84, "non")</f>
        <v>non</v>
      </c>
      <c r="CE88" s="10" t="str">
        <f>IF('P31'!$G84&lt;&gt;"", 'P31'!$G84, "non")</f>
        <v>non</v>
      </c>
      <c r="CF88" s="11" t="str">
        <f>IF('P32'!$G84&lt;&gt;"", 'P32'!$G84, "non")</f>
        <v>non</v>
      </c>
      <c r="CG88" s="10" t="str">
        <f>IF('P33'!$G84&lt;&gt;"", 'P33'!$G84, "non")</f>
        <v>non</v>
      </c>
      <c r="CH88" s="10" t="str">
        <f>IF('P34'!$G84&lt;&gt;"", 'P34'!$G84, "non")</f>
        <v>non</v>
      </c>
      <c r="CI88" s="11" t="str">
        <f>IF('P35'!$G84&lt;&gt;"", 'P35'!$G84, "non")</f>
        <v>non</v>
      </c>
      <c r="CJ88" s="10" t="str">
        <f>IF('P36'!$G84&lt;&gt;"", 'P36'!$G84, "non")</f>
        <v>non</v>
      </c>
      <c r="CK88" s="11" t="str">
        <f>IF('P37'!$G84&lt;&gt;"", 'P37'!$G84, "non")</f>
        <v>non</v>
      </c>
      <c r="CL88" s="10" t="str">
        <f>IF('P38'!$G84&lt;&gt;"", 'P38'!$G84, "non")</f>
        <v>non</v>
      </c>
      <c r="CM88" s="11" t="str">
        <f>IF('P39'!$G84&lt;&gt;"", 'P39'!$G84, "non")</f>
        <v>non</v>
      </c>
      <c r="CN88" s="10" t="str">
        <f>IF('P40'!$G84&lt;&gt;"", 'P40'!$G84, "non")</f>
        <v>non</v>
      </c>
    </row>
    <row r="89" spans="1:92" ht="39.75" customHeight="1">
      <c r="A89" s="122" t="str">
        <f>'Critères et tests'!B84</f>
        <v>FORMULAIRES</v>
      </c>
      <c r="B89" s="124" t="str">
        <f>'Critères et tests'!$A84</f>
        <v>11.12</v>
      </c>
      <c r="C89" s="192" t="str">
        <f>VLOOKUP(B89,'Critères et tests'!$1:$1048576,5,FALSE)</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D89" s="124" t="str">
        <f>'Critères et tests'!$C84</f>
        <v>A</v>
      </c>
      <c r="E89" s="156" t="s">
        <v>460</v>
      </c>
      <c r="F89" s="88">
        <f>IF('P01'!$E85&gt;"",'P01'!$E85&amp;" "&amp;CHAR(10)&amp;'P01'!$F85,'P01'!$E85)</f>
        <v>0</v>
      </c>
      <c r="G89" s="89">
        <f>IF('P02'!$E85&gt;"",'P02'!$E85&amp;" "&amp;CHAR(10)&amp;'P02'!$F85,'P02'!$E85)</f>
        <v>0</v>
      </c>
      <c r="H89" s="89">
        <f>IF('P03'!$E85&gt;"",'P03'!$E85&amp;" "&amp;CHAR(10)&amp;'P03'!$F85,'P03'!$E85)</f>
        <v>0</v>
      </c>
      <c r="I89" s="89">
        <f>IF('P04'!$E85&gt;"",'P04'!$E85&amp;" "&amp;CHAR(10)&amp;'P04'!$F85,'P04'!$E85)</f>
        <v>0</v>
      </c>
      <c r="J89" s="89">
        <f>IF('P05'!$E85&gt;"",'P05'!$E85&amp;" "&amp;CHAR(10)&amp;'P05'!$F85,'P05'!$E85)</f>
        <v>0</v>
      </c>
      <c r="K89" s="89">
        <f>IF('P06'!$E85&gt;"",'P06'!$E85&amp;" "&amp;CHAR(10)&amp;'P06'!$F85,'P06'!$E85)</f>
        <v>0</v>
      </c>
      <c r="L89" s="89">
        <f>IF('P07'!$E85&gt;"",'P07'!$E85&amp;" "&amp;CHAR(10)&amp;'P07'!$F85,'P07'!$E85)</f>
        <v>0</v>
      </c>
      <c r="M89" s="89">
        <f>IF('P08'!$E85&gt;"",'P08'!$E85&amp;" "&amp;CHAR(10)&amp;'P08'!$F85,'P08'!$E85)</f>
        <v>0</v>
      </c>
      <c r="N89" s="89">
        <f>IF('P09'!$E85&gt;"",'P09'!$E85&amp;" "&amp;CHAR(10)&amp;'P09'!$F85,'P09'!$E85)</f>
        <v>0</v>
      </c>
      <c r="O89" s="89">
        <f>IF('P10'!$E85&gt;"",'P10'!$E85&amp;" "&amp;CHAR(10)&amp;'P10'!$F85,'P10'!$E85)</f>
        <v>0</v>
      </c>
      <c r="P89" s="89">
        <f>IF('P11'!$E85&gt;"",'P11'!$E85&amp;" "&amp;CHAR(10)&amp;'P11'!$F85,'P11'!$E85)</f>
        <v>0</v>
      </c>
      <c r="Q89" s="89">
        <f>IF('P12'!$E85&gt;"",'P12'!$E85&amp;" "&amp;CHAR(10)&amp;'P12'!$F85,'P12'!$E85)</f>
        <v>0</v>
      </c>
      <c r="R89" s="89">
        <f>IF('P13'!$E85&gt;"",'P13'!$E85&amp;" "&amp;CHAR(10)&amp;'P13'!$F85,'P13'!$E85)</f>
        <v>0</v>
      </c>
      <c r="S89" s="89">
        <f>IF('P14'!$E85&gt;"",'P14'!$E85&amp;" "&amp;CHAR(10)&amp;'P14'!$F85,'P14'!$E85)</f>
        <v>0</v>
      </c>
      <c r="T89" s="89">
        <f>IF('P15'!$E85&gt;"",'P15'!$E85&amp;" "&amp;CHAR(10)&amp;'P15'!$F85,'P15'!$E85)</f>
        <v>0</v>
      </c>
      <c r="U89" s="89">
        <f>IF('P16'!$E85&gt;"",'P16'!$E85&amp;" "&amp;CHAR(10)&amp;'P16'!$F85,'P16'!$E85)</f>
        <v>0</v>
      </c>
      <c r="V89" s="89">
        <f>IF('P17'!$E85&gt;"",'P17'!$E85&amp;" "&amp;CHAR(10)&amp;'P17'!$F85,'P17'!$E85)</f>
        <v>0</v>
      </c>
      <c r="W89" s="89">
        <f>IF('P18'!$E85&gt;"",'P18'!$E85&amp;" "&amp;CHAR(10)&amp;'P18'!$F85,'P18'!$E85)</f>
        <v>0</v>
      </c>
      <c r="X89" s="89">
        <f>IF('P19'!$E85&gt;"",'P19'!$E85&amp;" "&amp;CHAR(10)&amp;'P19'!$F85,'P19'!$E85)</f>
        <v>0</v>
      </c>
      <c r="Y89" s="89">
        <f>IF('P20'!$E85&gt;"",'P20'!$E85&amp;" "&amp;CHAR(10)&amp;'P20'!$F85,'P20'!$E85)</f>
        <v>0</v>
      </c>
      <c r="Z89" s="89">
        <f>IF('P21'!$E85&gt;"",'P21'!$E85&amp;" "&amp;CHAR(10)&amp;'P21'!$F85,'P21'!$E85)</f>
        <v>0</v>
      </c>
      <c r="AA89" s="89">
        <f>IF('P22'!$E85&gt;"",'P22'!$E85&amp;" "&amp;CHAR(10)&amp;'P22'!$F85,'P22'!$E85)</f>
        <v>0</v>
      </c>
      <c r="AB89" s="89">
        <f>IF('P23'!$E85&gt;"",'P23'!$E85&amp;" "&amp;CHAR(10)&amp;'P23'!$F85,'P23'!$E85)</f>
        <v>0</v>
      </c>
      <c r="AC89" s="89">
        <f>IF('P24'!$E85&gt;"",'P24'!$E85&amp;" "&amp;CHAR(10)&amp;'P24'!$F85,'P24'!$E85)</f>
        <v>0</v>
      </c>
      <c r="AD89" s="89">
        <f>IF('P25'!$E85&gt;"",'P25'!$E85&amp;" "&amp;CHAR(10)&amp;'P25'!$F85,'P25'!$E85)</f>
        <v>0</v>
      </c>
      <c r="AE89" s="89">
        <f>IF('P26'!$E85&gt;"",'P26'!$E85&amp;" "&amp;CHAR(10)&amp;'P26'!$F85,'P26'!$E85)</f>
        <v>0</v>
      </c>
      <c r="AF89" s="89">
        <f>IF('P27'!$E85&gt;"",'P27'!$E85&amp;" "&amp;CHAR(10)&amp;'P27'!$F85,'P27'!$E85)</f>
        <v>0</v>
      </c>
      <c r="AG89" s="89">
        <f>IF('P28'!$E85&gt;"",'P28'!$E85&amp;" "&amp;CHAR(10)&amp;'P28'!$F85,'P28'!$E85)</f>
        <v>0</v>
      </c>
      <c r="AH89" s="89">
        <f>IF('P29'!$E85&gt;"",'P29'!$E85&amp;" "&amp;CHAR(10)&amp;'P29'!$F85,'P29'!$E85)</f>
        <v>0</v>
      </c>
      <c r="AI89" s="89">
        <f>IF('P30'!$E85&gt;"",'P30'!$E85&amp;" "&amp;CHAR(10)&amp;'P30'!$F85,'P30'!$E85)</f>
        <v>0</v>
      </c>
      <c r="AJ89" s="89">
        <f>IF('P31'!$E85&gt;"",'P31'!$E85&amp;" "&amp;CHAR(10)&amp;'P31'!$F85,'P31'!$E85)</f>
        <v>0</v>
      </c>
      <c r="AK89" s="89">
        <f>IF('P32'!$E85&gt;"",'P32'!$E85&amp;" "&amp;CHAR(10)&amp;'P32'!$F85,'P32'!$E85)</f>
        <v>0</v>
      </c>
      <c r="AL89" s="89">
        <f>IF('P33'!$E85&gt;"",'P33'!$E85&amp;" "&amp;CHAR(10)&amp;'P33'!$F85,'P33'!$E85)</f>
        <v>0</v>
      </c>
      <c r="AM89" s="89">
        <f>IF('P34'!$E85&gt;"",'P34'!$E85&amp;" "&amp;CHAR(10)&amp;'P34'!$F85,'P34'!$E85)</f>
        <v>0</v>
      </c>
      <c r="AN89" s="89">
        <f>IF('P35'!$E85&gt;"",'P35'!$E85&amp;" "&amp;CHAR(10)&amp;'P35'!$F85,'P35'!$E85)</f>
        <v>0</v>
      </c>
      <c r="AO89" s="89">
        <f>IF('P36'!$E85&gt;"",'P36'!$E85&amp;" "&amp;CHAR(10)&amp;'P36'!$F85,'P36'!$E85)</f>
        <v>0</v>
      </c>
      <c r="AP89" s="89">
        <f>IF('P37'!$E85&gt;"",'P37'!$E85&amp;" "&amp;CHAR(10)&amp;'P37'!$F85,'P37'!$E85)</f>
        <v>0</v>
      </c>
      <c r="AQ89" s="89">
        <f>IF('P38'!$E85&gt;"",'P38'!$E85&amp;" "&amp;CHAR(10)&amp;'P38'!$F85,'P38'!$E85)</f>
        <v>0</v>
      </c>
      <c r="AR89" s="89">
        <f>IF('P39'!$E85&gt;"",'P39'!$E85&amp;" "&amp;CHAR(10)&amp;'P39'!$F85,'P39'!$E85)</f>
        <v>0</v>
      </c>
      <c r="AS89" s="89">
        <f>IF('P40'!$E85&gt;"",'P40'!$E85&amp;" "&amp;CHAR(10)&amp;'P40'!$F85,'P40'!$E85)</f>
        <v>0</v>
      </c>
      <c r="AT89" s="55">
        <f t="shared" si="9"/>
        <v>0</v>
      </c>
      <c r="AU89" s="9">
        <f t="shared" si="10"/>
        <v>0</v>
      </c>
      <c r="AV89" s="55">
        <f t="shared" si="11"/>
        <v>0</v>
      </c>
      <c r="AW89" s="38" t="str">
        <f t="shared" si="12"/>
        <v>NT</v>
      </c>
      <c r="AX89" s="12"/>
      <c r="AY89" s="10"/>
      <c r="AZ89" s="10"/>
      <c r="BA89" s="10" t="str">
        <f>IF('P01'!$G85&lt;&gt;"", 'P01'!$G85, "non")</f>
        <v>non</v>
      </c>
      <c r="BB89" s="10" t="str">
        <f>IF('P02'!$G85&lt;&gt;"", 'P02'!$G85, "non")</f>
        <v>non</v>
      </c>
      <c r="BC89" s="10" t="str">
        <f>IF('P03'!$G85&lt;&gt;"", 'P03'!$G85, "non")</f>
        <v>non</v>
      </c>
      <c r="BD89" s="10" t="str">
        <f>IF('P04'!$G85&lt;&gt;"", 'P04'!$G85, "non")</f>
        <v>non</v>
      </c>
      <c r="BE89" s="10" t="str">
        <f>IF('P05'!$G85&lt;&gt;"", 'P05'!$G85, "non")</f>
        <v>non</v>
      </c>
      <c r="BF89" s="10" t="str">
        <f>IF('P06'!$G85&lt;&gt;"", 'P06'!$G85, "non")</f>
        <v>non</v>
      </c>
      <c r="BG89" s="10" t="str">
        <f>IF('P07'!$G85&lt;&gt;"", 'P07'!$G85, "non")</f>
        <v>non</v>
      </c>
      <c r="BH89" s="10" t="str">
        <f>IF('P08'!$G85&lt;&gt;"", 'P08'!$G85, "non")</f>
        <v>non</v>
      </c>
      <c r="BI89" s="10" t="str">
        <f>IF('P09'!$G85&lt;&gt;"", 'P09'!$G85, "non")</f>
        <v>non</v>
      </c>
      <c r="BJ89" s="10" t="str">
        <f>IF('P10'!$G85&lt;&gt;"", 'P10'!$G85, "non")</f>
        <v>non</v>
      </c>
      <c r="BK89" s="10" t="str">
        <f>IF('P11'!$G85&lt;&gt;"", 'P11'!$G85, "non")</f>
        <v>non</v>
      </c>
      <c r="BL89" s="10" t="str">
        <f>IF('P12'!$G85&lt;&gt;"", 'P12'!$G85, "non")</f>
        <v>non</v>
      </c>
      <c r="BM89" s="10" t="str">
        <f>IF('P13'!$G85&lt;&gt;"", 'P13'!$G85, "non")</f>
        <v>non</v>
      </c>
      <c r="BN89" s="10" t="str">
        <f>IF('P14'!$G85&lt;&gt;"", 'P14'!$G85, "non")</f>
        <v>non</v>
      </c>
      <c r="BO89" s="10" t="str">
        <f>IF('P15'!$G85&lt;&gt;"", 'P15'!$G85, "non")</f>
        <v>non</v>
      </c>
      <c r="BP89" s="10" t="str">
        <f>IF('P16'!$G85&lt;&gt;"", 'P16'!$G85, "non")</f>
        <v>non</v>
      </c>
      <c r="BQ89" s="10" t="str">
        <f>IF('P17'!$G85&lt;&gt;"", 'P17'!$G85, "non")</f>
        <v>non</v>
      </c>
      <c r="BR89" s="10" t="str">
        <f>IF('P18'!$G85&lt;&gt;"", 'P18'!$G85, "non")</f>
        <v>non</v>
      </c>
      <c r="BS89" s="10" t="str">
        <f>IF('P19'!$G85&lt;&gt;"", 'P19'!$G85, "non")</f>
        <v>non</v>
      </c>
      <c r="BT89" s="11" t="str">
        <f>IF('P20'!$G85&lt;&gt;"", 'P20'!$G85, "non")</f>
        <v>non</v>
      </c>
      <c r="BU89" s="10" t="str">
        <f>IF('P21'!$G85&lt;&gt;"", 'P21'!$G85, "non")</f>
        <v>non</v>
      </c>
      <c r="BV89" s="11" t="str">
        <f>IF('P22'!$G85&lt;&gt;"", 'P22'!$G85, "non")</f>
        <v>non</v>
      </c>
      <c r="BW89" s="10" t="str">
        <f>IF('P23'!$G85&lt;&gt;"", 'P23'!$G85, "non")</f>
        <v>non</v>
      </c>
      <c r="BX89" s="11" t="str">
        <f>IF('P24'!$G85&lt;&gt;"", 'P24'!$G85, "non")</f>
        <v>non</v>
      </c>
      <c r="BY89" s="10" t="str">
        <f>IF('P25'!$G85&lt;&gt;"", 'P25'!$G85, "non")</f>
        <v>non</v>
      </c>
      <c r="BZ89" s="11" t="str">
        <f>IF('P26'!$G85&lt;&gt;"", 'P26'!$G85, "non")</f>
        <v>non</v>
      </c>
      <c r="CA89" s="10" t="str">
        <f>IF('P27'!$G85&lt;&gt;"", 'P27'!$G85, "non")</f>
        <v>non</v>
      </c>
      <c r="CB89" s="11" t="str">
        <f>IF('P28'!$G85&lt;&gt;"", 'P28'!$G85, "non")</f>
        <v>non</v>
      </c>
      <c r="CC89" s="10" t="str">
        <f>IF('P29'!$G85&lt;&gt;"", 'P29'!$G85, "non")</f>
        <v>non</v>
      </c>
      <c r="CD89" s="11" t="str">
        <f>IF('P30'!$G85&lt;&gt;"", 'P30'!$G85, "non")</f>
        <v>non</v>
      </c>
      <c r="CE89" s="10" t="str">
        <f>IF('P31'!$G85&lt;&gt;"", 'P31'!$G85, "non")</f>
        <v>non</v>
      </c>
      <c r="CF89" s="11" t="str">
        <f>IF('P32'!$G85&lt;&gt;"", 'P32'!$G85, "non")</f>
        <v>non</v>
      </c>
      <c r="CG89" s="10" t="str">
        <f>IF('P33'!$G85&lt;&gt;"", 'P33'!$G85, "non")</f>
        <v>non</v>
      </c>
      <c r="CH89" s="10" t="str">
        <f>IF('P34'!$G85&lt;&gt;"", 'P34'!$G85, "non")</f>
        <v>non</v>
      </c>
      <c r="CI89" s="11" t="str">
        <f>IF('P35'!$G85&lt;&gt;"", 'P35'!$G85, "non")</f>
        <v>non</v>
      </c>
      <c r="CJ89" s="10" t="str">
        <f>IF('P36'!$G85&lt;&gt;"", 'P36'!$G85, "non")</f>
        <v>non</v>
      </c>
      <c r="CK89" s="11" t="str">
        <f>IF('P37'!$G85&lt;&gt;"", 'P37'!$G85, "non")</f>
        <v>non</v>
      </c>
      <c r="CL89" s="10" t="str">
        <f>IF('P38'!$G85&lt;&gt;"", 'P38'!$G85, "non")</f>
        <v>non</v>
      </c>
      <c r="CM89" s="11" t="str">
        <f>IF('P39'!$G85&lt;&gt;"", 'P39'!$G85, "non")</f>
        <v>non</v>
      </c>
      <c r="CN89" s="10" t="str">
        <f>IF('P40'!$G85&lt;&gt;"", 'P40'!$G85, "non")</f>
        <v>non</v>
      </c>
    </row>
    <row r="90" spans="1:92" ht="39.75" customHeight="1">
      <c r="A90" s="122" t="str">
        <f>'Critères et tests'!B85</f>
        <v>FORMULAIRES</v>
      </c>
      <c r="B90" s="124" t="str">
        <f>'Critères et tests'!$A85</f>
        <v>11.13</v>
      </c>
      <c r="C90" s="192" t="str">
        <f>VLOOKUP(B90,'Critères et tests'!$1:$1048576,5,FALSE)</f>
        <v>La finalité d’un champ de saisie peut-elle être déduite pour faciliter le remplissage automatique des champs avec les données de l’utilisateur ?</v>
      </c>
      <c r="D90" s="124" t="str">
        <f>'Critères et tests'!$C85</f>
        <v>AA</v>
      </c>
      <c r="E90" s="156" t="s">
        <v>460</v>
      </c>
      <c r="F90" s="88">
        <f>IF('P01'!$E86&gt;"",'P01'!$E86&amp;" "&amp;CHAR(10)&amp;'P01'!$F86,'P01'!$E86)</f>
        <v>0</v>
      </c>
      <c r="G90" s="89">
        <f>IF('P02'!$E86&gt;"",'P02'!$E86&amp;" "&amp;CHAR(10)&amp;'P02'!$F86,'P02'!$E86)</f>
        <v>0</v>
      </c>
      <c r="H90" s="89">
        <f>IF('P03'!$E86&gt;"",'P03'!$E86&amp;" "&amp;CHAR(10)&amp;'P03'!$F86,'P03'!$E86)</f>
        <v>0</v>
      </c>
      <c r="I90" s="89">
        <f>IF('P04'!$E86&gt;"",'P04'!$E86&amp;" "&amp;CHAR(10)&amp;'P04'!$F86,'P04'!$E86)</f>
        <v>0</v>
      </c>
      <c r="J90" s="89">
        <f>IF('P05'!$E86&gt;"",'P05'!$E86&amp;" "&amp;CHAR(10)&amp;'P05'!$F86,'P05'!$E86)</f>
        <v>0</v>
      </c>
      <c r="K90" s="89">
        <f>IF('P06'!$E86&gt;"",'P06'!$E86&amp;" "&amp;CHAR(10)&amp;'P06'!$F86,'P06'!$E86)</f>
        <v>0</v>
      </c>
      <c r="L90" s="89">
        <f>IF('P07'!$E86&gt;"",'P07'!$E86&amp;" "&amp;CHAR(10)&amp;'P07'!$F86,'P07'!$E86)</f>
        <v>0</v>
      </c>
      <c r="M90" s="89">
        <f>IF('P08'!$E86&gt;"",'P08'!$E86&amp;" "&amp;CHAR(10)&amp;'P08'!$F86,'P08'!$E86)</f>
        <v>0</v>
      </c>
      <c r="N90" s="89">
        <f>IF('P09'!$E86&gt;"",'P09'!$E86&amp;" "&amp;CHAR(10)&amp;'P09'!$F86,'P09'!$E86)</f>
        <v>0</v>
      </c>
      <c r="O90" s="89">
        <f>IF('P10'!$E86&gt;"",'P10'!$E86&amp;" "&amp;CHAR(10)&amp;'P10'!$F86,'P10'!$E86)</f>
        <v>0</v>
      </c>
      <c r="P90" s="89">
        <f>IF('P11'!$E86&gt;"",'P11'!$E86&amp;" "&amp;CHAR(10)&amp;'P11'!$F86,'P11'!$E86)</f>
        <v>0</v>
      </c>
      <c r="Q90" s="89">
        <f>IF('P12'!$E86&gt;"",'P12'!$E86&amp;" "&amp;CHAR(10)&amp;'P12'!$F86,'P12'!$E86)</f>
        <v>0</v>
      </c>
      <c r="R90" s="89">
        <f>IF('P13'!$E86&gt;"",'P13'!$E86&amp;" "&amp;CHAR(10)&amp;'P13'!$F86,'P13'!$E86)</f>
        <v>0</v>
      </c>
      <c r="S90" s="89">
        <f>IF('P14'!$E86&gt;"",'P14'!$E86&amp;" "&amp;CHAR(10)&amp;'P14'!$F86,'P14'!$E86)</f>
        <v>0</v>
      </c>
      <c r="T90" s="89">
        <f>IF('P15'!$E86&gt;"",'P15'!$E86&amp;" "&amp;CHAR(10)&amp;'P15'!$F86,'P15'!$E86)</f>
        <v>0</v>
      </c>
      <c r="U90" s="89">
        <f>IF('P16'!$E86&gt;"",'P16'!$E86&amp;" "&amp;CHAR(10)&amp;'P16'!$F86,'P16'!$E86)</f>
        <v>0</v>
      </c>
      <c r="V90" s="89">
        <f>IF('P17'!$E86&gt;"",'P17'!$E86&amp;" "&amp;CHAR(10)&amp;'P17'!$F86,'P17'!$E86)</f>
        <v>0</v>
      </c>
      <c r="W90" s="89">
        <f>IF('P18'!$E86&gt;"",'P18'!$E86&amp;" "&amp;CHAR(10)&amp;'P18'!$F86,'P18'!$E86)</f>
        <v>0</v>
      </c>
      <c r="X90" s="89">
        <f>IF('P19'!$E86&gt;"",'P19'!$E86&amp;" "&amp;CHAR(10)&amp;'P19'!$F86,'P19'!$E86)</f>
        <v>0</v>
      </c>
      <c r="Y90" s="89">
        <f>IF('P20'!$E86&gt;"",'P20'!$E86&amp;" "&amp;CHAR(10)&amp;'P20'!$F86,'P20'!$E86)</f>
        <v>0</v>
      </c>
      <c r="Z90" s="89">
        <f>IF('P21'!$E86&gt;"",'P21'!$E86&amp;" "&amp;CHAR(10)&amp;'P21'!$F86,'P21'!$E86)</f>
        <v>0</v>
      </c>
      <c r="AA90" s="89">
        <f>IF('P22'!$E86&gt;"",'P22'!$E86&amp;" "&amp;CHAR(10)&amp;'P22'!$F86,'P22'!$E86)</f>
        <v>0</v>
      </c>
      <c r="AB90" s="89">
        <f>IF('P23'!$E86&gt;"",'P23'!$E86&amp;" "&amp;CHAR(10)&amp;'P23'!$F86,'P23'!$E86)</f>
        <v>0</v>
      </c>
      <c r="AC90" s="89">
        <f>IF('P24'!$E86&gt;"",'P24'!$E86&amp;" "&amp;CHAR(10)&amp;'P24'!$F86,'P24'!$E86)</f>
        <v>0</v>
      </c>
      <c r="AD90" s="89">
        <f>IF('P25'!$E86&gt;"",'P25'!$E86&amp;" "&amp;CHAR(10)&amp;'P25'!$F86,'P25'!$E86)</f>
        <v>0</v>
      </c>
      <c r="AE90" s="89">
        <f>IF('P26'!$E86&gt;"",'P26'!$E86&amp;" "&amp;CHAR(10)&amp;'P26'!$F86,'P26'!$E86)</f>
        <v>0</v>
      </c>
      <c r="AF90" s="89">
        <f>IF('P27'!$E86&gt;"",'P27'!$E86&amp;" "&amp;CHAR(10)&amp;'P27'!$F86,'P27'!$E86)</f>
        <v>0</v>
      </c>
      <c r="AG90" s="89">
        <f>IF('P28'!$E86&gt;"",'P28'!$E86&amp;" "&amp;CHAR(10)&amp;'P28'!$F86,'P28'!$E86)</f>
        <v>0</v>
      </c>
      <c r="AH90" s="89">
        <f>IF('P29'!$E86&gt;"",'P29'!$E86&amp;" "&amp;CHAR(10)&amp;'P29'!$F86,'P29'!$E86)</f>
        <v>0</v>
      </c>
      <c r="AI90" s="89">
        <f>IF('P30'!$E86&gt;"",'P30'!$E86&amp;" "&amp;CHAR(10)&amp;'P30'!$F86,'P30'!$E86)</f>
        <v>0</v>
      </c>
      <c r="AJ90" s="89">
        <f>IF('P31'!$E86&gt;"",'P31'!$E86&amp;" "&amp;CHAR(10)&amp;'P31'!$F86,'P31'!$E86)</f>
        <v>0</v>
      </c>
      <c r="AK90" s="89">
        <f>IF('P32'!$E86&gt;"",'P32'!$E86&amp;" "&amp;CHAR(10)&amp;'P32'!$F86,'P32'!$E86)</f>
        <v>0</v>
      </c>
      <c r="AL90" s="89">
        <f>IF('P33'!$E86&gt;"",'P33'!$E86&amp;" "&amp;CHAR(10)&amp;'P33'!$F86,'P33'!$E86)</f>
        <v>0</v>
      </c>
      <c r="AM90" s="89">
        <f>IF('P34'!$E86&gt;"",'P34'!$E86&amp;" "&amp;CHAR(10)&amp;'P34'!$F86,'P34'!$E86)</f>
        <v>0</v>
      </c>
      <c r="AN90" s="89">
        <f>IF('P35'!$E86&gt;"",'P35'!$E86&amp;" "&amp;CHAR(10)&amp;'P35'!$F86,'P35'!$E86)</f>
        <v>0</v>
      </c>
      <c r="AO90" s="89">
        <f>IF('P36'!$E86&gt;"",'P36'!$E86&amp;" "&amp;CHAR(10)&amp;'P36'!$F86,'P36'!$E86)</f>
        <v>0</v>
      </c>
      <c r="AP90" s="89">
        <f>IF('P37'!$E86&gt;"",'P37'!$E86&amp;" "&amp;CHAR(10)&amp;'P37'!$F86,'P37'!$E86)</f>
        <v>0</v>
      </c>
      <c r="AQ90" s="89">
        <f>IF('P38'!$E86&gt;"",'P38'!$E86&amp;" "&amp;CHAR(10)&amp;'P38'!$F86,'P38'!$E86)</f>
        <v>0</v>
      </c>
      <c r="AR90" s="89">
        <f>IF('P39'!$E86&gt;"",'P39'!$E86&amp;" "&amp;CHAR(10)&amp;'P39'!$F86,'P39'!$E86)</f>
        <v>0</v>
      </c>
      <c r="AS90" s="89">
        <f>IF('P40'!$E86&gt;"",'P40'!$E86&amp;" "&amp;CHAR(10)&amp;'P40'!$F86,'P40'!$E86)</f>
        <v>0</v>
      </c>
      <c r="AT90" s="55">
        <f t="shared" si="9"/>
        <v>0</v>
      </c>
      <c r="AU90" s="9">
        <f t="shared" si="10"/>
        <v>0</v>
      </c>
      <c r="AV90" s="55">
        <f t="shared" si="11"/>
        <v>0</v>
      </c>
      <c r="AW90" s="38" t="str">
        <f t="shared" si="12"/>
        <v>NT</v>
      </c>
      <c r="AX90" s="12"/>
      <c r="AY90" s="10"/>
      <c r="AZ90" s="10"/>
      <c r="BA90" s="10" t="str">
        <f>IF('P01'!$G86&lt;&gt;"", 'P01'!$G86, "non")</f>
        <v>non</v>
      </c>
      <c r="BB90" s="10" t="str">
        <f>IF('P02'!$G86&lt;&gt;"", 'P02'!$G86, "non")</f>
        <v>non</v>
      </c>
      <c r="BC90" s="10" t="str">
        <f>IF('P03'!$G86&lt;&gt;"", 'P03'!$G86, "non")</f>
        <v>non</v>
      </c>
      <c r="BD90" s="10" t="str">
        <f>IF('P04'!$G86&lt;&gt;"", 'P04'!$G86, "non")</f>
        <v>non</v>
      </c>
      <c r="BE90" s="10" t="str">
        <f>IF('P05'!$G86&lt;&gt;"", 'P05'!$G86, "non")</f>
        <v>non</v>
      </c>
      <c r="BF90" s="10" t="str">
        <f>IF('P06'!$G86&lt;&gt;"", 'P06'!$G86, "non")</f>
        <v>non</v>
      </c>
      <c r="BG90" s="10" t="str">
        <f>IF('P07'!$G86&lt;&gt;"", 'P07'!$G86, "non")</f>
        <v>non</v>
      </c>
      <c r="BH90" s="10" t="str">
        <f>IF('P08'!$G86&lt;&gt;"", 'P08'!$G86, "non")</f>
        <v>non</v>
      </c>
      <c r="BI90" s="10" t="str">
        <f>IF('P09'!$G86&lt;&gt;"", 'P09'!$G86, "non")</f>
        <v>non</v>
      </c>
      <c r="BJ90" s="10" t="str">
        <f>IF('P10'!$G86&lt;&gt;"", 'P10'!$G86, "non")</f>
        <v>non</v>
      </c>
      <c r="BK90" s="10" t="str">
        <f>IF('P11'!$G86&lt;&gt;"", 'P11'!$G86, "non")</f>
        <v>non</v>
      </c>
      <c r="BL90" s="10" t="str">
        <f>IF('P12'!$G86&lt;&gt;"", 'P12'!$G86, "non")</f>
        <v>non</v>
      </c>
      <c r="BM90" s="10" t="str">
        <f>IF('P13'!$G86&lt;&gt;"", 'P13'!$G86, "non")</f>
        <v>non</v>
      </c>
      <c r="BN90" s="10" t="str">
        <f>IF('P14'!$G86&lt;&gt;"", 'P14'!$G86, "non")</f>
        <v>non</v>
      </c>
      <c r="BO90" s="10" t="str">
        <f>IF('P15'!$G86&lt;&gt;"", 'P15'!$G86, "non")</f>
        <v>non</v>
      </c>
      <c r="BP90" s="10" t="str">
        <f>IF('P16'!$G86&lt;&gt;"", 'P16'!$G86, "non")</f>
        <v>non</v>
      </c>
      <c r="BQ90" s="10" t="str">
        <f>IF('P17'!$G86&lt;&gt;"", 'P17'!$G86, "non")</f>
        <v>non</v>
      </c>
      <c r="BR90" s="10" t="str">
        <f>IF('P18'!$G86&lt;&gt;"", 'P18'!$G86, "non")</f>
        <v>non</v>
      </c>
      <c r="BS90" s="10" t="str">
        <f>IF('P19'!$G86&lt;&gt;"", 'P19'!$G86, "non")</f>
        <v>non</v>
      </c>
      <c r="BT90" s="11" t="str">
        <f>IF('P20'!$G86&lt;&gt;"", 'P20'!$G86, "non")</f>
        <v>non</v>
      </c>
      <c r="BU90" s="10" t="str">
        <f>IF('P21'!$G86&lt;&gt;"", 'P21'!$G86, "non")</f>
        <v>non</v>
      </c>
      <c r="BV90" s="11" t="str">
        <f>IF('P22'!$G86&lt;&gt;"", 'P22'!$G86, "non")</f>
        <v>non</v>
      </c>
      <c r="BW90" s="10" t="str">
        <f>IF('P23'!$G86&lt;&gt;"", 'P23'!$G86, "non")</f>
        <v>non</v>
      </c>
      <c r="BX90" s="11" t="str">
        <f>IF('P24'!$G86&lt;&gt;"", 'P24'!$G86, "non")</f>
        <v>non</v>
      </c>
      <c r="BY90" s="10" t="str">
        <f>IF('P25'!$G86&lt;&gt;"", 'P25'!$G86, "non")</f>
        <v>non</v>
      </c>
      <c r="BZ90" s="11" t="str">
        <f>IF('P26'!$G86&lt;&gt;"", 'P26'!$G86, "non")</f>
        <v>non</v>
      </c>
      <c r="CA90" s="10" t="str">
        <f>IF('P27'!$G86&lt;&gt;"", 'P27'!$G86, "non")</f>
        <v>non</v>
      </c>
      <c r="CB90" s="11" t="str">
        <f>IF('P28'!$G86&lt;&gt;"", 'P28'!$G86, "non")</f>
        <v>non</v>
      </c>
      <c r="CC90" s="10" t="str">
        <f>IF('P29'!$G86&lt;&gt;"", 'P29'!$G86, "non")</f>
        <v>non</v>
      </c>
      <c r="CD90" s="11" t="str">
        <f>IF('P30'!$G86&lt;&gt;"", 'P30'!$G86, "non")</f>
        <v>non</v>
      </c>
      <c r="CE90" s="10" t="str">
        <f>IF('P31'!$G86&lt;&gt;"", 'P31'!$G86, "non")</f>
        <v>non</v>
      </c>
      <c r="CF90" s="11" t="str">
        <f>IF('P32'!$G86&lt;&gt;"", 'P32'!$G86, "non")</f>
        <v>non</v>
      </c>
      <c r="CG90" s="10" t="str">
        <f>IF('P33'!$G86&lt;&gt;"", 'P33'!$G86, "non")</f>
        <v>non</v>
      </c>
      <c r="CH90" s="10" t="str">
        <f>IF('P34'!$G86&lt;&gt;"", 'P34'!$G86, "non")</f>
        <v>non</v>
      </c>
      <c r="CI90" s="11" t="str">
        <f>IF('P35'!$G86&lt;&gt;"", 'P35'!$G86, "non")</f>
        <v>non</v>
      </c>
      <c r="CJ90" s="10" t="str">
        <f>IF('P36'!$G86&lt;&gt;"", 'P36'!$G86, "non")</f>
        <v>non</v>
      </c>
      <c r="CK90" s="11" t="str">
        <f>IF('P37'!$G86&lt;&gt;"", 'P37'!$G86, "non")</f>
        <v>non</v>
      </c>
      <c r="CL90" s="10" t="str">
        <f>IF('P38'!$G86&lt;&gt;"", 'P38'!$G86, "non")</f>
        <v>non</v>
      </c>
      <c r="CM90" s="11" t="str">
        <f>IF('P39'!$G86&lt;&gt;"", 'P39'!$G86, "non")</f>
        <v>non</v>
      </c>
      <c r="CN90" s="10" t="str">
        <f>IF('P40'!$G86&lt;&gt;"", 'P40'!$G86, "non")</f>
        <v>non</v>
      </c>
    </row>
    <row r="91" spans="1:92" ht="39.75" customHeight="1">
      <c r="A91" s="122" t="str">
        <f>'Critères et tests'!B86</f>
        <v>NAVIGATION</v>
      </c>
      <c r="B91" s="124" t="str">
        <f>'Critères et tests'!$A86</f>
        <v>12.1</v>
      </c>
      <c r="C91" s="192" t="str">
        <f>VLOOKUP(B91,'Critères et tests'!$1:$1048576,5,FALSE)</f>
        <v>Chaque ensemble de pages dispose-t-il de deux systèmes de navigation différents, au moins (hors cas particuliers) ?</v>
      </c>
      <c r="D91" s="124" t="str">
        <f>'Critères et tests'!$C86</f>
        <v>AA</v>
      </c>
      <c r="E91" s="156" t="s">
        <v>460</v>
      </c>
      <c r="F91" s="88">
        <f>IF('P01'!$E87&gt;"",'P01'!$E87&amp;" "&amp;CHAR(10)&amp;'P01'!$F87,'P01'!$E87)</f>
        <v>0</v>
      </c>
      <c r="G91" s="89">
        <f>IF('P02'!$E87&gt;"",'P02'!$E87&amp;" "&amp;CHAR(10)&amp;'P02'!$F87,'P02'!$E87)</f>
        <v>0</v>
      </c>
      <c r="H91" s="89">
        <f>IF('P03'!$E87&gt;"",'P03'!$E87&amp;" "&amp;CHAR(10)&amp;'P03'!$F87,'P03'!$E87)</f>
        <v>0</v>
      </c>
      <c r="I91" s="89">
        <f>IF('P04'!$E87&gt;"",'P04'!$E87&amp;" "&amp;CHAR(10)&amp;'P04'!$F87,'P04'!$E87)</f>
        <v>0</v>
      </c>
      <c r="J91" s="89">
        <f>IF('P05'!$E87&gt;"",'P05'!$E87&amp;" "&amp;CHAR(10)&amp;'P05'!$F87,'P05'!$E87)</f>
        <v>0</v>
      </c>
      <c r="K91" s="89">
        <f>IF('P06'!$E87&gt;"",'P06'!$E87&amp;" "&amp;CHAR(10)&amp;'P06'!$F87,'P06'!$E87)</f>
        <v>0</v>
      </c>
      <c r="L91" s="89">
        <f>IF('P07'!$E87&gt;"",'P07'!$E87&amp;" "&amp;CHAR(10)&amp;'P07'!$F87,'P07'!$E87)</f>
        <v>0</v>
      </c>
      <c r="M91" s="89">
        <f>IF('P08'!$E87&gt;"",'P08'!$E87&amp;" "&amp;CHAR(10)&amp;'P08'!$F87,'P08'!$E87)</f>
        <v>0</v>
      </c>
      <c r="N91" s="89">
        <f>IF('P09'!$E87&gt;"",'P09'!$E87&amp;" "&amp;CHAR(10)&amp;'P09'!$F87,'P09'!$E87)</f>
        <v>0</v>
      </c>
      <c r="O91" s="89">
        <f>IF('P10'!$E87&gt;"",'P10'!$E87&amp;" "&amp;CHAR(10)&amp;'P10'!$F87,'P10'!$E87)</f>
        <v>0</v>
      </c>
      <c r="P91" s="89">
        <f>IF('P11'!$E87&gt;"",'P11'!$E87&amp;" "&amp;CHAR(10)&amp;'P11'!$F87,'P11'!$E87)</f>
        <v>0</v>
      </c>
      <c r="Q91" s="89">
        <f>IF('P12'!$E87&gt;"",'P12'!$E87&amp;" "&amp;CHAR(10)&amp;'P12'!$F87,'P12'!$E87)</f>
        <v>0</v>
      </c>
      <c r="R91" s="89">
        <f>IF('P13'!$E87&gt;"",'P13'!$E87&amp;" "&amp;CHAR(10)&amp;'P13'!$F87,'P13'!$E87)</f>
        <v>0</v>
      </c>
      <c r="S91" s="89">
        <f>IF('P14'!$E87&gt;"",'P14'!$E87&amp;" "&amp;CHAR(10)&amp;'P14'!$F87,'P14'!$E87)</f>
        <v>0</v>
      </c>
      <c r="T91" s="89">
        <f>IF('P15'!$E87&gt;"",'P15'!$E87&amp;" "&amp;CHAR(10)&amp;'P15'!$F87,'P15'!$E87)</f>
        <v>0</v>
      </c>
      <c r="U91" s="89">
        <f>IF('P16'!$E87&gt;"",'P16'!$E87&amp;" "&amp;CHAR(10)&amp;'P16'!$F87,'P16'!$E87)</f>
        <v>0</v>
      </c>
      <c r="V91" s="89">
        <f>IF('P17'!$E87&gt;"",'P17'!$E87&amp;" "&amp;CHAR(10)&amp;'P17'!$F87,'P17'!$E87)</f>
        <v>0</v>
      </c>
      <c r="W91" s="89">
        <f>IF('P18'!$E87&gt;"",'P18'!$E87&amp;" "&amp;CHAR(10)&amp;'P18'!$F87,'P18'!$E87)</f>
        <v>0</v>
      </c>
      <c r="X91" s="89">
        <f>IF('P19'!$E87&gt;"",'P19'!$E87&amp;" "&amp;CHAR(10)&amp;'P19'!$F87,'P19'!$E87)</f>
        <v>0</v>
      </c>
      <c r="Y91" s="89">
        <f>IF('P20'!$E87&gt;"",'P20'!$E87&amp;" "&amp;CHAR(10)&amp;'P20'!$F87,'P20'!$E87)</f>
        <v>0</v>
      </c>
      <c r="Z91" s="89">
        <f>IF('P21'!$E87&gt;"",'P21'!$E87&amp;" "&amp;CHAR(10)&amp;'P21'!$F87,'P21'!$E87)</f>
        <v>0</v>
      </c>
      <c r="AA91" s="89">
        <f>IF('P22'!$E87&gt;"",'P22'!$E87&amp;" "&amp;CHAR(10)&amp;'P22'!$F87,'P22'!$E87)</f>
        <v>0</v>
      </c>
      <c r="AB91" s="89">
        <f>IF('P23'!$E87&gt;"",'P23'!$E87&amp;" "&amp;CHAR(10)&amp;'P23'!$F87,'P23'!$E87)</f>
        <v>0</v>
      </c>
      <c r="AC91" s="89">
        <f>IF('P24'!$E87&gt;"",'P24'!$E87&amp;" "&amp;CHAR(10)&amp;'P24'!$F87,'P24'!$E87)</f>
        <v>0</v>
      </c>
      <c r="AD91" s="89">
        <f>IF('P25'!$E87&gt;"",'P25'!$E87&amp;" "&amp;CHAR(10)&amp;'P25'!$F87,'P25'!$E87)</f>
        <v>0</v>
      </c>
      <c r="AE91" s="89">
        <f>IF('P26'!$E87&gt;"",'P26'!$E87&amp;" "&amp;CHAR(10)&amp;'P26'!$F87,'P26'!$E87)</f>
        <v>0</v>
      </c>
      <c r="AF91" s="89">
        <f>IF('P27'!$E87&gt;"",'P27'!$E87&amp;" "&amp;CHAR(10)&amp;'P27'!$F87,'P27'!$E87)</f>
        <v>0</v>
      </c>
      <c r="AG91" s="89">
        <f>IF('P28'!$E87&gt;"",'P28'!$E87&amp;" "&amp;CHAR(10)&amp;'P28'!$F87,'P28'!$E87)</f>
        <v>0</v>
      </c>
      <c r="AH91" s="89">
        <f>IF('P29'!$E87&gt;"",'P29'!$E87&amp;" "&amp;CHAR(10)&amp;'P29'!$F87,'P29'!$E87)</f>
        <v>0</v>
      </c>
      <c r="AI91" s="89">
        <f>IF('P30'!$E87&gt;"",'P30'!$E87&amp;" "&amp;CHAR(10)&amp;'P30'!$F87,'P30'!$E87)</f>
        <v>0</v>
      </c>
      <c r="AJ91" s="89">
        <f>IF('P31'!$E87&gt;"",'P31'!$E87&amp;" "&amp;CHAR(10)&amp;'P31'!$F87,'P31'!$E87)</f>
        <v>0</v>
      </c>
      <c r="AK91" s="89">
        <f>IF('P32'!$E87&gt;"",'P32'!$E87&amp;" "&amp;CHAR(10)&amp;'P32'!$F87,'P32'!$E87)</f>
        <v>0</v>
      </c>
      <c r="AL91" s="89">
        <f>IF('P33'!$E87&gt;"",'P33'!$E87&amp;" "&amp;CHAR(10)&amp;'P33'!$F87,'P33'!$E87)</f>
        <v>0</v>
      </c>
      <c r="AM91" s="89">
        <f>IF('P34'!$E87&gt;"",'P34'!$E87&amp;" "&amp;CHAR(10)&amp;'P34'!$F87,'P34'!$E87)</f>
        <v>0</v>
      </c>
      <c r="AN91" s="89">
        <f>IF('P35'!$E87&gt;"",'P35'!$E87&amp;" "&amp;CHAR(10)&amp;'P35'!$F87,'P35'!$E87)</f>
        <v>0</v>
      </c>
      <c r="AO91" s="89">
        <f>IF('P36'!$E87&gt;"",'P36'!$E87&amp;" "&amp;CHAR(10)&amp;'P36'!$F87,'P36'!$E87)</f>
        <v>0</v>
      </c>
      <c r="AP91" s="89">
        <f>IF('P37'!$E87&gt;"",'P37'!$E87&amp;" "&amp;CHAR(10)&amp;'P37'!$F87,'P37'!$E87)</f>
        <v>0</v>
      </c>
      <c r="AQ91" s="89">
        <f>IF('P38'!$E87&gt;"",'P38'!$E87&amp;" "&amp;CHAR(10)&amp;'P38'!$F87,'P38'!$E87)</f>
        <v>0</v>
      </c>
      <c r="AR91" s="89">
        <f>IF('P39'!$E87&gt;"",'P39'!$E87&amp;" "&amp;CHAR(10)&amp;'P39'!$F87,'P39'!$E87)</f>
        <v>0</v>
      </c>
      <c r="AS91" s="89">
        <f>IF('P40'!$E87&gt;"",'P40'!$E87&amp;" "&amp;CHAR(10)&amp;'P40'!$F87,'P40'!$E87)</f>
        <v>0</v>
      </c>
      <c r="AT91" s="55">
        <f t="shared" si="9"/>
        <v>0</v>
      </c>
      <c r="AU91" s="9">
        <f t="shared" si="10"/>
        <v>0</v>
      </c>
      <c r="AV91" s="55">
        <f t="shared" si="11"/>
        <v>0</v>
      </c>
      <c r="AW91" s="38" t="str">
        <f t="shared" si="12"/>
        <v>NT</v>
      </c>
      <c r="AX91" s="12"/>
      <c r="AY91" s="10"/>
      <c r="AZ91" s="10"/>
      <c r="BA91" s="10" t="str">
        <f>IF('P01'!$G87&lt;&gt;"", 'P01'!$G87, "non")</f>
        <v>non</v>
      </c>
      <c r="BB91" s="10" t="str">
        <f>IF('P02'!$G87&lt;&gt;"", 'P02'!$G87, "non")</f>
        <v>non</v>
      </c>
      <c r="BC91" s="10" t="str">
        <f>IF('P03'!$G87&lt;&gt;"", 'P03'!$G87, "non")</f>
        <v>non</v>
      </c>
      <c r="BD91" s="10" t="str">
        <f>IF('P04'!$G87&lt;&gt;"", 'P04'!$G87, "non")</f>
        <v>non</v>
      </c>
      <c r="BE91" s="10" t="str">
        <f>IF('P05'!$G87&lt;&gt;"", 'P05'!$G87, "non")</f>
        <v>non</v>
      </c>
      <c r="BF91" s="10" t="str">
        <f>IF('P06'!$G87&lt;&gt;"", 'P06'!$G87, "non")</f>
        <v>non</v>
      </c>
      <c r="BG91" s="10" t="str">
        <f>IF('P07'!$G87&lt;&gt;"", 'P07'!$G87, "non")</f>
        <v>non</v>
      </c>
      <c r="BH91" s="10" t="str">
        <f>IF('P08'!$G87&lt;&gt;"", 'P08'!$G87, "non")</f>
        <v>non</v>
      </c>
      <c r="BI91" s="10" t="str">
        <f>IF('P09'!$G87&lt;&gt;"", 'P09'!$G87, "non")</f>
        <v>non</v>
      </c>
      <c r="BJ91" s="10" t="str">
        <f>IF('P10'!$G87&lt;&gt;"", 'P10'!$G87, "non")</f>
        <v>non</v>
      </c>
      <c r="BK91" s="10" t="str">
        <f>IF('P11'!$G87&lt;&gt;"", 'P11'!$G87, "non")</f>
        <v>non</v>
      </c>
      <c r="BL91" s="10" t="str">
        <f>IF('P12'!$G87&lt;&gt;"", 'P12'!$G87, "non")</f>
        <v>non</v>
      </c>
      <c r="BM91" s="10" t="str">
        <f>IF('P13'!$G87&lt;&gt;"", 'P13'!$G87, "non")</f>
        <v>non</v>
      </c>
      <c r="BN91" s="10" t="str">
        <f>IF('P14'!$G87&lt;&gt;"", 'P14'!$G87, "non")</f>
        <v>non</v>
      </c>
      <c r="BO91" s="10" t="str">
        <f>IF('P15'!$G87&lt;&gt;"", 'P15'!$G87, "non")</f>
        <v>non</v>
      </c>
      <c r="BP91" s="10" t="str">
        <f>IF('P16'!$G87&lt;&gt;"", 'P16'!$G87, "non")</f>
        <v>non</v>
      </c>
      <c r="BQ91" s="10" t="str">
        <f>IF('P17'!$G87&lt;&gt;"", 'P17'!$G87, "non")</f>
        <v>non</v>
      </c>
      <c r="BR91" s="10" t="str">
        <f>IF('P18'!$G87&lt;&gt;"", 'P18'!$G87, "non")</f>
        <v>non</v>
      </c>
      <c r="BS91" s="10" t="str">
        <f>IF('P19'!$G87&lt;&gt;"", 'P19'!$G87, "non")</f>
        <v>non</v>
      </c>
      <c r="BT91" s="11" t="str">
        <f>IF('P20'!$G87&lt;&gt;"", 'P20'!$G87, "non")</f>
        <v>non</v>
      </c>
      <c r="BU91" s="10" t="str">
        <f>IF('P21'!$G87&lt;&gt;"", 'P21'!$G87, "non")</f>
        <v>non</v>
      </c>
      <c r="BV91" s="11" t="str">
        <f>IF('P22'!$G87&lt;&gt;"", 'P22'!$G87, "non")</f>
        <v>non</v>
      </c>
      <c r="BW91" s="10" t="str">
        <f>IF('P23'!$G87&lt;&gt;"", 'P23'!$G87, "non")</f>
        <v>non</v>
      </c>
      <c r="BX91" s="11" t="str">
        <f>IF('P24'!$G87&lt;&gt;"", 'P24'!$G87, "non")</f>
        <v>non</v>
      </c>
      <c r="BY91" s="10" t="str">
        <f>IF('P25'!$G87&lt;&gt;"", 'P25'!$G87, "non")</f>
        <v>non</v>
      </c>
      <c r="BZ91" s="11" t="str">
        <f>IF('P26'!$G87&lt;&gt;"", 'P26'!$G87, "non")</f>
        <v>non</v>
      </c>
      <c r="CA91" s="10" t="str">
        <f>IF('P27'!$G87&lt;&gt;"", 'P27'!$G87, "non")</f>
        <v>non</v>
      </c>
      <c r="CB91" s="11" t="str">
        <f>IF('P28'!$G87&lt;&gt;"", 'P28'!$G87, "non")</f>
        <v>non</v>
      </c>
      <c r="CC91" s="10" t="str">
        <f>IF('P29'!$G87&lt;&gt;"", 'P29'!$G87, "non")</f>
        <v>non</v>
      </c>
      <c r="CD91" s="11" t="str">
        <f>IF('P30'!$G87&lt;&gt;"", 'P30'!$G87, "non")</f>
        <v>non</v>
      </c>
      <c r="CE91" s="10" t="str">
        <f>IF('P31'!$G87&lt;&gt;"", 'P31'!$G87, "non")</f>
        <v>non</v>
      </c>
      <c r="CF91" s="11" t="str">
        <f>IF('P32'!$G87&lt;&gt;"", 'P32'!$G87, "non")</f>
        <v>non</v>
      </c>
      <c r="CG91" s="10" t="str">
        <f>IF('P33'!$G87&lt;&gt;"", 'P33'!$G87, "non")</f>
        <v>non</v>
      </c>
      <c r="CH91" s="10" t="str">
        <f>IF('P34'!$G87&lt;&gt;"", 'P34'!$G87, "non")</f>
        <v>non</v>
      </c>
      <c r="CI91" s="11" t="str">
        <f>IF('P35'!$G87&lt;&gt;"", 'P35'!$G87, "non")</f>
        <v>non</v>
      </c>
      <c r="CJ91" s="10" t="str">
        <f>IF('P36'!$G87&lt;&gt;"", 'P36'!$G87, "non")</f>
        <v>non</v>
      </c>
      <c r="CK91" s="11" t="str">
        <f>IF('P37'!$G87&lt;&gt;"", 'P37'!$G87, "non")</f>
        <v>non</v>
      </c>
      <c r="CL91" s="10" t="str">
        <f>IF('P38'!$G87&lt;&gt;"", 'P38'!$G87, "non")</f>
        <v>non</v>
      </c>
      <c r="CM91" s="11" t="str">
        <f>IF('P39'!$G87&lt;&gt;"", 'P39'!$G87, "non")</f>
        <v>non</v>
      </c>
      <c r="CN91" s="10" t="str">
        <f>IF('P40'!$G87&lt;&gt;"", 'P40'!$G87, "non")</f>
        <v>non</v>
      </c>
    </row>
    <row r="92" spans="1:92" ht="39.75" customHeight="1">
      <c r="A92" s="122" t="str">
        <f>'Critères et tests'!B87</f>
        <v>NAVIGATION</v>
      </c>
      <c r="B92" s="124" t="str">
        <f>'Critères et tests'!$A87</f>
        <v>12.2</v>
      </c>
      <c r="C92" s="192" t="str">
        <f>VLOOKUP(B92,'Critères et tests'!$1:$1048576,5,FALSE)</f>
        <v>Dans chaque ensemble de pages, le menu et les barres de navigation sont-ils toujours à la même place (hors cas particuliers) ?</v>
      </c>
      <c r="D92" s="124" t="str">
        <f>'Critères et tests'!$C87</f>
        <v>AA</v>
      </c>
      <c r="E92" s="156" t="s">
        <v>460</v>
      </c>
      <c r="F92" s="88">
        <f>IF('P01'!$E88&gt;"",'P01'!$E88&amp;" "&amp;CHAR(10)&amp;'P01'!$F88,'P01'!$E88)</f>
        <v>0</v>
      </c>
      <c r="G92" s="89">
        <f>IF('P02'!$E88&gt;"",'P02'!$E88&amp;" "&amp;CHAR(10)&amp;'P02'!$F88,'P02'!$E88)</f>
        <v>0</v>
      </c>
      <c r="H92" s="89">
        <f>IF('P03'!$E88&gt;"",'P03'!$E88&amp;" "&amp;CHAR(10)&amp;'P03'!$F88,'P03'!$E88)</f>
        <v>0</v>
      </c>
      <c r="I92" s="89">
        <f>IF('P04'!$E88&gt;"",'P04'!$E88&amp;" "&amp;CHAR(10)&amp;'P04'!$F88,'P04'!$E88)</f>
        <v>0</v>
      </c>
      <c r="J92" s="89">
        <f>IF('P05'!$E88&gt;"",'P05'!$E88&amp;" "&amp;CHAR(10)&amp;'P05'!$F88,'P05'!$E88)</f>
        <v>0</v>
      </c>
      <c r="K92" s="89">
        <f>IF('P06'!$E88&gt;"",'P06'!$E88&amp;" "&amp;CHAR(10)&amp;'P06'!$F88,'P06'!$E88)</f>
        <v>0</v>
      </c>
      <c r="L92" s="89">
        <f>IF('P07'!$E88&gt;"",'P07'!$E88&amp;" "&amp;CHAR(10)&amp;'P07'!$F88,'P07'!$E88)</f>
        <v>0</v>
      </c>
      <c r="M92" s="89">
        <f>IF('P08'!$E88&gt;"",'P08'!$E88&amp;" "&amp;CHAR(10)&amp;'P08'!$F88,'P08'!$E88)</f>
        <v>0</v>
      </c>
      <c r="N92" s="89">
        <f>IF('P09'!$E88&gt;"",'P09'!$E88&amp;" "&amp;CHAR(10)&amp;'P09'!$F88,'P09'!$E88)</f>
        <v>0</v>
      </c>
      <c r="O92" s="89">
        <f>IF('P10'!$E88&gt;"",'P10'!$E88&amp;" "&amp;CHAR(10)&amp;'P10'!$F88,'P10'!$E88)</f>
        <v>0</v>
      </c>
      <c r="P92" s="89">
        <f>IF('P11'!$E88&gt;"",'P11'!$E88&amp;" "&amp;CHAR(10)&amp;'P11'!$F88,'P11'!$E88)</f>
        <v>0</v>
      </c>
      <c r="Q92" s="89">
        <f>IF('P12'!$E88&gt;"",'P12'!$E88&amp;" "&amp;CHAR(10)&amp;'P12'!$F88,'P12'!$E88)</f>
        <v>0</v>
      </c>
      <c r="R92" s="89">
        <f>IF('P13'!$E88&gt;"",'P13'!$E88&amp;" "&amp;CHAR(10)&amp;'P13'!$F88,'P13'!$E88)</f>
        <v>0</v>
      </c>
      <c r="S92" s="89">
        <f>IF('P14'!$E88&gt;"",'P14'!$E88&amp;" "&amp;CHAR(10)&amp;'P14'!$F88,'P14'!$E88)</f>
        <v>0</v>
      </c>
      <c r="T92" s="89">
        <f>IF('P15'!$E88&gt;"",'P15'!$E88&amp;" "&amp;CHAR(10)&amp;'P15'!$F88,'P15'!$E88)</f>
        <v>0</v>
      </c>
      <c r="U92" s="89">
        <f>IF('P16'!$E88&gt;"",'P16'!$E88&amp;" "&amp;CHAR(10)&amp;'P16'!$F88,'P16'!$E88)</f>
        <v>0</v>
      </c>
      <c r="V92" s="89">
        <f>IF('P17'!$E88&gt;"",'P17'!$E88&amp;" "&amp;CHAR(10)&amp;'P17'!$F88,'P17'!$E88)</f>
        <v>0</v>
      </c>
      <c r="W92" s="89">
        <f>IF('P18'!$E88&gt;"",'P18'!$E88&amp;" "&amp;CHAR(10)&amp;'P18'!$F88,'P18'!$E88)</f>
        <v>0</v>
      </c>
      <c r="X92" s="89">
        <f>IF('P19'!$E88&gt;"",'P19'!$E88&amp;" "&amp;CHAR(10)&amp;'P19'!$F88,'P19'!$E88)</f>
        <v>0</v>
      </c>
      <c r="Y92" s="89">
        <f>IF('P20'!$E88&gt;"",'P20'!$E88&amp;" "&amp;CHAR(10)&amp;'P20'!$F88,'P20'!$E88)</f>
        <v>0</v>
      </c>
      <c r="Z92" s="89">
        <f>IF('P21'!$E88&gt;"",'P21'!$E88&amp;" "&amp;CHAR(10)&amp;'P21'!$F88,'P21'!$E88)</f>
        <v>0</v>
      </c>
      <c r="AA92" s="89">
        <f>IF('P22'!$E88&gt;"",'P22'!$E88&amp;" "&amp;CHAR(10)&amp;'P22'!$F88,'P22'!$E88)</f>
        <v>0</v>
      </c>
      <c r="AB92" s="89">
        <f>IF('P23'!$E88&gt;"",'P23'!$E88&amp;" "&amp;CHAR(10)&amp;'P23'!$F88,'P23'!$E88)</f>
        <v>0</v>
      </c>
      <c r="AC92" s="89">
        <f>IF('P24'!$E88&gt;"",'P24'!$E88&amp;" "&amp;CHAR(10)&amp;'P24'!$F88,'P24'!$E88)</f>
        <v>0</v>
      </c>
      <c r="AD92" s="89">
        <f>IF('P25'!$E88&gt;"",'P25'!$E88&amp;" "&amp;CHAR(10)&amp;'P25'!$F88,'P25'!$E88)</f>
        <v>0</v>
      </c>
      <c r="AE92" s="89">
        <f>IF('P26'!$E88&gt;"",'P26'!$E88&amp;" "&amp;CHAR(10)&amp;'P26'!$F88,'P26'!$E88)</f>
        <v>0</v>
      </c>
      <c r="AF92" s="89">
        <f>IF('P27'!$E88&gt;"",'P27'!$E88&amp;" "&amp;CHAR(10)&amp;'P27'!$F88,'P27'!$E88)</f>
        <v>0</v>
      </c>
      <c r="AG92" s="89">
        <f>IF('P28'!$E88&gt;"",'P28'!$E88&amp;" "&amp;CHAR(10)&amp;'P28'!$F88,'P28'!$E88)</f>
        <v>0</v>
      </c>
      <c r="AH92" s="89">
        <f>IF('P29'!$E88&gt;"",'P29'!$E88&amp;" "&amp;CHAR(10)&amp;'P29'!$F88,'P29'!$E88)</f>
        <v>0</v>
      </c>
      <c r="AI92" s="89">
        <f>IF('P30'!$E88&gt;"",'P30'!$E88&amp;" "&amp;CHAR(10)&amp;'P30'!$F88,'P30'!$E88)</f>
        <v>0</v>
      </c>
      <c r="AJ92" s="89">
        <f>IF('P31'!$E88&gt;"",'P31'!$E88&amp;" "&amp;CHAR(10)&amp;'P31'!$F88,'P31'!$E88)</f>
        <v>0</v>
      </c>
      <c r="AK92" s="89">
        <f>IF('P32'!$E88&gt;"",'P32'!$E88&amp;" "&amp;CHAR(10)&amp;'P32'!$F88,'P32'!$E88)</f>
        <v>0</v>
      </c>
      <c r="AL92" s="89">
        <f>IF('P33'!$E88&gt;"",'P33'!$E88&amp;" "&amp;CHAR(10)&amp;'P33'!$F88,'P33'!$E88)</f>
        <v>0</v>
      </c>
      <c r="AM92" s="89">
        <f>IF('P34'!$E88&gt;"",'P34'!$E88&amp;" "&amp;CHAR(10)&amp;'P34'!$F88,'P34'!$E88)</f>
        <v>0</v>
      </c>
      <c r="AN92" s="89">
        <f>IF('P35'!$E88&gt;"",'P35'!$E88&amp;" "&amp;CHAR(10)&amp;'P35'!$F88,'P35'!$E88)</f>
        <v>0</v>
      </c>
      <c r="AO92" s="89">
        <f>IF('P36'!$E88&gt;"",'P36'!$E88&amp;" "&amp;CHAR(10)&amp;'P36'!$F88,'P36'!$E88)</f>
        <v>0</v>
      </c>
      <c r="AP92" s="89">
        <f>IF('P37'!$E88&gt;"",'P37'!$E88&amp;" "&amp;CHAR(10)&amp;'P37'!$F88,'P37'!$E88)</f>
        <v>0</v>
      </c>
      <c r="AQ92" s="89">
        <f>IF('P38'!$E88&gt;"",'P38'!$E88&amp;" "&amp;CHAR(10)&amp;'P38'!$F88,'P38'!$E88)</f>
        <v>0</v>
      </c>
      <c r="AR92" s="89">
        <f>IF('P39'!$E88&gt;"",'P39'!$E88&amp;" "&amp;CHAR(10)&amp;'P39'!$F88,'P39'!$E88)</f>
        <v>0</v>
      </c>
      <c r="AS92" s="89">
        <f>IF('P40'!$E88&gt;"",'P40'!$E88&amp;" "&amp;CHAR(10)&amp;'P40'!$F88,'P40'!$E88)</f>
        <v>0</v>
      </c>
      <c r="AT92" s="55">
        <f t="shared" si="9"/>
        <v>0</v>
      </c>
      <c r="AU92" s="9">
        <f t="shared" si="10"/>
        <v>0</v>
      </c>
      <c r="AV92" s="55">
        <f t="shared" si="11"/>
        <v>0</v>
      </c>
      <c r="AW92" s="38" t="str">
        <f t="shared" si="12"/>
        <v>NT</v>
      </c>
      <c r="AX92" s="12"/>
      <c r="AY92" s="10"/>
      <c r="AZ92" s="10"/>
      <c r="BA92" s="10" t="str">
        <f>IF('P01'!$G88&lt;&gt;"", 'P01'!$G88, "non")</f>
        <v>non</v>
      </c>
      <c r="BB92" s="10" t="str">
        <f>IF('P02'!$G88&lt;&gt;"", 'P02'!$G88, "non")</f>
        <v>non</v>
      </c>
      <c r="BC92" s="10" t="str">
        <f>IF('P03'!$G88&lt;&gt;"", 'P03'!$G88, "non")</f>
        <v>non</v>
      </c>
      <c r="BD92" s="10" t="str">
        <f>IF('P04'!$G88&lt;&gt;"", 'P04'!$G88, "non")</f>
        <v>non</v>
      </c>
      <c r="BE92" s="10" t="str">
        <f>IF('P05'!$G88&lt;&gt;"", 'P05'!$G88, "non")</f>
        <v>non</v>
      </c>
      <c r="BF92" s="10" t="str">
        <f>IF('P06'!$G88&lt;&gt;"", 'P06'!$G88, "non")</f>
        <v>non</v>
      </c>
      <c r="BG92" s="10" t="str">
        <f>IF('P07'!$G88&lt;&gt;"", 'P07'!$G88, "non")</f>
        <v>non</v>
      </c>
      <c r="BH92" s="10" t="str">
        <f>IF('P08'!$G88&lt;&gt;"", 'P08'!$G88, "non")</f>
        <v>non</v>
      </c>
      <c r="BI92" s="10" t="str">
        <f>IF('P09'!$G88&lt;&gt;"", 'P09'!$G88, "non")</f>
        <v>non</v>
      </c>
      <c r="BJ92" s="10" t="str">
        <f>IF('P10'!$G88&lt;&gt;"", 'P10'!$G88, "non")</f>
        <v>non</v>
      </c>
      <c r="BK92" s="10" t="str">
        <f>IF('P11'!$G88&lt;&gt;"", 'P11'!$G88, "non")</f>
        <v>non</v>
      </c>
      <c r="BL92" s="10" t="str">
        <f>IF('P12'!$G88&lt;&gt;"", 'P12'!$G88, "non")</f>
        <v>non</v>
      </c>
      <c r="BM92" s="10" t="str">
        <f>IF('P13'!$G88&lt;&gt;"", 'P13'!$G88, "non")</f>
        <v>non</v>
      </c>
      <c r="BN92" s="10" t="str">
        <f>IF('P14'!$G88&lt;&gt;"", 'P14'!$G88, "non")</f>
        <v>non</v>
      </c>
      <c r="BO92" s="10" t="str">
        <f>IF('P15'!$G88&lt;&gt;"", 'P15'!$G88, "non")</f>
        <v>non</v>
      </c>
      <c r="BP92" s="10" t="str">
        <f>IF('P16'!$G88&lt;&gt;"", 'P16'!$G88, "non")</f>
        <v>non</v>
      </c>
      <c r="BQ92" s="10" t="str">
        <f>IF('P17'!$G88&lt;&gt;"", 'P17'!$G88, "non")</f>
        <v>non</v>
      </c>
      <c r="BR92" s="10" t="str">
        <f>IF('P18'!$G88&lt;&gt;"", 'P18'!$G88, "non")</f>
        <v>non</v>
      </c>
      <c r="BS92" s="10" t="str">
        <f>IF('P19'!$G88&lt;&gt;"", 'P19'!$G88, "non")</f>
        <v>non</v>
      </c>
      <c r="BT92" s="11" t="str">
        <f>IF('P20'!$G88&lt;&gt;"", 'P20'!$G88, "non")</f>
        <v>non</v>
      </c>
      <c r="BU92" s="10" t="str">
        <f>IF('P21'!$G88&lt;&gt;"", 'P21'!$G88, "non")</f>
        <v>non</v>
      </c>
      <c r="BV92" s="11" t="str">
        <f>IF('P22'!$G88&lt;&gt;"", 'P22'!$G88, "non")</f>
        <v>non</v>
      </c>
      <c r="BW92" s="10" t="str">
        <f>IF('P23'!$G88&lt;&gt;"", 'P23'!$G88, "non")</f>
        <v>non</v>
      </c>
      <c r="BX92" s="11" t="str">
        <f>IF('P24'!$G88&lt;&gt;"", 'P24'!$G88, "non")</f>
        <v>non</v>
      </c>
      <c r="BY92" s="10" t="str">
        <f>IF('P25'!$G88&lt;&gt;"", 'P25'!$G88, "non")</f>
        <v>non</v>
      </c>
      <c r="BZ92" s="11" t="str">
        <f>IF('P26'!$G88&lt;&gt;"", 'P26'!$G88, "non")</f>
        <v>non</v>
      </c>
      <c r="CA92" s="10" t="str">
        <f>IF('P27'!$G88&lt;&gt;"", 'P27'!$G88, "non")</f>
        <v>non</v>
      </c>
      <c r="CB92" s="11" t="str">
        <f>IF('P28'!$G88&lt;&gt;"", 'P28'!$G88, "non")</f>
        <v>non</v>
      </c>
      <c r="CC92" s="10" t="str">
        <f>IF('P29'!$G88&lt;&gt;"", 'P29'!$G88, "non")</f>
        <v>non</v>
      </c>
      <c r="CD92" s="11" t="str">
        <f>IF('P30'!$G88&lt;&gt;"", 'P30'!$G88, "non")</f>
        <v>non</v>
      </c>
      <c r="CE92" s="10" t="str">
        <f>IF('P31'!$G88&lt;&gt;"", 'P31'!$G88, "non")</f>
        <v>non</v>
      </c>
      <c r="CF92" s="11" t="str">
        <f>IF('P32'!$G88&lt;&gt;"", 'P32'!$G88, "non")</f>
        <v>non</v>
      </c>
      <c r="CG92" s="10" t="str">
        <f>IF('P33'!$G88&lt;&gt;"", 'P33'!$G88, "non")</f>
        <v>non</v>
      </c>
      <c r="CH92" s="10" t="str">
        <f>IF('P34'!$G88&lt;&gt;"", 'P34'!$G88, "non")</f>
        <v>non</v>
      </c>
      <c r="CI92" s="11" t="str">
        <f>IF('P35'!$G88&lt;&gt;"", 'P35'!$G88, "non")</f>
        <v>non</v>
      </c>
      <c r="CJ92" s="10" t="str">
        <f>IF('P36'!$G88&lt;&gt;"", 'P36'!$G88, "non")</f>
        <v>non</v>
      </c>
      <c r="CK92" s="11" t="str">
        <f>IF('P37'!$G88&lt;&gt;"", 'P37'!$G88, "non")</f>
        <v>non</v>
      </c>
      <c r="CL92" s="10" t="str">
        <f>IF('P38'!$G88&lt;&gt;"", 'P38'!$G88, "non")</f>
        <v>non</v>
      </c>
      <c r="CM92" s="11" t="str">
        <f>IF('P39'!$G88&lt;&gt;"", 'P39'!$G88, "non")</f>
        <v>non</v>
      </c>
      <c r="CN92" s="10" t="str">
        <f>IF('P40'!$G88&lt;&gt;"", 'P40'!$G88, "non")</f>
        <v>non</v>
      </c>
    </row>
    <row r="93" spans="1:92" ht="39.75" customHeight="1">
      <c r="A93" s="122" t="str">
        <f>'Critères et tests'!B88</f>
        <v>NAVIGATION</v>
      </c>
      <c r="B93" s="124" t="str">
        <f>'Critères et tests'!$A88</f>
        <v>12.3</v>
      </c>
      <c r="C93" s="192" t="str">
        <f>VLOOKUP(B93,'Critères et tests'!$1:$1048576,5,FALSE)</f>
        <v>La page « plan du site » est-elle pertinente ?</v>
      </c>
      <c r="D93" s="124" t="str">
        <f>'Critères et tests'!$C88</f>
        <v>AA</v>
      </c>
      <c r="E93" s="156" t="s">
        <v>460</v>
      </c>
      <c r="F93" s="88">
        <f>IF('P01'!$E89&gt;"",'P01'!$E89&amp;" "&amp;CHAR(10)&amp;'P01'!$F89,'P01'!$E89)</f>
        <v>0</v>
      </c>
      <c r="G93" s="89">
        <f>IF('P02'!$E89&gt;"",'P02'!$E89&amp;" "&amp;CHAR(10)&amp;'P02'!$F89,'P02'!$E89)</f>
        <v>0</v>
      </c>
      <c r="H93" s="89">
        <f>IF('P03'!$E89&gt;"",'P03'!$E89&amp;" "&amp;CHAR(10)&amp;'P03'!$F89,'P03'!$E89)</f>
        <v>0</v>
      </c>
      <c r="I93" s="89">
        <f>IF('P04'!$E89&gt;"",'P04'!$E89&amp;" "&amp;CHAR(10)&amp;'P04'!$F89,'P04'!$E89)</f>
        <v>0</v>
      </c>
      <c r="J93" s="89">
        <f>IF('P05'!$E89&gt;"",'P05'!$E89&amp;" "&amp;CHAR(10)&amp;'P05'!$F89,'P05'!$E89)</f>
        <v>0</v>
      </c>
      <c r="K93" s="89">
        <f>IF('P06'!$E89&gt;"",'P06'!$E89&amp;" "&amp;CHAR(10)&amp;'P06'!$F89,'P06'!$E89)</f>
        <v>0</v>
      </c>
      <c r="L93" s="89">
        <f>IF('P07'!$E89&gt;"",'P07'!$E89&amp;" "&amp;CHAR(10)&amp;'P07'!$F89,'P07'!$E89)</f>
        <v>0</v>
      </c>
      <c r="M93" s="89">
        <f>IF('P08'!$E89&gt;"",'P08'!$E89&amp;" "&amp;CHAR(10)&amp;'P08'!$F89,'P08'!$E89)</f>
        <v>0</v>
      </c>
      <c r="N93" s="89">
        <f>IF('P09'!$E89&gt;"",'P09'!$E89&amp;" "&amp;CHAR(10)&amp;'P09'!$F89,'P09'!$E89)</f>
        <v>0</v>
      </c>
      <c r="O93" s="89">
        <f>IF('P10'!$E89&gt;"",'P10'!$E89&amp;" "&amp;CHAR(10)&amp;'P10'!$F89,'P10'!$E89)</f>
        <v>0</v>
      </c>
      <c r="P93" s="89">
        <f>IF('P11'!$E89&gt;"",'P11'!$E89&amp;" "&amp;CHAR(10)&amp;'P11'!$F89,'P11'!$E89)</f>
        <v>0</v>
      </c>
      <c r="Q93" s="89">
        <f>IF('P12'!$E89&gt;"",'P12'!$E89&amp;" "&amp;CHAR(10)&amp;'P12'!$F89,'P12'!$E89)</f>
        <v>0</v>
      </c>
      <c r="R93" s="89">
        <f>IF('P13'!$E89&gt;"",'P13'!$E89&amp;" "&amp;CHAR(10)&amp;'P13'!$F89,'P13'!$E89)</f>
        <v>0</v>
      </c>
      <c r="S93" s="89">
        <f>IF('P14'!$E89&gt;"",'P14'!$E89&amp;" "&amp;CHAR(10)&amp;'P14'!$F89,'P14'!$E89)</f>
        <v>0</v>
      </c>
      <c r="T93" s="89">
        <f>IF('P15'!$E89&gt;"",'P15'!$E89&amp;" "&amp;CHAR(10)&amp;'P15'!$F89,'P15'!$E89)</f>
        <v>0</v>
      </c>
      <c r="U93" s="89">
        <f>IF('P16'!$E89&gt;"",'P16'!$E89&amp;" "&amp;CHAR(10)&amp;'P16'!$F89,'P16'!$E89)</f>
        <v>0</v>
      </c>
      <c r="V93" s="89">
        <f>IF('P17'!$E89&gt;"",'P17'!$E89&amp;" "&amp;CHAR(10)&amp;'P17'!$F89,'P17'!$E89)</f>
        <v>0</v>
      </c>
      <c r="W93" s="89">
        <f>IF('P18'!$E89&gt;"",'P18'!$E89&amp;" "&amp;CHAR(10)&amp;'P18'!$F89,'P18'!$E89)</f>
        <v>0</v>
      </c>
      <c r="X93" s="89">
        <f>IF('P19'!$E89&gt;"",'P19'!$E89&amp;" "&amp;CHAR(10)&amp;'P19'!$F89,'P19'!$E89)</f>
        <v>0</v>
      </c>
      <c r="Y93" s="89">
        <f>IF('P20'!$E89&gt;"",'P20'!$E89&amp;" "&amp;CHAR(10)&amp;'P20'!$F89,'P20'!$E89)</f>
        <v>0</v>
      </c>
      <c r="Z93" s="89">
        <f>IF('P21'!$E89&gt;"",'P21'!$E89&amp;" "&amp;CHAR(10)&amp;'P21'!$F89,'P21'!$E89)</f>
        <v>0</v>
      </c>
      <c r="AA93" s="89">
        <f>IF('P22'!$E89&gt;"",'P22'!$E89&amp;" "&amp;CHAR(10)&amp;'P22'!$F89,'P22'!$E89)</f>
        <v>0</v>
      </c>
      <c r="AB93" s="89">
        <f>IF('P23'!$E89&gt;"",'P23'!$E89&amp;" "&amp;CHAR(10)&amp;'P23'!$F89,'P23'!$E89)</f>
        <v>0</v>
      </c>
      <c r="AC93" s="89">
        <f>IF('P24'!$E89&gt;"",'P24'!$E89&amp;" "&amp;CHAR(10)&amp;'P24'!$F89,'P24'!$E89)</f>
        <v>0</v>
      </c>
      <c r="AD93" s="89">
        <f>IF('P25'!$E89&gt;"",'P25'!$E89&amp;" "&amp;CHAR(10)&amp;'P25'!$F89,'P25'!$E89)</f>
        <v>0</v>
      </c>
      <c r="AE93" s="89">
        <f>IF('P26'!$E89&gt;"",'P26'!$E89&amp;" "&amp;CHAR(10)&amp;'P26'!$F89,'P26'!$E89)</f>
        <v>0</v>
      </c>
      <c r="AF93" s="89">
        <f>IF('P27'!$E89&gt;"",'P27'!$E89&amp;" "&amp;CHAR(10)&amp;'P27'!$F89,'P27'!$E89)</f>
        <v>0</v>
      </c>
      <c r="AG93" s="89">
        <f>IF('P28'!$E89&gt;"",'P28'!$E89&amp;" "&amp;CHAR(10)&amp;'P28'!$F89,'P28'!$E89)</f>
        <v>0</v>
      </c>
      <c r="AH93" s="89">
        <f>IF('P29'!$E89&gt;"",'P29'!$E89&amp;" "&amp;CHAR(10)&amp;'P29'!$F89,'P29'!$E89)</f>
        <v>0</v>
      </c>
      <c r="AI93" s="89">
        <f>IF('P30'!$E89&gt;"",'P30'!$E89&amp;" "&amp;CHAR(10)&amp;'P30'!$F89,'P30'!$E89)</f>
        <v>0</v>
      </c>
      <c r="AJ93" s="89">
        <f>IF('P31'!$E89&gt;"",'P31'!$E89&amp;" "&amp;CHAR(10)&amp;'P31'!$F89,'P31'!$E89)</f>
        <v>0</v>
      </c>
      <c r="AK93" s="89">
        <f>IF('P32'!$E89&gt;"",'P32'!$E89&amp;" "&amp;CHAR(10)&amp;'P32'!$F89,'P32'!$E89)</f>
        <v>0</v>
      </c>
      <c r="AL93" s="89">
        <f>IF('P33'!$E89&gt;"",'P33'!$E89&amp;" "&amp;CHAR(10)&amp;'P33'!$F89,'P33'!$E89)</f>
        <v>0</v>
      </c>
      <c r="AM93" s="89">
        <f>IF('P34'!$E89&gt;"",'P34'!$E89&amp;" "&amp;CHAR(10)&amp;'P34'!$F89,'P34'!$E89)</f>
        <v>0</v>
      </c>
      <c r="AN93" s="89">
        <f>IF('P35'!$E89&gt;"",'P35'!$E89&amp;" "&amp;CHAR(10)&amp;'P35'!$F89,'P35'!$E89)</f>
        <v>0</v>
      </c>
      <c r="AO93" s="89">
        <f>IF('P36'!$E89&gt;"",'P36'!$E89&amp;" "&amp;CHAR(10)&amp;'P36'!$F89,'P36'!$E89)</f>
        <v>0</v>
      </c>
      <c r="AP93" s="89">
        <f>IF('P37'!$E89&gt;"",'P37'!$E89&amp;" "&amp;CHAR(10)&amp;'P37'!$F89,'P37'!$E89)</f>
        <v>0</v>
      </c>
      <c r="AQ93" s="89">
        <f>IF('P38'!$E89&gt;"",'P38'!$E89&amp;" "&amp;CHAR(10)&amp;'P38'!$F89,'P38'!$E89)</f>
        <v>0</v>
      </c>
      <c r="AR93" s="89">
        <f>IF('P39'!$E89&gt;"",'P39'!$E89&amp;" "&amp;CHAR(10)&amp;'P39'!$F89,'P39'!$E89)</f>
        <v>0</v>
      </c>
      <c r="AS93" s="89">
        <f>IF('P40'!$E89&gt;"",'P40'!$E89&amp;" "&amp;CHAR(10)&amp;'P40'!$F89,'P40'!$E89)</f>
        <v>0</v>
      </c>
      <c r="AT93" s="55">
        <f t="shared" si="9"/>
        <v>0</v>
      </c>
      <c r="AU93" s="9">
        <f t="shared" si="10"/>
        <v>0</v>
      </c>
      <c r="AV93" s="55">
        <f t="shared" si="11"/>
        <v>0</v>
      </c>
      <c r="AW93" s="38" t="str">
        <f t="shared" si="12"/>
        <v>NT</v>
      </c>
      <c r="AX93" s="12"/>
      <c r="AY93" s="10"/>
      <c r="AZ93" s="10"/>
      <c r="BA93" s="10" t="str">
        <f>IF('P01'!$G89&lt;&gt;"", 'P01'!$G89, "non")</f>
        <v>non</v>
      </c>
      <c r="BB93" s="10" t="str">
        <f>IF('P02'!$G89&lt;&gt;"", 'P02'!$G89, "non")</f>
        <v>non</v>
      </c>
      <c r="BC93" s="10" t="str">
        <f>IF('P03'!$G89&lt;&gt;"", 'P03'!$G89, "non")</f>
        <v>non</v>
      </c>
      <c r="BD93" s="10" t="str">
        <f>IF('P04'!$G89&lt;&gt;"", 'P04'!$G89, "non")</f>
        <v>non</v>
      </c>
      <c r="BE93" s="10" t="str">
        <f>IF('P05'!$G89&lt;&gt;"", 'P05'!$G89, "non")</f>
        <v>non</v>
      </c>
      <c r="BF93" s="10" t="str">
        <f>IF('P06'!$G89&lt;&gt;"", 'P06'!$G89, "non")</f>
        <v>non</v>
      </c>
      <c r="BG93" s="10" t="str">
        <f>IF('P07'!$G89&lt;&gt;"", 'P07'!$G89, "non")</f>
        <v>non</v>
      </c>
      <c r="BH93" s="10" t="str">
        <f>IF('P08'!$G89&lt;&gt;"", 'P08'!$G89, "non")</f>
        <v>non</v>
      </c>
      <c r="BI93" s="10" t="str">
        <f>IF('P09'!$G89&lt;&gt;"", 'P09'!$G89, "non")</f>
        <v>non</v>
      </c>
      <c r="BJ93" s="10" t="str">
        <f>IF('P10'!$G89&lt;&gt;"", 'P10'!$G89, "non")</f>
        <v>non</v>
      </c>
      <c r="BK93" s="10" t="str">
        <f>IF('P11'!$G89&lt;&gt;"", 'P11'!$G89, "non")</f>
        <v>non</v>
      </c>
      <c r="BL93" s="10" t="str">
        <f>IF('P12'!$G89&lt;&gt;"", 'P12'!$G89, "non")</f>
        <v>non</v>
      </c>
      <c r="BM93" s="10" t="str">
        <f>IF('P13'!$G89&lt;&gt;"", 'P13'!$G89, "non")</f>
        <v>non</v>
      </c>
      <c r="BN93" s="10" t="str">
        <f>IF('P14'!$G89&lt;&gt;"", 'P14'!$G89, "non")</f>
        <v>non</v>
      </c>
      <c r="BO93" s="10" t="str">
        <f>IF('P15'!$G89&lt;&gt;"", 'P15'!$G89, "non")</f>
        <v>non</v>
      </c>
      <c r="BP93" s="10" t="str">
        <f>IF('P16'!$G89&lt;&gt;"", 'P16'!$G89, "non")</f>
        <v>non</v>
      </c>
      <c r="BQ93" s="10" t="str">
        <f>IF('P17'!$G89&lt;&gt;"", 'P17'!$G89, "non")</f>
        <v>non</v>
      </c>
      <c r="BR93" s="10" t="str">
        <f>IF('P18'!$G89&lt;&gt;"", 'P18'!$G89, "non")</f>
        <v>non</v>
      </c>
      <c r="BS93" s="10" t="str">
        <f>IF('P19'!$G89&lt;&gt;"", 'P19'!$G89, "non")</f>
        <v>non</v>
      </c>
      <c r="BT93" s="11" t="str">
        <f>IF('P20'!$G89&lt;&gt;"", 'P20'!$G89, "non")</f>
        <v>non</v>
      </c>
      <c r="BU93" s="10" t="str">
        <f>IF('P21'!$G89&lt;&gt;"", 'P21'!$G89, "non")</f>
        <v>non</v>
      </c>
      <c r="BV93" s="11" t="str">
        <f>IF('P22'!$G89&lt;&gt;"", 'P22'!$G89, "non")</f>
        <v>non</v>
      </c>
      <c r="BW93" s="10" t="str">
        <f>IF('P23'!$G89&lt;&gt;"", 'P23'!$G89, "non")</f>
        <v>non</v>
      </c>
      <c r="BX93" s="11" t="str">
        <f>IF('P24'!$G89&lt;&gt;"", 'P24'!$G89, "non")</f>
        <v>non</v>
      </c>
      <c r="BY93" s="10" t="str">
        <f>IF('P25'!$G89&lt;&gt;"", 'P25'!$G89, "non")</f>
        <v>non</v>
      </c>
      <c r="BZ93" s="11" t="str">
        <f>IF('P26'!$G89&lt;&gt;"", 'P26'!$G89, "non")</f>
        <v>non</v>
      </c>
      <c r="CA93" s="10" t="str">
        <f>IF('P27'!$G89&lt;&gt;"", 'P27'!$G89, "non")</f>
        <v>non</v>
      </c>
      <c r="CB93" s="11" t="str">
        <f>IF('P28'!$G89&lt;&gt;"", 'P28'!$G89, "non")</f>
        <v>non</v>
      </c>
      <c r="CC93" s="10" t="str">
        <f>IF('P29'!$G89&lt;&gt;"", 'P29'!$G89, "non")</f>
        <v>non</v>
      </c>
      <c r="CD93" s="11" t="str">
        <f>IF('P30'!$G89&lt;&gt;"", 'P30'!$G89, "non")</f>
        <v>non</v>
      </c>
      <c r="CE93" s="10" t="str">
        <f>IF('P31'!$G89&lt;&gt;"", 'P31'!$G89, "non")</f>
        <v>non</v>
      </c>
      <c r="CF93" s="11" t="str">
        <f>IF('P32'!$G89&lt;&gt;"", 'P32'!$G89, "non")</f>
        <v>non</v>
      </c>
      <c r="CG93" s="10" t="str">
        <f>IF('P33'!$G89&lt;&gt;"", 'P33'!$G89, "non")</f>
        <v>non</v>
      </c>
      <c r="CH93" s="10" t="str">
        <f>IF('P34'!$G89&lt;&gt;"", 'P34'!$G89, "non")</f>
        <v>non</v>
      </c>
      <c r="CI93" s="11" t="str">
        <f>IF('P35'!$G89&lt;&gt;"", 'P35'!$G89, "non")</f>
        <v>non</v>
      </c>
      <c r="CJ93" s="10" t="str">
        <f>IF('P36'!$G89&lt;&gt;"", 'P36'!$G89, "non")</f>
        <v>non</v>
      </c>
      <c r="CK93" s="11" t="str">
        <f>IF('P37'!$G89&lt;&gt;"", 'P37'!$G89, "non")</f>
        <v>non</v>
      </c>
      <c r="CL93" s="10" t="str">
        <f>IF('P38'!$G89&lt;&gt;"", 'P38'!$G89, "non")</f>
        <v>non</v>
      </c>
      <c r="CM93" s="11" t="str">
        <f>IF('P39'!$G89&lt;&gt;"", 'P39'!$G89, "non")</f>
        <v>non</v>
      </c>
      <c r="CN93" s="10" t="str">
        <f>IF('P40'!$G89&lt;&gt;"", 'P40'!$G89, "non")</f>
        <v>non</v>
      </c>
    </row>
    <row r="94" spans="1:92" ht="39.75" customHeight="1">
      <c r="A94" s="122" t="str">
        <f>'Critères et tests'!B89</f>
        <v>NAVIGATION</v>
      </c>
      <c r="B94" s="124" t="str">
        <f>'Critères et tests'!$A89</f>
        <v>12.4</v>
      </c>
      <c r="C94" s="192" t="str">
        <f>VLOOKUP(B94,'Critères et tests'!$1:$1048576,5,FALSE)</f>
        <v>Dans chaque ensemble de pages, la page « plan du site » est-elle atteignable de manière identique ?</v>
      </c>
      <c r="D94" s="124" t="str">
        <f>'Critères et tests'!$C89</f>
        <v>AA</v>
      </c>
      <c r="E94" s="156" t="s">
        <v>460</v>
      </c>
      <c r="F94" s="88">
        <f>IF('P01'!$E90&gt;"",'P01'!$E90&amp;" "&amp;CHAR(10)&amp;'P01'!$F90,'P01'!$E90)</f>
        <v>0</v>
      </c>
      <c r="G94" s="89">
        <f>IF('P02'!$E90&gt;"",'P02'!$E90&amp;" "&amp;CHAR(10)&amp;'P02'!$F90,'P02'!$E90)</f>
        <v>0</v>
      </c>
      <c r="H94" s="89">
        <f>IF('P03'!$E90&gt;"",'P03'!$E90&amp;" "&amp;CHAR(10)&amp;'P03'!$F90,'P03'!$E90)</f>
        <v>0</v>
      </c>
      <c r="I94" s="89">
        <f>IF('P04'!$E90&gt;"",'P04'!$E90&amp;" "&amp;CHAR(10)&amp;'P04'!$F90,'P04'!$E90)</f>
        <v>0</v>
      </c>
      <c r="J94" s="89">
        <f>IF('P05'!$E90&gt;"",'P05'!$E90&amp;" "&amp;CHAR(10)&amp;'P05'!$F90,'P05'!$E90)</f>
        <v>0</v>
      </c>
      <c r="K94" s="89">
        <f>IF('P06'!$E90&gt;"",'P06'!$E90&amp;" "&amp;CHAR(10)&amp;'P06'!$F90,'P06'!$E90)</f>
        <v>0</v>
      </c>
      <c r="L94" s="89">
        <f>IF('P07'!$E90&gt;"",'P07'!$E90&amp;" "&amp;CHAR(10)&amp;'P07'!$F90,'P07'!$E90)</f>
        <v>0</v>
      </c>
      <c r="M94" s="89">
        <f>IF('P08'!$E90&gt;"",'P08'!$E90&amp;" "&amp;CHAR(10)&amp;'P08'!$F90,'P08'!$E90)</f>
        <v>0</v>
      </c>
      <c r="N94" s="89">
        <f>IF('P09'!$E90&gt;"",'P09'!$E90&amp;" "&amp;CHAR(10)&amp;'P09'!$F90,'P09'!$E90)</f>
        <v>0</v>
      </c>
      <c r="O94" s="89">
        <f>IF('P10'!$E90&gt;"",'P10'!$E90&amp;" "&amp;CHAR(10)&amp;'P10'!$F90,'P10'!$E90)</f>
        <v>0</v>
      </c>
      <c r="P94" s="89">
        <f>IF('P11'!$E90&gt;"",'P11'!$E90&amp;" "&amp;CHAR(10)&amp;'P11'!$F90,'P11'!$E90)</f>
        <v>0</v>
      </c>
      <c r="Q94" s="89">
        <f>IF('P12'!$E90&gt;"",'P12'!$E90&amp;" "&amp;CHAR(10)&amp;'P12'!$F90,'P12'!$E90)</f>
        <v>0</v>
      </c>
      <c r="R94" s="89">
        <f>IF('P13'!$E90&gt;"",'P13'!$E90&amp;" "&amp;CHAR(10)&amp;'P13'!$F90,'P13'!$E90)</f>
        <v>0</v>
      </c>
      <c r="S94" s="89">
        <f>IF('P14'!$E90&gt;"",'P14'!$E90&amp;" "&amp;CHAR(10)&amp;'P14'!$F90,'P14'!$E90)</f>
        <v>0</v>
      </c>
      <c r="T94" s="89">
        <f>IF('P15'!$E90&gt;"",'P15'!$E90&amp;" "&amp;CHAR(10)&amp;'P15'!$F90,'P15'!$E90)</f>
        <v>0</v>
      </c>
      <c r="U94" s="89">
        <f>IF('P16'!$E90&gt;"",'P16'!$E90&amp;" "&amp;CHAR(10)&amp;'P16'!$F90,'P16'!$E90)</f>
        <v>0</v>
      </c>
      <c r="V94" s="89">
        <f>IF('P17'!$E90&gt;"",'P17'!$E90&amp;" "&amp;CHAR(10)&amp;'P17'!$F90,'P17'!$E90)</f>
        <v>0</v>
      </c>
      <c r="W94" s="89">
        <f>IF('P18'!$E90&gt;"",'P18'!$E90&amp;" "&amp;CHAR(10)&amp;'P18'!$F90,'P18'!$E90)</f>
        <v>0</v>
      </c>
      <c r="X94" s="89">
        <f>IF('P19'!$E90&gt;"",'P19'!$E90&amp;" "&amp;CHAR(10)&amp;'P19'!$F90,'P19'!$E90)</f>
        <v>0</v>
      </c>
      <c r="Y94" s="89">
        <f>IF('P20'!$E90&gt;"",'P20'!$E90&amp;" "&amp;CHAR(10)&amp;'P20'!$F90,'P20'!$E90)</f>
        <v>0</v>
      </c>
      <c r="Z94" s="89">
        <f>IF('P21'!$E90&gt;"",'P21'!$E90&amp;" "&amp;CHAR(10)&amp;'P21'!$F90,'P21'!$E90)</f>
        <v>0</v>
      </c>
      <c r="AA94" s="89">
        <f>IF('P22'!$E90&gt;"",'P22'!$E90&amp;" "&amp;CHAR(10)&amp;'P22'!$F90,'P22'!$E90)</f>
        <v>0</v>
      </c>
      <c r="AB94" s="89">
        <f>IF('P23'!$E90&gt;"",'P23'!$E90&amp;" "&amp;CHAR(10)&amp;'P23'!$F90,'P23'!$E90)</f>
        <v>0</v>
      </c>
      <c r="AC94" s="89">
        <f>IF('P24'!$E90&gt;"",'P24'!$E90&amp;" "&amp;CHAR(10)&amp;'P24'!$F90,'P24'!$E90)</f>
        <v>0</v>
      </c>
      <c r="AD94" s="89">
        <f>IF('P25'!$E90&gt;"",'P25'!$E90&amp;" "&amp;CHAR(10)&amp;'P25'!$F90,'P25'!$E90)</f>
        <v>0</v>
      </c>
      <c r="AE94" s="89">
        <f>IF('P26'!$E90&gt;"",'P26'!$E90&amp;" "&amp;CHAR(10)&amp;'P26'!$F90,'P26'!$E90)</f>
        <v>0</v>
      </c>
      <c r="AF94" s="89">
        <f>IF('P27'!$E90&gt;"",'P27'!$E90&amp;" "&amp;CHAR(10)&amp;'P27'!$F90,'P27'!$E90)</f>
        <v>0</v>
      </c>
      <c r="AG94" s="89">
        <f>IF('P28'!$E90&gt;"",'P28'!$E90&amp;" "&amp;CHAR(10)&amp;'P28'!$F90,'P28'!$E90)</f>
        <v>0</v>
      </c>
      <c r="AH94" s="89">
        <f>IF('P29'!$E90&gt;"",'P29'!$E90&amp;" "&amp;CHAR(10)&amp;'P29'!$F90,'P29'!$E90)</f>
        <v>0</v>
      </c>
      <c r="AI94" s="89">
        <f>IF('P30'!$E90&gt;"",'P30'!$E90&amp;" "&amp;CHAR(10)&amp;'P30'!$F90,'P30'!$E90)</f>
        <v>0</v>
      </c>
      <c r="AJ94" s="89">
        <f>IF('P31'!$E90&gt;"",'P31'!$E90&amp;" "&amp;CHAR(10)&amp;'P31'!$F90,'P31'!$E90)</f>
        <v>0</v>
      </c>
      <c r="AK94" s="89">
        <f>IF('P32'!$E90&gt;"",'P32'!$E90&amp;" "&amp;CHAR(10)&amp;'P32'!$F90,'P32'!$E90)</f>
        <v>0</v>
      </c>
      <c r="AL94" s="89">
        <f>IF('P33'!$E90&gt;"",'P33'!$E90&amp;" "&amp;CHAR(10)&amp;'P33'!$F90,'P33'!$E90)</f>
        <v>0</v>
      </c>
      <c r="AM94" s="89">
        <f>IF('P34'!$E90&gt;"",'P34'!$E90&amp;" "&amp;CHAR(10)&amp;'P34'!$F90,'P34'!$E90)</f>
        <v>0</v>
      </c>
      <c r="AN94" s="89">
        <f>IF('P35'!$E90&gt;"",'P35'!$E90&amp;" "&amp;CHAR(10)&amp;'P35'!$F90,'P35'!$E90)</f>
        <v>0</v>
      </c>
      <c r="AO94" s="89">
        <f>IF('P36'!$E90&gt;"",'P36'!$E90&amp;" "&amp;CHAR(10)&amp;'P36'!$F90,'P36'!$E90)</f>
        <v>0</v>
      </c>
      <c r="AP94" s="89">
        <f>IF('P37'!$E90&gt;"",'P37'!$E90&amp;" "&amp;CHAR(10)&amp;'P37'!$F90,'P37'!$E90)</f>
        <v>0</v>
      </c>
      <c r="AQ94" s="89">
        <f>IF('P38'!$E90&gt;"",'P38'!$E90&amp;" "&amp;CHAR(10)&amp;'P38'!$F90,'P38'!$E90)</f>
        <v>0</v>
      </c>
      <c r="AR94" s="89">
        <f>IF('P39'!$E90&gt;"",'P39'!$E90&amp;" "&amp;CHAR(10)&amp;'P39'!$F90,'P39'!$E90)</f>
        <v>0</v>
      </c>
      <c r="AS94" s="89">
        <f>IF('P40'!$E90&gt;"",'P40'!$E90&amp;" "&amp;CHAR(10)&amp;'P40'!$F90,'P40'!$E90)</f>
        <v>0</v>
      </c>
      <c r="AT94" s="55">
        <f t="shared" si="9"/>
        <v>0</v>
      </c>
      <c r="AU94" s="9">
        <f t="shared" si="10"/>
        <v>0</v>
      </c>
      <c r="AV94" s="55">
        <f t="shared" si="11"/>
        <v>0</v>
      </c>
      <c r="AW94" s="38" t="str">
        <f t="shared" si="12"/>
        <v>NT</v>
      </c>
      <c r="AX94" s="12"/>
      <c r="AY94" s="10"/>
      <c r="AZ94" s="10"/>
      <c r="BA94" s="10" t="str">
        <f>IF('P01'!$G90&lt;&gt;"", 'P01'!$G90, "non")</f>
        <v>non</v>
      </c>
      <c r="BB94" s="10" t="str">
        <f>IF('P02'!$G90&lt;&gt;"", 'P02'!$G90, "non")</f>
        <v>non</v>
      </c>
      <c r="BC94" s="10" t="str">
        <f>IF('P03'!$G90&lt;&gt;"", 'P03'!$G90, "non")</f>
        <v>non</v>
      </c>
      <c r="BD94" s="10" t="str">
        <f>IF('P04'!$G90&lt;&gt;"", 'P04'!$G90, "non")</f>
        <v>non</v>
      </c>
      <c r="BE94" s="10" t="str">
        <f>IF('P05'!$G90&lt;&gt;"", 'P05'!$G90, "non")</f>
        <v>non</v>
      </c>
      <c r="BF94" s="10" t="str">
        <f>IF('P06'!$G90&lt;&gt;"", 'P06'!$G90, "non")</f>
        <v>non</v>
      </c>
      <c r="BG94" s="10" t="str">
        <f>IF('P07'!$G90&lt;&gt;"", 'P07'!$G90, "non")</f>
        <v>non</v>
      </c>
      <c r="BH94" s="10" t="str">
        <f>IF('P08'!$G90&lt;&gt;"", 'P08'!$G90, "non")</f>
        <v>non</v>
      </c>
      <c r="BI94" s="10" t="str">
        <f>IF('P09'!$G90&lt;&gt;"", 'P09'!$G90, "non")</f>
        <v>non</v>
      </c>
      <c r="BJ94" s="10" t="str">
        <f>IF('P10'!$G90&lt;&gt;"", 'P10'!$G90, "non")</f>
        <v>non</v>
      </c>
      <c r="BK94" s="10" t="str">
        <f>IF('P11'!$G90&lt;&gt;"", 'P11'!$G90, "non")</f>
        <v>non</v>
      </c>
      <c r="BL94" s="10" t="str">
        <f>IF('P12'!$G90&lt;&gt;"", 'P12'!$G90, "non")</f>
        <v>non</v>
      </c>
      <c r="BM94" s="10" t="str">
        <f>IF('P13'!$G90&lt;&gt;"", 'P13'!$G90, "non")</f>
        <v>non</v>
      </c>
      <c r="BN94" s="10" t="str">
        <f>IF('P14'!$G90&lt;&gt;"", 'P14'!$G90, "non")</f>
        <v>non</v>
      </c>
      <c r="BO94" s="10" t="str">
        <f>IF('P15'!$G90&lt;&gt;"", 'P15'!$G90, "non")</f>
        <v>non</v>
      </c>
      <c r="BP94" s="10" t="str">
        <f>IF('P16'!$G90&lt;&gt;"", 'P16'!$G90, "non")</f>
        <v>non</v>
      </c>
      <c r="BQ94" s="10" t="str">
        <f>IF('P17'!$G90&lt;&gt;"", 'P17'!$G90, "non")</f>
        <v>non</v>
      </c>
      <c r="BR94" s="10" t="str">
        <f>IF('P18'!$G90&lt;&gt;"", 'P18'!$G90, "non")</f>
        <v>non</v>
      </c>
      <c r="BS94" s="10" t="str">
        <f>IF('P19'!$G90&lt;&gt;"", 'P19'!$G90, "non")</f>
        <v>non</v>
      </c>
      <c r="BT94" s="11" t="str">
        <f>IF('P20'!$G90&lt;&gt;"", 'P20'!$G90, "non")</f>
        <v>non</v>
      </c>
      <c r="BU94" s="10" t="str">
        <f>IF('P21'!$G90&lt;&gt;"", 'P21'!$G90, "non")</f>
        <v>non</v>
      </c>
      <c r="BV94" s="11" t="str">
        <f>IF('P22'!$G90&lt;&gt;"", 'P22'!$G90, "non")</f>
        <v>non</v>
      </c>
      <c r="BW94" s="10" t="str">
        <f>IF('P23'!$G90&lt;&gt;"", 'P23'!$G90, "non")</f>
        <v>non</v>
      </c>
      <c r="BX94" s="11" t="str">
        <f>IF('P24'!$G90&lt;&gt;"", 'P24'!$G90, "non")</f>
        <v>non</v>
      </c>
      <c r="BY94" s="10" t="str">
        <f>IF('P25'!$G90&lt;&gt;"", 'P25'!$G90, "non")</f>
        <v>non</v>
      </c>
      <c r="BZ94" s="11" t="str">
        <f>IF('P26'!$G90&lt;&gt;"", 'P26'!$G90, "non")</f>
        <v>non</v>
      </c>
      <c r="CA94" s="10" t="str">
        <f>IF('P27'!$G90&lt;&gt;"", 'P27'!$G90, "non")</f>
        <v>non</v>
      </c>
      <c r="CB94" s="11" t="str">
        <f>IF('P28'!$G90&lt;&gt;"", 'P28'!$G90, "non")</f>
        <v>non</v>
      </c>
      <c r="CC94" s="10" t="str">
        <f>IF('P29'!$G90&lt;&gt;"", 'P29'!$G90, "non")</f>
        <v>non</v>
      </c>
      <c r="CD94" s="11" t="str">
        <f>IF('P30'!$G90&lt;&gt;"", 'P30'!$G90, "non")</f>
        <v>non</v>
      </c>
      <c r="CE94" s="10" t="str">
        <f>IF('P31'!$G90&lt;&gt;"", 'P31'!$G90, "non")</f>
        <v>non</v>
      </c>
      <c r="CF94" s="11" t="str">
        <f>IF('P32'!$G90&lt;&gt;"", 'P32'!$G90, "non")</f>
        <v>non</v>
      </c>
      <c r="CG94" s="10" t="str">
        <f>IF('P33'!$G90&lt;&gt;"", 'P33'!$G90, "non")</f>
        <v>non</v>
      </c>
      <c r="CH94" s="10" t="str">
        <f>IF('P34'!$G90&lt;&gt;"", 'P34'!$G90, "non")</f>
        <v>non</v>
      </c>
      <c r="CI94" s="11" t="str">
        <f>IF('P35'!$G90&lt;&gt;"", 'P35'!$G90, "non")</f>
        <v>non</v>
      </c>
      <c r="CJ94" s="10" t="str">
        <f>IF('P36'!$G90&lt;&gt;"", 'P36'!$G90, "non")</f>
        <v>non</v>
      </c>
      <c r="CK94" s="11" t="str">
        <f>IF('P37'!$G90&lt;&gt;"", 'P37'!$G90, "non")</f>
        <v>non</v>
      </c>
      <c r="CL94" s="10" t="str">
        <f>IF('P38'!$G90&lt;&gt;"", 'P38'!$G90, "non")</f>
        <v>non</v>
      </c>
      <c r="CM94" s="11" t="str">
        <f>IF('P39'!$G90&lt;&gt;"", 'P39'!$G90, "non")</f>
        <v>non</v>
      </c>
      <c r="CN94" s="10" t="str">
        <f>IF('P40'!$G90&lt;&gt;"", 'P40'!$G90, "non")</f>
        <v>non</v>
      </c>
    </row>
    <row r="95" spans="1:92" ht="39.75" customHeight="1">
      <c r="A95" s="122" t="str">
        <f>'Critères et tests'!B90</f>
        <v>NAVIGATION</v>
      </c>
      <c r="B95" s="124" t="str">
        <f>'Critères et tests'!$A90</f>
        <v>12.5</v>
      </c>
      <c r="C95" s="192" t="str">
        <f>VLOOKUP(B95,'Critères et tests'!$1:$1048576,5,FALSE)</f>
        <v>Dans chaque ensemble de pages, le moteur de recherche est-il atteignable de manière identique ?</v>
      </c>
      <c r="D95" s="124" t="str">
        <f>'Critères et tests'!$C90</f>
        <v>AA</v>
      </c>
      <c r="E95" s="156" t="s">
        <v>460</v>
      </c>
      <c r="F95" s="88">
        <f>IF('P01'!$E91&gt;"",'P01'!$E91&amp;" "&amp;CHAR(10)&amp;'P01'!$F91,'P01'!$E91)</f>
        <v>0</v>
      </c>
      <c r="G95" s="89">
        <f>IF('P02'!$E91&gt;"",'P02'!$E91&amp;" "&amp;CHAR(10)&amp;'P02'!$F91,'P02'!$E91)</f>
        <v>0</v>
      </c>
      <c r="H95" s="89">
        <f>IF('P03'!$E91&gt;"",'P03'!$E91&amp;" "&amp;CHAR(10)&amp;'P03'!$F91,'P03'!$E91)</f>
        <v>0</v>
      </c>
      <c r="I95" s="89">
        <f>IF('P04'!$E91&gt;"",'P04'!$E91&amp;" "&amp;CHAR(10)&amp;'P04'!$F91,'P04'!$E91)</f>
        <v>0</v>
      </c>
      <c r="J95" s="89">
        <f>IF('P05'!$E91&gt;"",'P05'!$E91&amp;" "&amp;CHAR(10)&amp;'P05'!$F91,'P05'!$E91)</f>
        <v>0</v>
      </c>
      <c r="K95" s="89">
        <f>IF('P06'!$E91&gt;"",'P06'!$E91&amp;" "&amp;CHAR(10)&amp;'P06'!$F91,'P06'!$E91)</f>
        <v>0</v>
      </c>
      <c r="L95" s="89">
        <f>IF('P07'!$E91&gt;"",'P07'!$E91&amp;" "&amp;CHAR(10)&amp;'P07'!$F91,'P07'!$E91)</f>
        <v>0</v>
      </c>
      <c r="M95" s="89">
        <f>IF('P08'!$E91&gt;"",'P08'!$E91&amp;" "&amp;CHAR(10)&amp;'P08'!$F91,'P08'!$E91)</f>
        <v>0</v>
      </c>
      <c r="N95" s="89">
        <f>IF('P09'!$E91&gt;"",'P09'!$E91&amp;" "&amp;CHAR(10)&amp;'P09'!$F91,'P09'!$E91)</f>
        <v>0</v>
      </c>
      <c r="O95" s="89">
        <f>IF('P10'!$E91&gt;"",'P10'!$E91&amp;" "&amp;CHAR(10)&amp;'P10'!$F91,'P10'!$E91)</f>
        <v>0</v>
      </c>
      <c r="P95" s="89">
        <f>IF('P11'!$E91&gt;"",'P11'!$E91&amp;" "&amp;CHAR(10)&amp;'P11'!$F91,'P11'!$E91)</f>
        <v>0</v>
      </c>
      <c r="Q95" s="89">
        <f>IF('P12'!$E91&gt;"",'P12'!$E91&amp;" "&amp;CHAR(10)&amp;'P12'!$F91,'P12'!$E91)</f>
        <v>0</v>
      </c>
      <c r="R95" s="89">
        <f>IF('P13'!$E91&gt;"",'P13'!$E91&amp;" "&amp;CHAR(10)&amp;'P13'!$F91,'P13'!$E91)</f>
        <v>0</v>
      </c>
      <c r="S95" s="89">
        <f>IF('P14'!$E91&gt;"",'P14'!$E91&amp;" "&amp;CHAR(10)&amp;'P14'!$F91,'P14'!$E91)</f>
        <v>0</v>
      </c>
      <c r="T95" s="89">
        <f>IF('P15'!$E91&gt;"",'P15'!$E91&amp;" "&amp;CHAR(10)&amp;'P15'!$F91,'P15'!$E91)</f>
        <v>0</v>
      </c>
      <c r="U95" s="89">
        <f>IF('P16'!$E91&gt;"",'P16'!$E91&amp;" "&amp;CHAR(10)&amp;'P16'!$F91,'P16'!$E91)</f>
        <v>0</v>
      </c>
      <c r="V95" s="89">
        <f>IF('P17'!$E91&gt;"",'P17'!$E91&amp;" "&amp;CHAR(10)&amp;'P17'!$F91,'P17'!$E91)</f>
        <v>0</v>
      </c>
      <c r="W95" s="89">
        <f>IF('P18'!$E91&gt;"",'P18'!$E91&amp;" "&amp;CHAR(10)&amp;'P18'!$F91,'P18'!$E91)</f>
        <v>0</v>
      </c>
      <c r="X95" s="89">
        <f>IF('P19'!$E91&gt;"",'P19'!$E91&amp;" "&amp;CHAR(10)&amp;'P19'!$F91,'P19'!$E91)</f>
        <v>0</v>
      </c>
      <c r="Y95" s="89">
        <f>IF('P20'!$E91&gt;"",'P20'!$E91&amp;" "&amp;CHAR(10)&amp;'P20'!$F91,'P20'!$E91)</f>
        <v>0</v>
      </c>
      <c r="Z95" s="89">
        <f>IF('P21'!$E91&gt;"",'P21'!$E91&amp;" "&amp;CHAR(10)&amp;'P21'!$F91,'P21'!$E91)</f>
        <v>0</v>
      </c>
      <c r="AA95" s="89">
        <f>IF('P22'!$E91&gt;"",'P22'!$E91&amp;" "&amp;CHAR(10)&amp;'P22'!$F91,'P22'!$E91)</f>
        <v>0</v>
      </c>
      <c r="AB95" s="89">
        <f>IF('P23'!$E91&gt;"",'P23'!$E91&amp;" "&amp;CHAR(10)&amp;'P23'!$F91,'P23'!$E91)</f>
        <v>0</v>
      </c>
      <c r="AC95" s="89">
        <f>IF('P24'!$E91&gt;"",'P24'!$E91&amp;" "&amp;CHAR(10)&amp;'P24'!$F91,'P24'!$E91)</f>
        <v>0</v>
      </c>
      <c r="AD95" s="89">
        <f>IF('P25'!$E91&gt;"",'P25'!$E91&amp;" "&amp;CHAR(10)&amp;'P25'!$F91,'P25'!$E91)</f>
        <v>0</v>
      </c>
      <c r="AE95" s="89">
        <f>IF('P26'!$E91&gt;"",'P26'!$E91&amp;" "&amp;CHAR(10)&amp;'P26'!$F91,'P26'!$E91)</f>
        <v>0</v>
      </c>
      <c r="AF95" s="89">
        <f>IF('P27'!$E91&gt;"",'P27'!$E91&amp;" "&amp;CHAR(10)&amp;'P27'!$F91,'P27'!$E91)</f>
        <v>0</v>
      </c>
      <c r="AG95" s="89">
        <f>IF('P28'!$E91&gt;"",'P28'!$E91&amp;" "&amp;CHAR(10)&amp;'P28'!$F91,'P28'!$E91)</f>
        <v>0</v>
      </c>
      <c r="AH95" s="89">
        <f>IF('P29'!$E91&gt;"",'P29'!$E91&amp;" "&amp;CHAR(10)&amp;'P29'!$F91,'P29'!$E91)</f>
        <v>0</v>
      </c>
      <c r="AI95" s="89">
        <f>IF('P30'!$E91&gt;"",'P30'!$E91&amp;" "&amp;CHAR(10)&amp;'P30'!$F91,'P30'!$E91)</f>
        <v>0</v>
      </c>
      <c r="AJ95" s="89">
        <f>IF('P31'!$E91&gt;"",'P31'!$E91&amp;" "&amp;CHAR(10)&amp;'P31'!$F91,'P31'!$E91)</f>
        <v>0</v>
      </c>
      <c r="AK95" s="89">
        <f>IF('P32'!$E91&gt;"",'P32'!$E91&amp;" "&amp;CHAR(10)&amp;'P32'!$F91,'P32'!$E91)</f>
        <v>0</v>
      </c>
      <c r="AL95" s="89">
        <f>IF('P33'!$E91&gt;"",'P33'!$E91&amp;" "&amp;CHAR(10)&amp;'P33'!$F91,'P33'!$E91)</f>
        <v>0</v>
      </c>
      <c r="AM95" s="89">
        <f>IF('P34'!$E91&gt;"",'P34'!$E91&amp;" "&amp;CHAR(10)&amp;'P34'!$F91,'P34'!$E91)</f>
        <v>0</v>
      </c>
      <c r="AN95" s="89">
        <f>IF('P35'!$E91&gt;"",'P35'!$E91&amp;" "&amp;CHAR(10)&amp;'P35'!$F91,'P35'!$E91)</f>
        <v>0</v>
      </c>
      <c r="AO95" s="89">
        <f>IF('P36'!$E91&gt;"",'P36'!$E91&amp;" "&amp;CHAR(10)&amp;'P36'!$F91,'P36'!$E91)</f>
        <v>0</v>
      </c>
      <c r="AP95" s="89">
        <f>IF('P37'!$E91&gt;"",'P37'!$E91&amp;" "&amp;CHAR(10)&amp;'P37'!$F91,'P37'!$E91)</f>
        <v>0</v>
      </c>
      <c r="AQ95" s="89">
        <f>IF('P38'!$E91&gt;"",'P38'!$E91&amp;" "&amp;CHAR(10)&amp;'P38'!$F91,'P38'!$E91)</f>
        <v>0</v>
      </c>
      <c r="AR95" s="89">
        <f>IF('P39'!$E91&gt;"",'P39'!$E91&amp;" "&amp;CHAR(10)&amp;'P39'!$F91,'P39'!$E91)</f>
        <v>0</v>
      </c>
      <c r="AS95" s="89">
        <f>IF('P40'!$E91&gt;"",'P40'!$E91&amp;" "&amp;CHAR(10)&amp;'P40'!$F91,'P40'!$E91)</f>
        <v>0</v>
      </c>
      <c r="AT95" s="55">
        <f t="shared" si="9"/>
        <v>0</v>
      </c>
      <c r="AU95" s="9">
        <f t="shared" si="10"/>
        <v>0</v>
      </c>
      <c r="AV95" s="55">
        <f t="shared" si="11"/>
        <v>0</v>
      </c>
      <c r="AW95" s="38" t="str">
        <f t="shared" si="12"/>
        <v>NT</v>
      </c>
      <c r="AX95" s="12"/>
      <c r="AY95" s="10"/>
      <c r="AZ95" s="10"/>
      <c r="BA95" s="10" t="str">
        <f>IF('P01'!$G91&lt;&gt;"", 'P01'!$G91, "non")</f>
        <v>non</v>
      </c>
      <c r="BB95" s="10" t="str">
        <f>IF('P02'!$G91&lt;&gt;"", 'P02'!$G91, "non")</f>
        <v>non</v>
      </c>
      <c r="BC95" s="10" t="str">
        <f>IF('P03'!$G91&lt;&gt;"", 'P03'!$G91, "non")</f>
        <v>non</v>
      </c>
      <c r="BD95" s="10" t="str">
        <f>IF('P04'!$G91&lt;&gt;"", 'P04'!$G91, "non")</f>
        <v>non</v>
      </c>
      <c r="BE95" s="10" t="str">
        <f>IF('P05'!$G91&lt;&gt;"", 'P05'!$G91, "non")</f>
        <v>non</v>
      </c>
      <c r="BF95" s="10" t="str">
        <f>IF('P06'!$G91&lt;&gt;"", 'P06'!$G91, "non")</f>
        <v>non</v>
      </c>
      <c r="BG95" s="10" t="str">
        <f>IF('P07'!$G91&lt;&gt;"", 'P07'!$G91, "non")</f>
        <v>non</v>
      </c>
      <c r="BH95" s="10" t="str">
        <f>IF('P08'!$G91&lt;&gt;"", 'P08'!$G91, "non")</f>
        <v>non</v>
      </c>
      <c r="BI95" s="10" t="str">
        <f>IF('P09'!$G91&lt;&gt;"", 'P09'!$G91, "non")</f>
        <v>non</v>
      </c>
      <c r="BJ95" s="10" t="str">
        <f>IF('P10'!$G91&lt;&gt;"", 'P10'!$G91, "non")</f>
        <v>non</v>
      </c>
      <c r="BK95" s="10" t="str">
        <f>IF('P11'!$G91&lt;&gt;"", 'P11'!$G91, "non")</f>
        <v>non</v>
      </c>
      <c r="BL95" s="10" t="str">
        <f>IF('P12'!$G91&lt;&gt;"", 'P12'!$G91, "non")</f>
        <v>non</v>
      </c>
      <c r="BM95" s="10" t="str">
        <f>IF('P13'!$G91&lt;&gt;"", 'P13'!$G91, "non")</f>
        <v>non</v>
      </c>
      <c r="BN95" s="10" t="str">
        <f>IF('P14'!$G91&lt;&gt;"", 'P14'!$G91, "non")</f>
        <v>non</v>
      </c>
      <c r="BO95" s="10" t="str">
        <f>IF('P15'!$G91&lt;&gt;"", 'P15'!$G91, "non")</f>
        <v>non</v>
      </c>
      <c r="BP95" s="10" t="str">
        <f>IF('P16'!$G91&lt;&gt;"", 'P16'!$G91, "non")</f>
        <v>non</v>
      </c>
      <c r="BQ95" s="10" t="str">
        <f>IF('P17'!$G91&lt;&gt;"", 'P17'!$G91, "non")</f>
        <v>non</v>
      </c>
      <c r="BR95" s="10" t="str">
        <f>IF('P18'!$G91&lt;&gt;"", 'P18'!$G91, "non")</f>
        <v>non</v>
      </c>
      <c r="BS95" s="10" t="str">
        <f>IF('P19'!$G91&lt;&gt;"", 'P19'!$G91, "non")</f>
        <v>non</v>
      </c>
      <c r="BT95" s="11" t="str">
        <f>IF('P20'!$G91&lt;&gt;"", 'P20'!$G91, "non")</f>
        <v>non</v>
      </c>
      <c r="BU95" s="10" t="str">
        <f>IF('P21'!$G91&lt;&gt;"", 'P21'!$G91, "non")</f>
        <v>non</v>
      </c>
      <c r="BV95" s="11" t="str">
        <f>IF('P22'!$G91&lt;&gt;"", 'P22'!$G91, "non")</f>
        <v>non</v>
      </c>
      <c r="BW95" s="10" t="str">
        <f>IF('P23'!$G91&lt;&gt;"", 'P23'!$G91, "non")</f>
        <v>non</v>
      </c>
      <c r="BX95" s="11" t="str">
        <f>IF('P24'!$G91&lt;&gt;"", 'P24'!$G91, "non")</f>
        <v>non</v>
      </c>
      <c r="BY95" s="10" t="str">
        <f>IF('P25'!$G91&lt;&gt;"", 'P25'!$G91, "non")</f>
        <v>non</v>
      </c>
      <c r="BZ95" s="11" t="str">
        <f>IF('P26'!$G91&lt;&gt;"", 'P26'!$G91, "non")</f>
        <v>non</v>
      </c>
      <c r="CA95" s="10" t="str">
        <f>IF('P27'!$G91&lt;&gt;"", 'P27'!$G91, "non")</f>
        <v>non</v>
      </c>
      <c r="CB95" s="11" t="str">
        <f>IF('P28'!$G91&lt;&gt;"", 'P28'!$G91, "non")</f>
        <v>non</v>
      </c>
      <c r="CC95" s="10" t="str">
        <f>IF('P29'!$G91&lt;&gt;"", 'P29'!$G91, "non")</f>
        <v>non</v>
      </c>
      <c r="CD95" s="11" t="str">
        <f>IF('P30'!$G91&lt;&gt;"", 'P30'!$G91, "non")</f>
        <v>non</v>
      </c>
      <c r="CE95" s="10" t="str">
        <f>IF('P31'!$G91&lt;&gt;"", 'P31'!$G91, "non")</f>
        <v>non</v>
      </c>
      <c r="CF95" s="11" t="str">
        <f>IF('P32'!$G91&lt;&gt;"", 'P32'!$G91, "non")</f>
        <v>non</v>
      </c>
      <c r="CG95" s="10" t="str">
        <f>IF('P33'!$G91&lt;&gt;"", 'P33'!$G91, "non")</f>
        <v>non</v>
      </c>
      <c r="CH95" s="10" t="str">
        <f>IF('P34'!$G91&lt;&gt;"", 'P34'!$G91, "non")</f>
        <v>non</v>
      </c>
      <c r="CI95" s="11" t="str">
        <f>IF('P35'!$G91&lt;&gt;"", 'P35'!$G91, "non")</f>
        <v>non</v>
      </c>
      <c r="CJ95" s="10" t="str">
        <f>IF('P36'!$G91&lt;&gt;"", 'P36'!$G91, "non")</f>
        <v>non</v>
      </c>
      <c r="CK95" s="11" t="str">
        <f>IF('P37'!$G91&lt;&gt;"", 'P37'!$G91, "non")</f>
        <v>non</v>
      </c>
      <c r="CL95" s="10" t="str">
        <f>IF('P38'!$G91&lt;&gt;"", 'P38'!$G91, "non")</f>
        <v>non</v>
      </c>
      <c r="CM95" s="11" t="str">
        <f>IF('P39'!$G91&lt;&gt;"", 'P39'!$G91, "non")</f>
        <v>non</v>
      </c>
      <c r="CN95" s="10" t="str">
        <f>IF('P40'!$G91&lt;&gt;"", 'P40'!$G91, "non")</f>
        <v>non</v>
      </c>
    </row>
    <row r="96" spans="1:92" ht="39.75" customHeight="1">
      <c r="A96" s="122" t="str">
        <f>'Critères et tests'!B91</f>
        <v>NAVIGATION</v>
      </c>
      <c r="B96" s="124" t="str">
        <f>'Critères et tests'!$A91</f>
        <v>12.6</v>
      </c>
      <c r="C96" s="192" t="str">
        <f>VLOOKUP(B96,'Critères et tests'!$1:$1048576,5,FALSE)</f>
        <v>Les zones de regroupement de contenus présentes dans plusieurs pages web (zones d’en-tête, de navigation principale, de contenu principal, de pied de page et de moteur de recherche) peuvent-elles être atteintes ou évitées ?</v>
      </c>
      <c r="D96" s="124" t="str">
        <f>'Critères et tests'!$C91</f>
        <v>A</v>
      </c>
      <c r="E96" s="156" t="s">
        <v>460</v>
      </c>
      <c r="F96" s="88">
        <f>IF('P01'!$E92&gt;"",'P01'!$E92&amp;" "&amp;CHAR(10)&amp;'P01'!$F92,'P01'!$E92)</f>
        <v>0</v>
      </c>
      <c r="G96" s="89">
        <f>IF('P02'!$E92&gt;"",'P02'!$E92&amp;" "&amp;CHAR(10)&amp;'P02'!$F92,'P02'!$E92)</f>
        <v>0</v>
      </c>
      <c r="H96" s="89">
        <f>IF('P03'!$E92&gt;"",'P03'!$E92&amp;" "&amp;CHAR(10)&amp;'P03'!$F92,'P03'!$E92)</f>
        <v>0</v>
      </c>
      <c r="I96" s="89">
        <f>IF('P04'!$E92&gt;"",'P04'!$E92&amp;" "&amp;CHAR(10)&amp;'P04'!$F92,'P04'!$E92)</f>
        <v>0</v>
      </c>
      <c r="J96" s="89">
        <f>IF('P05'!$E92&gt;"",'P05'!$E92&amp;" "&amp;CHAR(10)&amp;'P05'!$F92,'P05'!$E92)</f>
        <v>0</v>
      </c>
      <c r="K96" s="89">
        <f>IF('P06'!$E92&gt;"",'P06'!$E92&amp;" "&amp;CHAR(10)&amp;'P06'!$F92,'P06'!$E92)</f>
        <v>0</v>
      </c>
      <c r="L96" s="89">
        <f>IF('P07'!$E92&gt;"",'P07'!$E92&amp;" "&amp;CHAR(10)&amp;'P07'!$F92,'P07'!$E92)</f>
        <v>0</v>
      </c>
      <c r="M96" s="89">
        <f>IF('P08'!$E92&gt;"",'P08'!$E92&amp;" "&amp;CHAR(10)&amp;'P08'!$F92,'P08'!$E92)</f>
        <v>0</v>
      </c>
      <c r="N96" s="89">
        <f>IF('P09'!$E92&gt;"",'P09'!$E92&amp;" "&amp;CHAR(10)&amp;'P09'!$F92,'P09'!$E92)</f>
        <v>0</v>
      </c>
      <c r="O96" s="89">
        <f>IF('P10'!$E92&gt;"",'P10'!$E92&amp;" "&amp;CHAR(10)&amp;'P10'!$F92,'P10'!$E92)</f>
        <v>0</v>
      </c>
      <c r="P96" s="89">
        <f>IF('P11'!$E92&gt;"",'P11'!$E92&amp;" "&amp;CHAR(10)&amp;'P11'!$F92,'P11'!$E92)</f>
        <v>0</v>
      </c>
      <c r="Q96" s="89">
        <f>IF('P12'!$E92&gt;"",'P12'!$E92&amp;" "&amp;CHAR(10)&amp;'P12'!$F92,'P12'!$E92)</f>
        <v>0</v>
      </c>
      <c r="R96" s="89">
        <f>IF('P13'!$E92&gt;"",'P13'!$E92&amp;" "&amp;CHAR(10)&amp;'P13'!$F92,'P13'!$E92)</f>
        <v>0</v>
      </c>
      <c r="S96" s="89">
        <f>IF('P14'!$E92&gt;"",'P14'!$E92&amp;" "&amp;CHAR(10)&amp;'P14'!$F92,'P14'!$E92)</f>
        <v>0</v>
      </c>
      <c r="T96" s="89">
        <f>IF('P15'!$E92&gt;"",'P15'!$E92&amp;" "&amp;CHAR(10)&amp;'P15'!$F92,'P15'!$E92)</f>
        <v>0</v>
      </c>
      <c r="U96" s="89">
        <f>IF('P16'!$E92&gt;"",'P16'!$E92&amp;" "&amp;CHAR(10)&amp;'P16'!$F92,'P16'!$E92)</f>
        <v>0</v>
      </c>
      <c r="V96" s="89">
        <f>IF('P17'!$E92&gt;"",'P17'!$E92&amp;" "&amp;CHAR(10)&amp;'P17'!$F92,'P17'!$E92)</f>
        <v>0</v>
      </c>
      <c r="W96" s="89">
        <f>IF('P18'!$E92&gt;"",'P18'!$E92&amp;" "&amp;CHAR(10)&amp;'P18'!$F92,'P18'!$E92)</f>
        <v>0</v>
      </c>
      <c r="X96" s="89">
        <f>IF('P19'!$E92&gt;"",'P19'!$E92&amp;" "&amp;CHAR(10)&amp;'P19'!$F92,'P19'!$E92)</f>
        <v>0</v>
      </c>
      <c r="Y96" s="89">
        <f>IF('P20'!$E92&gt;"",'P20'!$E92&amp;" "&amp;CHAR(10)&amp;'P20'!$F92,'P20'!$E92)</f>
        <v>0</v>
      </c>
      <c r="Z96" s="89">
        <f>IF('P21'!$E92&gt;"",'P21'!$E92&amp;" "&amp;CHAR(10)&amp;'P21'!$F92,'P21'!$E92)</f>
        <v>0</v>
      </c>
      <c r="AA96" s="89">
        <f>IF('P22'!$E92&gt;"",'P22'!$E92&amp;" "&amp;CHAR(10)&amp;'P22'!$F92,'P22'!$E92)</f>
        <v>0</v>
      </c>
      <c r="AB96" s="89">
        <f>IF('P23'!$E92&gt;"",'P23'!$E92&amp;" "&amp;CHAR(10)&amp;'P23'!$F92,'P23'!$E92)</f>
        <v>0</v>
      </c>
      <c r="AC96" s="89">
        <f>IF('P24'!$E92&gt;"",'P24'!$E92&amp;" "&amp;CHAR(10)&amp;'P24'!$F92,'P24'!$E92)</f>
        <v>0</v>
      </c>
      <c r="AD96" s="89">
        <f>IF('P25'!$E92&gt;"",'P25'!$E92&amp;" "&amp;CHAR(10)&amp;'P25'!$F92,'P25'!$E92)</f>
        <v>0</v>
      </c>
      <c r="AE96" s="89">
        <f>IF('P26'!$E92&gt;"",'P26'!$E92&amp;" "&amp;CHAR(10)&amp;'P26'!$F92,'P26'!$E92)</f>
        <v>0</v>
      </c>
      <c r="AF96" s="89">
        <f>IF('P27'!$E92&gt;"",'P27'!$E92&amp;" "&amp;CHAR(10)&amp;'P27'!$F92,'P27'!$E92)</f>
        <v>0</v>
      </c>
      <c r="AG96" s="89">
        <f>IF('P28'!$E92&gt;"",'P28'!$E92&amp;" "&amp;CHAR(10)&amp;'P28'!$F92,'P28'!$E92)</f>
        <v>0</v>
      </c>
      <c r="AH96" s="89">
        <f>IF('P29'!$E92&gt;"",'P29'!$E92&amp;" "&amp;CHAR(10)&amp;'P29'!$F92,'P29'!$E92)</f>
        <v>0</v>
      </c>
      <c r="AI96" s="89">
        <f>IF('P30'!$E92&gt;"",'P30'!$E92&amp;" "&amp;CHAR(10)&amp;'P30'!$F92,'P30'!$E92)</f>
        <v>0</v>
      </c>
      <c r="AJ96" s="89">
        <f>IF('P31'!$E92&gt;"",'P31'!$E92&amp;" "&amp;CHAR(10)&amp;'P31'!$F92,'P31'!$E92)</f>
        <v>0</v>
      </c>
      <c r="AK96" s="89">
        <f>IF('P32'!$E92&gt;"",'P32'!$E92&amp;" "&amp;CHAR(10)&amp;'P32'!$F92,'P32'!$E92)</f>
        <v>0</v>
      </c>
      <c r="AL96" s="89">
        <f>IF('P33'!$E92&gt;"",'P33'!$E92&amp;" "&amp;CHAR(10)&amp;'P33'!$F92,'P33'!$E92)</f>
        <v>0</v>
      </c>
      <c r="AM96" s="89">
        <f>IF('P34'!$E92&gt;"",'P34'!$E92&amp;" "&amp;CHAR(10)&amp;'P34'!$F92,'P34'!$E92)</f>
        <v>0</v>
      </c>
      <c r="AN96" s="89">
        <f>IF('P35'!$E92&gt;"",'P35'!$E92&amp;" "&amp;CHAR(10)&amp;'P35'!$F92,'P35'!$E92)</f>
        <v>0</v>
      </c>
      <c r="AO96" s="89">
        <f>IF('P36'!$E92&gt;"",'P36'!$E92&amp;" "&amp;CHAR(10)&amp;'P36'!$F92,'P36'!$E92)</f>
        <v>0</v>
      </c>
      <c r="AP96" s="89">
        <f>IF('P37'!$E92&gt;"",'P37'!$E92&amp;" "&amp;CHAR(10)&amp;'P37'!$F92,'P37'!$E92)</f>
        <v>0</v>
      </c>
      <c r="AQ96" s="89">
        <f>IF('P38'!$E92&gt;"",'P38'!$E92&amp;" "&amp;CHAR(10)&amp;'P38'!$F92,'P38'!$E92)</f>
        <v>0</v>
      </c>
      <c r="AR96" s="89">
        <f>IF('P39'!$E92&gt;"",'P39'!$E92&amp;" "&amp;CHAR(10)&amp;'P39'!$F92,'P39'!$E92)</f>
        <v>0</v>
      </c>
      <c r="AS96" s="89">
        <f>IF('P40'!$E92&gt;"",'P40'!$E92&amp;" "&amp;CHAR(10)&amp;'P40'!$F92,'P40'!$E92)</f>
        <v>0</v>
      </c>
      <c r="AT96" s="55">
        <f t="shared" si="9"/>
        <v>0</v>
      </c>
      <c r="AU96" s="9">
        <f t="shared" si="10"/>
        <v>0</v>
      </c>
      <c r="AV96" s="55">
        <f t="shared" si="11"/>
        <v>0</v>
      </c>
      <c r="AW96" s="38" t="str">
        <f t="shared" si="12"/>
        <v>NT</v>
      </c>
      <c r="AX96" s="12"/>
      <c r="AY96" s="10"/>
      <c r="AZ96" s="10"/>
      <c r="BA96" s="10" t="str">
        <f>IF('P01'!$G92&lt;&gt;"", 'P01'!$G92, "non")</f>
        <v>non</v>
      </c>
      <c r="BB96" s="10" t="str">
        <f>IF('P02'!$G92&lt;&gt;"", 'P02'!$G92, "non")</f>
        <v>non</v>
      </c>
      <c r="BC96" s="10" t="str">
        <f>IF('P03'!$G92&lt;&gt;"", 'P03'!$G92, "non")</f>
        <v>non</v>
      </c>
      <c r="BD96" s="10" t="str">
        <f>IF('P04'!$G92&lt;&gt;"", 'P04'!$G92, "non")</f>
        <v>non</v>
      </c>
      <c r="BE96" s="10" t="str">
        <f>IF('P05'!$G92&lt;&gt;"", 'P05'!$G92, "non")</f>
        <v>non</v>
      </c>
      <c r="BF96" s="10" t="str">
        <f>IF('P06'!$G92&lt;&gt;"", 'P06'!$G92, "non")</f>
        <v>non</v>
      </c>
      <c r="BG96" s="10" t="str">
        <f>IF('P07'!$G92&lt;&gt;"", 'P07'!$G92, "non")</f>
        <v>non</v>
      </c>
      <c r="BH96" s="10" t="str">
        <f>IF('P08'!$G92&lt;&gt;"", 'P08'!$G92, "non")</f>
        <v>non</v>
      </c>
      <c r="BI96" s="10" t="str">
        <f>IF('P09'!$G92&lt;&gt;"", 'P09'!$G92, "non")</f>
        <v>non</v>
      </c>
      <c r="BJ96" s="10" t="str">
        <f>IF('P10'!$G92&lt;&gt;"", 'P10'!$G92, "non")</f>
        <v>non</v>
      </c>
      <c r="BK96" s="10" t="str">
        <f>IF('P11'!$G92&lt;&gt;"", 'P11'!$G92, "non")</f>
        <v>non</v>
      </c>
      <c r="BL96" s="10" t="str">
        <f>IF('P12'!$G92&lt;&gt;"", 'P12'!$G92, "non")</f>
        <v>non</v>
      </c>
      <c r="BM96" s="10" t="str">
        <f>IF('P13'!$G92&lt;&gt;"", 'P13'!$G92, "non")</f>
        <v>non</v>
      </c>
      <c r="BN96" s="10" t="str">
        <f>IF('P14'!$G92&lt;&gt;"", 'P14'!$G92, "non")</f>
        <v>non</v>
      </c>
      <c r="BO96" s="10" t="str">
        <f>IF('P15'!$G92&lt;&gt;"", 'P15'!$G92, "non")</f>
        <v>non</v>
      </c>
      <c r="BP96" s="10" t="str">
        <f>IF('P16'!$G92&lt;&gt;"", 'P16'!$G92, "non")</f>
        <v>non</v>
      </c>
      <c r="BQ96" s="10" t="str">
        <f>IF('P17'!$G92&lt;&gt;"", 'P17'!$G92, "non")</f>
        <v>non</v>
      </c>
      <c r="BR96" s="10" t="str">
        <f>IF('P18'!$G92&lt;&gt;"", 'P18'!$G92, "non")</f>
        <v>non</v>
      </c>
      <c r="BS96" s="10" t="str">
        <f>IF('P19'!$G92&lt;&gt;"", 'P19'!$G92, "non")</f>
        <v>non</v>
      </c>
      <c r="BT96" s="11" t="str">
        <f>IF('P20'!$G92&lt;&gt;"", 'P20'!$G92, "non")</f>
        <v>non</v>
      </c>
      <c r="BU96" s="10" t="str">
        <f>IF('P21'!$G92&lt;&gt;"", 'P21'!$G92, "non")</f>
        <v>non</v>
      </c>
      <c r="BV96" s="11" t="str">
        <f>IF('P22'!$G92&lt;&gt;"", 'P22'!$G92, "non")</f>
        <v>non</v>
      </c>
      <c r="BW96" s="10" t="str">
        <f>IF('P23'!$G92&lt;&gt;"", 'P23'!$G92, "non")</f>
        <v>non</v>
      </c>
      <c r="BX96" s="11" t="str">
        <f>IF('P24'!$G92&lt;&gt;"", 'P24'!$G92, "non")</f>
        <v>non</v>
      </c>
      <c r="BY96" s="10" t="str">
        <f>IF('P25'!$G92&lt;&gt;"", 'P25'!$G92, "non")</f>
        <v>non</v>
      </c>
      <c r="BZ96" s="11" t="str">
        <f>IF('P26'!$G92&lt;&gt;"", 'P26'!$G92, "non")</f>
        <v>non</v>
      </c>
      <c r="CA96" s="10" t="str">
        <f>IF('P27'!$G92&lt;&gt;"", 'P27'!$G92, "non")</f>
        <v>non</v>
      </c>
      <c r="CB96" s="11" t="str">
        <f>IF('P28'!$G92&lt;&gt;"", 'P28'!$G92, "non")</f>
        <v>non</v>
      </c>
      <c r="CC96" s="10" t="str">
        <f>IF('P29'!$G92&lt;&gt;"", 'P29'!$G92, "non")</f>
        <v>non</v>
      </c>
      <c r="CD96" s="11" t="str">
        <f>IF('P30'!$G92&lt;&gt;"", 'P30'!$G92, "non")</f>
        <v>non</v>
      </c>
      <c r="CE96" s="10" t="str">
        <f>IF('P31'!$G92&lt;&gt;"", 'P31'!$G92, "non")</f>
        <v>non</v>
      </c>
      <c r="CF96" s="11" t="str">
        <f>IF('P32'!$G92&lt;&gt;"", 'P32'!$G92, "non")</f>
        <v>non</v>
      </c>
      <c r="CG96" s="10" t="str">
        <f>IF('P33'!$G92&lt;&gt;"", 'P33'!$G92, "non")</f>
        <v>non</v>
      </c>
      <c r="CH96" s="10" t="str">
        <f>IF('P34'!$G92&lt;&gt;"", 'P34'!$G92, "non")</f>
        <v>non</v>
      </c>
      <c r="CI96" s="11" t="str">
        <f>IF('P35'!$G92&lt;&gt;"", 'P35'!$G92, "non")</f>
        <v>non</v>
      </c>
      <c r="CJ96" s="10" t="str">
        <f>IF('P36'!$G92&lt;&gt;"", 'P36'!$G92, "non")</f>
        <v>non</v>
      </c>
      <c r="CK96" s="11" t="str">
        <f>IF('P37'!$G92&lt;&gt;"", 'P37'!$G92, "non")</f>
        <v>non</v>
      </c>
      <c r="CL96" s="10" t="str">
        <f>IF('P38'!$G92&lt;&gt;"", 'P38'!$G92, "non")</f>
        <v>non</v>
      </c>
      <c r="CM96" s="11" t="str">
        <f>IF('P39'!$G92&lt;&gt;"", 'P39'!$G92, "non")</f>
        <v>non</v>
      </c>
      <c r="CN96" s="10" t="str">
        <f>IF('P40'!$G92&lt;&gt;"", 'P40'!$G92, "non")</f>
        <v>non</v>
      </c>
    </row>
    <row r="97" spans="1:92" ht="39.75" customHeight="1">
      <c r="A97" s="122" t="str">
        <f>'Critères et tests'!B92</f>
        <v>NAVIGATION</v>
      </c>
      <c r="B97" s="124" t="str">
        <f>'Critères et tests'!$A92</f>
        <v>12.7</v>
      </c>
      <c r="C97" s="192" t="str">
        <f>VLOOKUP(B97,'Critères et tests'!$1:$1048576,5,FALSE)</f>
        <v>Dans chaque page web, un lien d’évitement ou d’accès rapide à la zone de contenu principal est-il présent (hors cas particuliers) ?</v>
      </c>
      <c r="D97" s="124" t="str">
        <f>'Critères et tests'!$C92</f>
        <v>A</v>
      </c>
      <c r="E97" s="156" t="s">
        <v>460</v>
      </c>
      <c r="F97" s="88">
        <f>IF('P01'!$E93&gt;"",'P01'!$E93&amp;" "&amp;CHAR(10)&amp;'P01'!$F93,'P01'!$E93)</f>
        <v>0</v>
      </c>
      <c r="G97" s="89">
        <f>IF('P02'!$E93&gt;"",'P02'!$E93&amp;" "&amp;CHAR(10)&amp;'P02'!$F93,'P02'!$E93)</f>
        <v>0</v>
      </c>
      <c r="H97" s="89">
        <f>IF('P03'!$E93&gt;"",'P03'!$E93&amp;" "&amp;CHAR(10)&amp;'P03'!$F93,'P03'!$E93)</f>
        <v>0</v>
      </c>
      <c r="I97" s="89">
        <f>IF('P04'!$E93&gt;"",'P04'!$E93&amp;" "&amp;CHAR(10)&amp;'P04'!$F93,'P04'!$E93)</f>
        <v>0</v>
      </c>
      <c r="J97" s="89">
        <f>IF('P05'!$E93&gt;"",'P05'!$E93&amp;" "&amp;CHAR(10)&amp;'P05'!$F93,'P05'!$E93)</f>
        <v>0</v>
      </c>
      <c r="K97" s="89">
        <f>IF('P06'!$E93&gt;"",'P06'!$E93&amp;" "&amp;CHAR(10)&amp;'P06'!$F93,'P06'!$E93)</f>
        <v>0</v>
      </c>
      <c r="L97" s="89">
        <f>IF('P07'!$E93&gt;"",'P07'!$E93&amp;" "&amp;CHAR(10)&amp;'P07'!$F93,'P07'!$E93)</f>
        <v>0</v>
      </c>
      <c r="M97" s="89">
        <f>IF('P08'!$E93&gt;"",'P08'!$E93&amp;" "&amp;CHAR(10)&amp;'P08'!$F93,'P08'!$E93)</f>
        <v>0</v>
      </c>
      <c r="N97" s="89">
        <f>IF('P09'!$E93&gt;"",'P09'!$E93&amp;" "&amp;CHAR(10)&amp;'P09'!$F93,'P09'!$E93)</f>
        <v>0</v>
      </c>
      <c r="O97" s="89">
        <f>IF('P10'!$E93&gt;"",'P10'!$E93&amp;" "&amp;CHAR(10)&amp;'P10'!$F93,'P10'!$E93)</f>
        <v>0</v>
      </c>
      <c r="P97" s="89">
        <f>IF('P11'!$E93&gt;"",'P11'!$E93&amp;" "&amp;CHAR(10)&amp;'P11'!$F93,'P11'!$E93)</f>
        <v>0</v>
      </c>
      <c r="Q97" s="89">
        <f>IF('P12'!$E93&gt;"",'P12'!$E93&amp;" "&amp;CHAR(10)&amp;'P12'!$F93,'P12'!$E93)</f>
        <v>0</v>
      </c>
      <c r="R97" s="89">
        <f>IF('P13'!$E93&gt;"",'P13'!$E93&amp;" "&amp;CHAR(10)&amp;'P13'!$F93,'P13'!$E93)</f>
        <v>0</v>
      </c>
      <c r="S97" s="89">
        <f>IF('P14'!$E93&gt;"",'P14'!$E93&amp;" "&amp;CHAR(10)&amp;'P14'!$F93,'P14'!$E93)</f>
        <v>0</v>
      </c>
      <c r="T97" s="89">
        <f>IF('P15'!$E93&gt;"",'P15'!$E93&amp;" "&amp;CHAR(10)&amp;'P15'!$F93,'P15'!$E93)</f>
        <v>0</v>
      </c>
      <c r="U97" s="89">
        <f>IF('P16'!$E93&gt;"",'P16'!$E93&amp;" "&amp;CHAR(10)&amp;'P16'!$F93,'P16'!$E93)</f>
        <v>0</v>
      </c>
      <c r="V97" s="89">
        <f>IF('P17'!$E93&gt;"",'P17'!$E93&amp;" "&amp;CHAR(10)&amp;'P17'!$F93,'P17'!$E93)</f>
        <v>0</v>
      </c>
      <c r="W97" s="89">
        <f>IF('P18'!$E93&gt;"",'P18'!$E93&amp;" "&amp;CHAR(10)&amp;'P18'!$F93,'P18'!$E93)</f>
        <v>0</v>
      </c>
      <c r="X97" s="89">
        <f>IF('P19'!$E93&gt;"",'P19'!$E93&amp;" "&amp;CHAR(10)&amp;'P19'!$F93,'P19'!$E93)</f>
        <v>0</v>
      </c>
      <c r="Y97" s="89">
        <f>IF('P20'!$E93&gt;"",'P20'!$E93&amp;" "&amp;CHAR(10)&amp;'P20'!$F93,'P20'!$E93)</f>
        <v>0</v>
      </c>
      <c r="Z97" s="89">
        <f>IF('P21'!$E93&gt;"",'P21'!$E93&amp;" "&amp;CHAR(10)&amp;'P21'!$F93,'P21'!$E93)</f>
        <v>0</v>
      </c>
      <c r="AA97" s="89">
        <f>IF('P22'!$E93&gt;"",'P22'!$E93&amp;" "&amp;CHAR(10)&amp;'P22'!$F93,'P22'!$E93)</f>
        <v>0</v>
      </c>
      <c r="AB97" s="89">
        <f>IF('P23'!$E93&gt;"",'P23'!$E93&amp;" "&amp;CHAR(10)&amp;'P23'!$F93,'P23'!$E93)</f>
        <v>0</v>
      </c>
      <c r="AC97" s="89">
        <f>IF('P24'!$E93&gt;"",'P24'!$E93&amp;" "&amp;CHAR(10)&amp;'P24'!$F93,'P24'!$E93)</f>
        <v>0</v>
      </c>
      <c r="AD97" s="89">
        <f>IF('P25'!$E93&gt;"",'P25'!$E93&amp;" "&amp;CHAR(10)&amp;'P25'!$F93,'P25'!$E93)</f>
        <v>0</v>
      </c>
      <c r="AE97" s="89">
        <f>IF('P26'!$E93&gt;"",'P26'!$E93&amp;" "&amp;CHAR(10)&amp;'P26'!$F93,'P26'!$E93)</f>
        <v>0</v>
      </c>
      <c r="AF97" s="89">
        <f>IF('P27'!$E93&gt;"",'P27'!$E93&amp;" "&amp;CHAR(10)&amp;'P27'!$F93,'P27'!$E93)</f>
        <v>0</v>
      </c>
      <c r="AG97" s="89">
        <f>IF('P28'!$E93&gt;"",'P28'!$E93&amp;" "&amp;CHAR(10)&amp;'P28'!$F93,'P28'!$E93)</f>
        <v>0</v>
      </c>
      <c r="AH97" s="89">
        <f>IF('P29'!$E93&gt;"",'P29'!$E93&amp;" "&amp;CHAR(10)&amp;'P29'!$F93,'P29'!$E93)</f>
        <v>0</v>
      </c>
      <c r="AI97" s="89">
        <f>IF('P30'!$E93&gt;"",'P30'!$E93&amp;" "&amp;CHAR(10)&amp;'P30'!$F93,'P30'!$E93)</f>
        <v>0</v>
      </c>
      <c r="AJ97" s="89">
        <f>IF('P31'!$E93&gt;"",'P31'!$E93&amp;" "&amp;CHAR(10)&amp;'P31'!$F93,'P31'!$E93)</f>
        <v>0</v>
      </c>
      <c r="AK97" s="89">
        <f>IF('P32'!$E93&gt;"",'P32'!$E93&amp;" "&amp;CHAR(10)&amp;'P32'!$F93,'P32'!$E93)</f>
        <v>0</v>
      </c>
      <c r="AL97" s="89">
        <f>IF('P33'!$E93&gt;"",'P33'!$E93&amp;" "&amp;CHAR(10)&amp;'P33'!$F93,'P33'!$E93)</f>
        <v>0</v>
      </c>
      <c r="AM97" s="89">
        <f>IF('P34'!$E93&gt;"",'P34'!$E93&amp;" "&amp;CHAR(10)&amp;'P34'!$F93,'P34'!$E93)</f>
        <v>0</v>
      </c>
      <c r="AN97" s="89">
        <f>IF('P35'!$E93&gt;"",'P35'!$E93&amp;" "&amp;CHAR(10)&amp;'P35'!$F93,'P35'!$E93)</f>
        <v>0</v>
      </c>
      <c r="AO97" s="89">
        <f>IF('P36'!$E93&gt;"",'P36'!$E93&amp;" "&amp;CHAR(10)&amp;'P36'!$F93,'P36'!$E93)</f>
        <v>0</v>
      </c>
      <c r="AP97" s="89">
        <f>IF('P37'!$E93&gt;"",'P37'!$E93&amp;" "&amp;CHAR(10)&amp;'P37'!$F93,'P37'!$E93)</f>
        <v>0</v>
      </c>
      <c r="AQ97" s="89">
        <f>IF('P38'!$E93&gt;"",'P38'!$E93&amp;" "&amp;CHAR(10)&amp;'P38'!$F93,'P38'!$E93)</f>
        <v>0</v>
      </c>
      <c r="AR97" s="89">
        <f>IF('P39'!$E93&gt;"",'P39'!$E93&amp;" "&amp;CHAR(10)&amp;'P39'!$F93,'P39'!$E93)</f>
        <v>0</v>
      </c>
      <c r="AS97" s="89">
        <f>IF('P40'!$E93&gt;"",'P40'!$E93&amp;" "&amp;CHAR(10)&amp;'P40'!$F93,'P40'!$E93)</f>
        <v>0</v>
      </c>
      <c r="AT97" s="55">
        <f t="shared" si="9"/>
        <v>0</v>
      </c>
      <c r="AU97" s="9">
        <f t="shared" si="10"/>
        <v>0</v>
      </c>
      <c r="AV97" s="55">
        <f t="shared" si="11"/>
        <v>0</v>
      </c>
      <c r="AW97" s="38" t="str">
        <f t="shared" si="12"/>
        <v>NT</v>
      </c>
      <c r="AX97" s="12"/>
      <c r="AY97" s="10"/>
      <c r="AZ97" s="10"/>
      <c r="BA97" s="10" t="str">
        <f>IF('P01'!$G93&lt;&gt;"", 'P01'!$G93, "non")</f>
        <v>non</v>
      </c>
      <c r="BB97" s="10" t="str">
        <f>IF('P02'!$G93&lt;&gt;"", 'P02'!$G93, "non")</f>
        <v>non</v>
      </c>
      <c r="BC97" s="10" t="str">
        <f>IF('P03'!$G93&lt;&gt;"", 'P03'!$G93, "non")</f>
        <v>non</v>
      </c>
      <c r="BD97" s="10" t="str">
        <f>IF('P04'!$G93&lt;&gt;"", 'P04'!$G93, "non")</f>
        <v>non</v>
      </c>
      <c r="BE97" s="10" t="str">
        <f>IF('P05'!$G93&lt;&gt;"", 'P05'!$G93, "non")</f>
        <v>non</v>
      </c>
      <c r="BF97" s="10" t="str">
        <f>IF('P06'!$G93&lt;&gt;"", 'P06'!$G93, "non")</f>
        <v>non</v>
      </c>
      <c r="BG97" s="10" t="str">
        <f>IF('P07'!$G93&lt;&gt;"", 'P07'!$G93, "non")</f>
        <v>non</v>
      </c>
      <c r="BH97" s="10" t="str">
        <f>IF('P08'!$G93&lt;&gt;"", 'P08'!$G93, "non")</f>
        <v>non</v>
      </c>
      <c r="BI97" s="10" t="str">
        <f>IF('P09'!$G93&lt;&gt;"", 'P09'!$G93, "non")</f>
        <v>non</v>
      </c>
      <c r="BJ97" s="10" t="str">
        <f>IF('P10'!$G93&lt;&gt;"", 'P10'!$G93, "non")</f>
        <v>non</v>
      </c>
      <c r="BK97" s="10" t="str">
        <f>IF('P11'!$G93&lt;&gt;"", 'P11'!$G93, "non")</f>
        <v>non</v>
      </c>
      <c r="BL97" s="10" t="str">
        <f>IF('P12'!$G93&lt;&gt;"", 'P12'!$G93, "non")</f>
        <v>non</v>
      </c>
      <c r="BM97" s="10" t="str">
        <f>IF('P13'!$G93&lt;&gt;"", 'P13'!$G93, "non")</f>
        <v>non</v>
      </c>
      <c r="BN97" s="10" t="str">
        <f>IF('P14'!$G93&lt;&gt;"", 'P14'!$G93, "non")</f>
        <v>non</v>
      </c>
      <c r="BO97" s="10" t="str">
        <f>IF('P15'!$G93&lt;&gt;"", 'P15'!$G93, "non")</f>
        <v>non</v>
      </c>
      <c r="BP97" s="10" t="str">
        <f>IF('P16'!$G93&lt;&gt;"", 'P16'!$G93, "non")</f>
        <v>non</v>
      </c>
      <c r="BQ97" s="10" t="str">
        <f>IF('P17'!$G93&lt;&gt;"", 'P17'!$G93, "non")</f>
        <v>non</v>
      </c>
      <c r="BR97" s="10" t="str">
        <f>IF('P18'!$G93&lt;&gt;"", 'P18'!$G93, "non")</f>
        <v>non</v>
      </c>
      <c r="BS97" s="10" t="str">
        <f>IF('P19'!$G93&lt;&gt;"", 'P19'!$G93, "non")</f>
        <v>non</v>
      </c>
      <c r="BT97" s="11" t="str">
        <f>IF('P20'!$G93&lt;&gt;"", 'P20'!$G93, "non")</f>
        <v>non</v>
      </c>
      <c r="BU97" s="10" t="str">
        <f>IF('P21'!$G93&lt;&gt;"", 'P21'!$G93, "non")</f>
        <v>non</v>
      </c>
      <c r="BV97" s="11" t="str">
        <f>IF('P22'!$G93&lt;&gt;"", 'P22'!$G93, "non")</f>
        <v>non</v>
      </c>
      <c r="BW97" s="10" t="str">
        <f>IF('P23'!$G93&lt;&gt;"", 'P23'!$G93, "non")</f>
        <v>non</v>
      </c>
      <c r="BX97" s="11" t="str">
        <f>IF('P24'!$G93&lt;&gt;"", 'P24'!$G93, "non")</f>
        <v>non</v>
      </c>
      <c r="BY97" s="10" t="str">
        <f>IF('P25'!$G93&lt;&gt;"", 'P25'!$G93, "non")</f>
        <v>non</v>
      </c>
      <c r="BZ97" s="11" t="str">
        <f>IF('P26'!$G93&lt;&gt;"", 'P26'!$G93, "non")</f>
        <v>non</v>
      </c>
      <c r="CA97" s="10" t="str">
        <f>IF('P27'!$G93&lt;&gt;"", 'P27'!$G93, "non")</f>
        <v>non</v>
      </c>
      <c r="CB97" s="11" t="str">
        <f>IF('P28'!$G93&lt;&gt;"", 'P28'!$G93, "non")</f>
        <v>non</v>
      </c>
      <c r="CC97" s="10" t="str">
        <f>IF('P29'!$G93&lt;&gt;"", 'P29'!$G93, "non")</f>
        <v>non</v>
      </c>
      <c r="CD97" s="11" t="str">
        <f>IF('P30'!$G93&lt;&gt;"", 'P30'!$G93, "non")</f>
        <v>non</v>
      </c>
      <c r="CE97" s="10" t="str">
        <f>IF('P31'!$G93&lt;&gt;"", 'P31'!$G93, "non")</f>
        <v>non</v>
      </c>
      <c r="CF97" s="11" t="str">
        <f>IF('P32'!$G93&lt;&gt;"", 'P32'!$G93, "non")</f>
        <v>non</v>
      </c>
      <c r="CG97" s="10" t="str">
        <f>IF('P33'!$G93&lt;&gt;"", 'P33'!$G93, "non")</f>
        <v>non</v>
      </c>
      <c r="CH97" s="10" t="str">
        <f>IF('P34'!$G93&lt;&gt;"", 'P34'!$G93, "non")</f>
        <v>non</v>
      </c>
      <c r="CI97" s="11" t="str">
        <f>IF('P35'!$G93&lt;&gt;"", 'P35'!$G93, "non")</f>
        <v>non</v>
      </c>
      <c r="CJ97" s="10" t="str">
        <f>IF('P36'!$G93&lt;&gt;"", 'P36'!$G93, "non")</f>
        <v>non</v>
      </c>
      <c r="CK97" s="11" t="str">
        <f>IF('P37'!$G93&lt;&gt;"", 'P37'!$G93, "non")</f>
        <v>non</v>
      </c>
      <c r="CL97" s="10" t="str">
        <f>IF('P38'!$G93&lt;&gt;"", 'P38'!$G93, "non")</f>
        <v>non</v>
      </c>
      <c r="CM97" s="11" t="str">
        <f>IF('P39'!$G93&lt;&gt;"", 'P39'!$G93, "non")</f>
        <v>non</v>
      </c>
      <c r="CN97" s="10" t="str">
        <f>IF('P40'!$G93&lt;&gt;"", 'P40'!$G93, "non")</f>
        <v>non</v>
      </c>
    </row>
    <row r="98" spans="1:92" ht="39.75" customHeight="1">
      <c r="A98" s="122" t="str">
        <f>'Critères et tests'!B93</f>
        <v>NAVIGATION</v>
      </c>
      <c r="B98" s="124" t="str">
        <f>'Critères et tests'!$A93</f>
        <v>12.8</v>
      </c>
      <c r="C98" s="192" t="str">
        <f>VLOOKUP(B98,'Critères et tests'!$1:$1048576,5,FALSE)</f>
        <v>Dans chaque page web, l’ordre de tabulation est-il cohérent ?</v>
      </c>
      <c r="D98" s="124" t="str">
        <f>'Critères et tests'!$C93</f>
        <v>A</v>
      </c>
      <c r="E98" s="156" t="s">
        <v>460</v>
      </c>
      <c r="F98" s="88">
        <f>IF('P01'!$E94&gt;"",'P01'!$E94&amp;" "&amp;CHAR(10)&amp;'P01'!$F94,'P01'!$E94)</f>
        <v>0</v>
      </c>
      <c r="G98" s="89">
        <f>IF('P02'!$E94&gt;"",'P02'!$E94&amp;" "&amp;CHAR(10)&amp;'P02'!$F94,'P02'!$E94)</f>
        <v>0</v>
      </c>
      <c r="H98" s="89">
        <f>IF('P03'!$E94&gt;"",'P03'!$E94&amp;" "&amp;CHAR(10)&amp;'P03'!$F94,'P03'!$E94)</f>
        <v>0</v>
      </c>
      <c r="I98" s="89">
        <f>IF('P04'!$E94&gt;"",'P04'!$E94&amp;" "&amp;CHAR(10)&amp;'P04'!$F94,'P04'!$E94)</f>
        <v>0</v>
      </c>
      <c r="J98" s="89">
        <f>IF('P05'!$E94&gt;"",'P05'!$E94&amp;" "&amp;CHAR(10)&amp;'P05'!$F94,'P05'!$E94)</f>
        <v>0</v>
      </c>
      <c r="K98" s="89">
        <f>IF('P06'!$E94&gt;"",'P06'!$E94&amp;" "&amp;CHAR(10)&amp;'P06'!$F94,'P06'!$E94)</f>
        <v>0</v>
      </c>
      <c r="L98" s="89">
        <f>IF('P07'!$E94&gt;"",'P07'!$E94&amp;" "&amp;CHAR(10)&amp;'P07'!$F94,'P07'!$E94)</f>
        <v>0</v>
      </c>
      <c r="M98" s="89">
        <f>IF('P08'!$E94&gt;"",'P08'!$E94&amp;" "&amp;CHAR(10)&amp;'P08'!$F94,'P08'!$E94)</f>
        <v>0</v>
      </c>
      <c r="N98" s="89">
        <f>IF('P09'!$E94&gt;"",'P09'!$E94&amp;" "&amp;CHAR(10)&amp;'P09'!$F94,'P09'!$E94)</f>
        <v>0</v>
      </c>
      <c r="O98" s="89">
        <f>IF('P10'!$E94&gt;"",'P10'!$E94&amp;" "&amp;CHAR(10)&amp;'P10'!$F94,'P10'!$E94)</f>
        <v>0</v>
      </c>
      <c r="P98" s="89">
        <f>IF('P11'!$E94&gt;"",'P11'!$E94&amp;" "&amp;CHAR(10)&amp;'P11'!$F94,'P11'!$E94)</f>
        <v>0</v>
      </c>
      <c r="Q98" s="89">
        <f>IF('P12'!$E94&gt;"",'P12'!$E94&amp;" "&amp;CHAR(10)&amp;'P12'!$F94,'P12'!$E94)</f>
        <v>0</v>
      </c>
      <c r="R98" s="89">
        <f>IF('P13'!$E94&gt;"",'P13'!$E94&amp;" "&amp;CHAR(10)&amp;'P13'!$F94,'P13'!$E94)</f>
        <v>0</v>
      </c>
      <c r="S98" s="89">
        <f>IF('P14'!$E94&gt;"",'P14'!$E94&amp;" "&amp;CHAR(10)&amp;'P14'!$F94,'P14'!$E94)</f>
        <v>0</v>
      </c>
      <c r="T98" s="89">
        <f>IF('P15'!$E94&gt;"",'P15'!$E94&amp;" "&amp;CHAR(10)&amp;'P15'!$F94,'P15'!$E94)</f>
        <v>0</v>
      </c>
      <c r="U98" s="89">
        <f>IF('P16'!$E94&gt;"",'P16'!$E94&amp;" "&amp;CHAR(10)&amp;'P16'!$F94,'P16'!$E94)</f>
        <v>0</v>
      </c>
      <c r="V98" s="89">
        <f>IF('P17'!$E94&gt;"",'P17'!$E94&amp;" "&amp;CHAR(10)&amp;'P17'!$F94,'P17'!$E94)</f>
        <v>0</v>
      </c>
      <c r="W98" s="89">
        <f>IF('P18'!$E94&gt;"",'P18'!$E94&amp;" "&amp;CHAR(10)&amp;'P18'!$F94,'P18'!$E94)</f>
        <v>0</v>
      </c>
      <c r="X98" s="89">
        <f>IF('P19'!$E94&gt;"",'P19'!$E94&amp;" "&amp;CHAR(10)&amp;'P19'!$F94,'P19'!$E94)</f>
        <v>0</v>
      </c>
      <c r="Y98" s="89">
        <f>IF('P20'!$E94&gt;"",'P20'!$E94&amp;" "&amp;CHAR(10)&amp;'P20'!$F94,'P20'!$E94)</f>
        <v>0</v>
      </c>
      <c r="Z98" s="89">
        <f>IF('P21'!$E94&gt;"",'P21'!$E94&amp;" "&amp;CHAR(10)&amp;'P21'!$F94,'P21'!$E94)</f>
        <v>0</v>
      </c>
      <c r="AA98" s="89">
        <f>IF('P22'!$E94&gt;"",'P22'!$E94&amp;" "&amp;CHAR(10)&amp;'P22'!$F94,'P22'!$E94)</f>
        <v>0</v>
      </c>
      <c r="AB98" s="89">
        <f>IF('P23'!$E94&gt;"",'P23'!$E94&amp;" "&amp;CHAR(10)&amp;'P23'!$F94,'P23'!$E94)</f>
        <v>0</v>
      </c>
      <c r="AC98" s="89">
        <f>IF('P24'!$E94&gt;"",'P24'!$E94&amp;" "&amp;CHAR(10)&amp;'P24'!$F94,'P24'!$E94)</f>
        <v>0</v>
      </c>
      <c r="AD98" s="89">
        <f>IF('P25'!$E94&gt;"",'P25'!$E94&amp;" "&amp;CHAR(10)&amp;'P25'!$F94,'P25'!$E94)</f>
        <v>0</v>
      </c>
      <c r="AE98" s="89">
        <f>IF('P26'!$E94&gt;"",'P26'!$E94&amp;" "&amp;CHAR(10)&amp;'P26'!$F94,'P26'!$E94)</f>
        <v>0</v>
      </c>
      <c r="AF98" s="89">
        <f>IF('P27'!$E94&gt;"",'P27'!$E94&amp;" "&amp;CHAR(10)&amp;'P27'!$F94,'P27'!$E94)</f>
        <v>0</v>
      </c>
      <c r="AG98" s="89">
        <f>IF('P28'!$E94&gt;"",'P28'!$E94&amp;" "&amp;CHAR(10)&amp;'P28'!$F94,'P28'!$E94)</f>
        <v>0</v>
      </c>
      <c r="AH98" s="89">
        <f>IF('P29'!$E94&gt;"",'P29'!$E94&amp;" "&amp;CHAR(10)&amp;'P29'!$F94,'P29'!$E94)</f>
        <v>0</v>
      </c>
      <c r="AI98" s="89">
        <f>IF('P30'!$E94&gt;"",'P30'!$E94&amp;" "&amp;CHAR(10)&amp;'P30'!$F94,'P30'!$E94)</f>
        <v>0</v>
      </c>
      <c r="AJ98" s="89">
        <f>IF('P31'!$E94&gt;"",'P31'!$E94&amp;" "&amp;CHAR(10)&amp;'P31'!$F94,'P31'!$E94)</f>
        <v>0</v>
      </c>
      <c r="AK98" s="89">
        <f>IF('P32'!$E94&gt;"",'P32'!$E94&amp;" "&amp;CHAR(10)&amp;'P32'!$F94,'P32'!$E94)</f>
        <v>0</v>
      </c>
      <c r="AL98" s="89">
        <f>IF('P33'!$E94&gt;"",'P33'!$E94&amp;" "&amp;CHAR(10)&amp;'P33'!$F94,'P33'!$E94)</f>
        <v>0</v>
      </c>
      <c r="AM98" s="89">
        <f>IF('P34'!$E94&gt;"",'P34'!$E94&amp;" "&amp;CHAR(10)&amp;'P34'!$F94,'P34'!$E94)</f>
        <v>0</v>
      </c>
      <c r="AN98" s="89">
        <f>IF('P35'!$E94&gt;"",'P35'!$E94&amp;" "&amp;CHAR(10)&amp;'P35'!$F94,'P35'!$E94)</f>
        <v>0</v>
      </c>
      <c r="AO98" s="89">
        <f>IF('P36'!$E94&gt;"",'P36'!$E94&amp;" "&amp;CHAR(10)&amp;'P36'!$F94,'P36'!$E94)</f>
        <v>0</v>
      </c>
      <c r="AP98" s="89">
        <f>IF('P37'!$E94&gt;"",'P37'!$E94&amp;" "&amp;CHAR(10)&amp;'P37'!$F94,'P37'!$E94)</f>
        <v>0</v>
      </c>
      <c r="AQ98" s="89">
        <f>IF('P38'!$E94&gt;"",'P38'!$E94&amp;" "&amp;CHAR(10)&amp;'P38'!$F94,'P38'!$E94)</f>
        <v>0</v>
      </c>
      <c r="AR98" s="89">
        <f>IF('P39'!$E94&gt;"",'P39'!$E94&amp;" "&amp;CHAR(10)&amp;'P39'!$F94,'P39'!$E94)</f>
        <v>0</v>
      </c>
      <c r="AS98" s="89">
        <f>IF('P40'!$E94&gt;"",'P40'!$E94&amp;" "&amp;CHAR(10)&amp;'P40'!$F94,'P40'!$E94)</f>
        <v>0</v>
      </c>
      <c r="AT98" s="55">
        <f t="shared" si="9"/>
        <v>0</v>
      </c>
      <c r="AU98" s="9">
        <f t="shared" si="10"/>
        <v>0</v>
      </c>
      <c r="AV98" s="55">
        <f t="shared" si="11"/>
        <v>0</v>
      </c>
      <c r="AW98" s="38" t="str">
        <f t="shared" si="12"/>
        <v>NT</v>
      </c>
      <c r="AX98" s="12"/>
      <c r="AY98" s="10"/>
      <c r="AZ98" s="10"/>
      <c r="BA98" s="10" t="str">
        <f>IF('P01'!$G94&lt;&gt;"", 'P01'!$G94, "non")</f>
        <v>non</v>
      </c>
      <c r="BB98" s="10" t="str">
        <f>IF('P02'!$G94&lt;&gt;"", 'P02'!$G94, "non")</f>
        <v>non</v>
      </c>
      <c r="BC98" s="10" t="str">
        <f>IF('P03'!$G94&lt;&gt;"", 'P03'!$G94, "non")</f>
        <v>non</v>
      </c>
      <c r="BD98" s="10" t="str">
        <f>IF('P04'!$G94&lt;&gt;"", 'P04'!$G94, "non")</f>
        <v>non</v>
      </c>
      <c r="BE98" s="10" t="str">
        <f>IF('P05'!$G94&lt;&gt;"", 'P05'!$G94, "non")</f>
        <v>non</v>
      </c>
      <c r="BF98" s="10" t="str">
        <f>IF('P06'!$G94&lt;&gt;"", 'P06'!$G94, "non")</f>
        <v>non</v>
      </c>
      <c r="BG98" s="10" t="str">
        <f>IF('P07'!$G94&lt;&gt;"", 'P07'!$G94, "non")</f>
        <v>non</v>
      </c>
      <c r="BH98" s="10" t="str">
        <f>IF('P08'!$G94&lt;&gt;"", 'P08'!$G94, "non")</f>
        <v>non</v>
      </c>
      <c r="BI98" s="10" t="str">
        <f>IF('P09'!$G94&lt;&gt;"", 'P09'!$G94, "non")</f>
        <v>non</v>
      </c>
      <c r="BJ98" s="10" t="str">
        <f>IF('P10'!$G94&lt;&gt;"", 'P10'!$G94, "non")</f>
        <v>non</v>
      </c>
      <c r="BK98" s="10" t="str">
        <f>IF('P11'!$G94&lt;&gt;"", 'P11'!$G94, "non")</f>
        <v>non</v>
      </c>
      <c r="BL98" s="10" t="str">
        <f>IF('P12'!$G94&lt;&gt;"", 'P12'!$G94, "non")</f>
        <v>non</v>
      </c>
      <c r="BM98" s="10" t="str">
        <f>IF('P13'!$G94&lt;&gt;"", 'P13'!$G94, "non")</f>
        <v>non</v>
      </c>
      <c r="BN98" s="10" t="str">
        <f>IF('P14'!$G94&lt;&gt;"", 'P14'!$G94, "non")</f>
        <v>non</v>
      </c>
      <c r="BO98" s="10" t="str">
        <f>IF('P15'!$G94&lt;&gt;"", 'P15'!$G94, "non")</f>
        <v>non</v>
      </c>
      <c r="BP98" s="10" t="str">
        <f>IF('P16'!$G94&lt;&gt;"", 'P16'!$G94, "non")</f>
        <v>non</v>
      </c>
      <c r="BQ98" s="10" t="str">
        <f>IF('P17'!$G94&lt;&gt;"", 'P17'!$G94, "non")</f>
        <v>non</v>
      </c>
      <c r="BR98" s="10" t="str">
        <f>IF('P18'!$G94&lt;&gt;"", 'P18'!$G94, "non")</f>
        <v>non</v>
      </c>
      <c r="BS98" s="10" t="str">
        <f>IF('P19'!$G94&lt;&gt;"", 'P19'!$G94, "non")</f>
        <v>non</v>
      </c>
      <c r="BT98" s="11" t="str">
        <f>IF('P20'!$G94&lt;&gt;"", 'P20'!$G94, "non")</f>
        <v>non</v>
      </c>
      <c r="BU98" s="10" t="str">
        <f>IF('P21'!$G94&lt;&gt;"", 'P21'!$G94, "non")</f>
        <v>non</v>
      </c>
      <c r="BV98" s="11" t="str">
        <f>IF('P22'!$G94&lt;&gt;"", 'P22'!$G94, "non")</f>
        <v>non</v>
      </c>
      <c r="BW98" s="10" t="str">
        <f>IF('P23'!$G94&lt;&gt;"", 'P23'!$G94, "non")</f>
        <v>non</v>
      </c>
      <c r="BX98" s="11" t="str">
        <f>IF('P24'!$G94&lt;&gt;"", 'P24'!$G94, "non")</f>
        <v>non</v>
      </c>
      <c r="BY98" s="10" t="str">
        <f>IF('P25'!$G94&lt;&gt;"", 'P25'!$G94, "non")</f>
        <v>non</v>
      </c>
      <c r="BZ98" s="11" t="str">
        <f>IF('P26'!$G94&lt;&gt;"", 'P26'!$G94, "non")</f>
        <v>non</v>
      </c>
      <c r="CA98" s="10" t="str">
        <f>IF('P27'!$G94&lt;&gt;"", 'P27'!$G94, "non")</f>
        <v>non</v>
      </c>
      <c r="CB98" s="11" t="str">
        <f>IF('P28'!$G94&lt;&gt;"", 'P28'!$G94, "non")</f>
        <v>non</v>
      </c>
      <c r="CC98" s="10" t="str">
        <f>IF('P29'!$G94&lt;&gt;"", 'P29'!$G94, "non")</f>
        <v>non</v>
      </c>
      <c r="CD98" s="11" t="str">
        <f>IF('P30'!$G94&lt;&gt;"", 'P30'!$G94, "non")</f>
        <v>non</v>
      </c>
      <c r="CE98" s="10" t="str">
        <f>IF('P31'!$G94&lt;&gt;"", 'P31'!$G94, "non")</f>
        <v>non</v>
      </c>
      <c r="CF98" s="11" t="str">
        <f>IF('P32'!$G94&lt;&gt;"", 'P32'!$G94, "non")</f>
        <v>non</v>
      </c>
      <c r="CG98" s="10" t="str">
        <f>IF('P33'!$G94&lt;&gt;"", 'P33'!$G94, "non")</f>
        <v>non</v>
      </c>
      <c r="CH98" s="10" t="str">
        <f>IF('P34'!$G94&lt;&gt;"", 'P34'!$G94, "non")</f>
        <v>non</v>
      </c>
      <c r="CI98" s="11" t="str">
        <f>IF('P35'!$G94&lt;&gt;"", 'P35'!$G94, "non")</f>
        <v>non</v>
      </c>
      <c r="CJ98" s="10" t="str">
        <f>IF('P36'!$G94&lt;&gt;"", 'P36'!$G94, "non")</f>
        <v>non</v>
      </c>
      <c r="CK98" s="11" t="str">
        <f>IF('P37'!$G94&lt;&gt;"", 'P37'!$G94, "non")</f>
        <v>non</v>
      </c>
      <c r="CL98" s="10" t="str">
        <f>IF('P38'!$G94&lt;&gt;"", 'P38'!$G94, "non")</f>
        <v>non</v>
      </c>
      <c r="CM98" s="11" t="str">
        <f>IF('P39'!$G94&lt;&gt;"", 'P39'!$G94, "non")</f>
        <v>non</v>
      </c>
      <c r="CN98" s="10" t="str">
        <f>IF('P40'!$G94&lt;&gt;"", 'P40'!$G94, "non")</f>
        <v>non</v>
      </c>
    </row>
    <row r="99" spans="1:92" ht="39.75" customHeight="1">
      <c r="A99" s="122" t="str">
        <f>'Critères et tests'!B94</f>
        <v>NAVIGATION</v>
      </c>
      <c r="B99" s="124" t="str">
        <f>'Critères et tests'!$A94</f>
        <v>12.9</v>
      </c>
      <c r="C99" s="192" t="str">
        <f>VLOOKUP(B99,'Critères et tests'!$1:$1048576,5,FALSE)</f>
        <v>Dans chaque page web, la navigation ne doit pas contenir de piège au clavier. Cette règle est-elle respectée ?</v>
      </c>
      <c r="D99" s="124" t="str">
        <f>'Critères et tests'!$C94</f>
        <v>A</v>
      </c>
      <c r="E99" s="156" t="s">
        <v>460</v>
      </c>
      <c r="F99" s="88">
        <f>IF('P01'!$E95&gt;"",'P01'!$E95&amp;" "&amp;CHAR(10)&amp;'P01'!$F95,'P01'!$E95)</f>
        <v>0</v>
      </c>
      <c r="G99" s="89">
        <f>IF('P02'!$E95&gt;"",'P02'!$E95&amp;" "&amp;CHAR(10)&amp;'P02'!$F95,'P02'!$E95)</f>
        <v>0</v>
      </c>
      <c r="H99" s="89">
        <f>IF('P03'!$E95&gt;"",'P03'!$E95&amp;" "&amp;CHAR(10)&amp;'P03'!$F95,'P03'!$E95)</f>
        <v>0</v>
      </c>
      <c r="I99" s="89">
        <f>IF('P04'!$E95&gt;"",'P04'!$E95&amp;" "&amp;CHAR(10)&amp;'P04'!$F95,'P04'!$E95)</f>
        <v>0</v>
      </c>
      <c r="J99" s="89">
        <f>IF('P05'!$E95&gt;"",'P05'!$E95&amp;" "&amp;CHAR(10)&amp;'P05'!$F95,'P05'!$E95)</f>
        <v>0</v>
      </c>
      <c r="K99" s="89">
        <f>IF('P06'!$E95&gt;"",'P06'!$E95&amp;" "&amp;CHAR(10)&amp;'P06'!$F95,'P06'!$E95)</f>
        <v>0</v>
      </c>
      <c r="L99" s="89">
        <f>IF('P07'!$E95&gt;"",'P07'!$E95&amp;" "&amp;CHAR(10)&amp;'P07'!$F95,'P07'!$E95)</f>
        <v>0</v>
      </c>
      <c r="M99" s="89">
        <f>IF('P08'!$E95&gt;"",'P08'!$E95&amp;" "&amp;CHAR(10)&amp;'P08'!$F95,'P08'!$E95)</f>
        <v>0</v>
      </c>
      <c r="N99" s="89">
        <f>IF('P09'!$E95&gt;"",'P09'!$E95&amp;" "&amp;CHAR(10)&amp;'P09'!$F95,'P09'!$E95)</f>
        <v>0</v>
      </c>
      <c r="O99" s="89">
        <f>IF('P10'!$E95&gt;"",'P10'!$E95&amp;" "&amp;CHAR(10)&amp;'P10'!$F95,'P10'!$E95)</f>
        <v>0</v>
      </c>
      <c r="P99" s="89">
        <f>IF('P11'!$E95&gt;"",'P11'!$E95&amp;" "&amp;CHAR(10)&amp;'P11'!$F95,'P11'!$E95)</f>
        <v>0</v>
      </c>
      <c r="Q99" s="89">
        <f>IF('P12'!$E95&gt;"",'P12'!$E95&amp;" "&amp;CHAR(10)&amp;'P12'!$F95,'P12'!$E95)</f>
        <v>0</v>
      </c>
      <c r="R99" s="89">
        <f>IF('P13'!$E95&gt;"",'P13'!$E95&amp;" "&amp;CHAR(10)&amp;'P13'!$F95,'P13'!$E95)</f>
        <v>0</v>
      </c>
      <c r="S99" s="89">
        <f>IF('P14'!$E95&gt;"",'P14'!$E95&amp;" "&amp;CHAR(10)&amp;'P14'!$F95,'P14'!$E95)</f>
        <v>0</v>
      </c>
      <c r="T99" s="89">
        <f>IF('P15'!$E95&gt;"",'P15'!$E95&amp;" "&amp;CHAR(10)&amp;'P15'!$F95,'P15'!$E95)</f>
        <v>0</v>
      </c>
      <c r="U99" s="89">
        <f>IF('P16'!$E95&gt;"",'P16'!$E95&amp;" "&amp;CHAR(10)&amp;'P16'!$F95,'P16'!$E95)</f>
        <v>0</v>
      </c>
      <c r="V99" s="89">
        <f>IF('P17'!$E95&gt;"",'P17'!$E95&amp;" "&amp;CHAR(10)&amp;'P17'!$F95,'P17'!$E95)</f>
        <v>0</v>
      </c>
      <c r="W99" s="89">
        <f>IF('P18'!$E95&gt;"",'P18'!$E95&amp;" "&amp;CHAR(10)&amp;'P18'!$F95,'P18'!$E95)</f>
        <v>0</v>
      </c>
      <c r="X99" s="89">
        <f>IF('P19'!$E95&gt;"",'P19'!$E95&amp;" "&amp;CHAR(10)&amp;'P19'!$F95,'P19'!$E95)</f>
        <v>0</v>
      </c>
      <c r="Y99" s="89">
        <f>IF('P20'!$E95&gt;"",'P20'!$E95&amp;" "&amp;CHAR(10)&amp;'P20'!$F95,'P20'!$E95)</f>
        <v>0</v>
      </c>
      <c r="Z99" s="89">
        <f>IF('P21'!$E95&gt;"",'P21'!$E95&amp;" "&amp;CHAR(10)&amp;'P21'!$F95,'P21'!$E95)</f>
        <v>0</v>
      </c>
      <c r="AA99" s="89">
        <f>IF('P22'!$E95&gt;"",'P22'!$E95&amp;" "&amp;CHAR(10)&amp;'P22'!$F95,'P22'!$E95)</f>
        <v>0</v>
      </c>
      <c r="AB99" s="89">
        <f>IF('P23'!$E95&gt;"",'P23'!$E95&amp;" "&amp;CHAR(10)&amp;'P23'!$F95,'P23'!$E95)</f>
        <v>0</v>
      </c>
      <c r="AC99" s="89">
        <f>IF('P24'!$E95&gt;"",'P24'!$E95&amp;" "&amp;CHAR(10)&amp;'P24'!$F95,'P24'!$E95)</f>
        <v>0</v>
      </c>
      <c r="AD99" s="89">
        <f>IF('P25'!$E95&gt;"",'P25'!$E95&amp;" "&amp;CHAR(10)&amp;'P25'!$F95,'P25'!$E95)</f>
        <v>0</v>
      </c>
      <c r="AE99" s="89">
        <f>IF('P26'!$E95&gt;"",'P26'!$E95&amp;" "&amp;CHAR(10)&amp;'P26'!$F95,'P26'!$E95)</f>
        <v>0</v>
      </c>
      <c r="AF99" s="89">
        <f>IF('P27'!$E95&gt;"",'P27'!$E95&amp;" "&amp;CHAR(10)&amp;'P27'!$F95,'P27'!$E95)</f>
        <v>0</v>
      </c>
      <c r="AG99" s="89">
        <f>IF('P28'!$E95&gt;"",'P28'!$E95&amp;" "&amp;CHAR(10)&amp;'P28'!$F95,'P28'!$E95)</f>
        <v>0</v>
      </c>
      <c r="AH99" s="89">
        <f>IF('P29'!$E95&gt;"",'P29'!$E95&amp;" "&amp;CHAR(10)&amp;'P29'!$F95,'P29'!$E95)</f>
        <v>0</v>
      </c>
      <c r="AI99" s="89">
        <f>IF('P30'!$E95&gt;"",'P30'!$E95&amp;" "&amp;CHAR(10)&amp;'P30'!$F95,'P30'!$E95)</f>
        <v>0</v>
      </c>
      <c r="AJ99" s="89">
        <f>IF('P31'!$E95&gt;"",'P31'!$E95&amp;" "&amp;CHAR(10)&amp;'P31'!$F95,'P31'!$E95)</f>
        <v>0</v>
      </c>
      <c r="AK99" s="89">
        <f>IF('P32'!$E95&gt;"",'P32'!$E95&amp;" "&amp;CHAR(10)&amp;'P32'!$F95,'P32'!$E95)</f>
        <v>0</v>
      </c>
      <c r="AL99" s="89">
        <f>IF('P33'!$E95&gt;"",'P33'!$E95&amp;" "&amp;CHAR(10)&amp;'P33'!$F95,'P33'!$E95)</f>
        <v>0</v>
      </c>
      <c r="AM99" s="89">
        <f>IF('P34'!$E95&gt;"",'P34'!$E95&amp;" "&amp;CHAR(10)&amp;'P34'!$F95,'P34'!$E95)</f>
        <v>0</v>
      </c>
      <c r="AN99" s="89">
        <f>IF('P35'!$E95&gt;"",'P35'!$E95&amp;" "&amp;CHAR(10)&amp;'P35'!$F95,'P35'!$E95)</f>
        <v>0</v>
      </c>
      <c r="AO99" s="89">
        <f>IF('P36'!$E95&gt;"",'P36'!$E95&amp;" "&amp;CHAR(10)&amp;'P36'!$F95,'P36'!$E95)</f>
        <v>0</v>
      </c>
      <c r="AP99" s="89">
        <f>IF('P37'!$E95&gt;"",'P37'!$E95&amp;" "&amp;CHAR(10)&amp;'P37'!$F95,'P37'!$E95)</f>
        <v>0</v>
      </c>
      <c r="AQ99" s="89">
        <f>IF('P38'!$E95&gt;"",'P38'!$E95&amp;" "&amp;CHAR(10)&amp;'P38'!$F95,'P38'!$E95)</f>
        <v>0</v>
      </c>
      <c r="AR99" s="89">
        <f>IF('P39'!$E95&gt;"",'P39'!$E95&amp;" "&amp;CHAR(10)&amp;'P39'!$F95,'P39'!$E95)</f>
        <v>0</v>
      </c>
      <c r="AS99" s="89">
        <f>IF('P40'!$E95&gt;"",'P40'!$E95&amp;" "&amp;CHAR(10)&amp;'P40'!$F95,'P40'!$E95)</f>
        <v>0</v>
      </c>
      <c r="AT99" s="55">
        <f t="shared" si="9"/>
        <v>0</v>
      </c>
      <c r="AU99" s="9">
        <f t="shared" si="10"/>
        <v>0</v>
      </c>
      <c r="AV99" s="55">
        <f t="shared" si="11"/>
        <v>0</v>
      </c>
      <c r="AW99" s="38" t="str">
        <f t="shared" si="12"/>
        <v>NT</v>
      </c>
      <c r="AX99" s="12"/>
      <c r="AY99" s="10"/>
      <c r="AZ99" s="10"/>
      <c r="BA99" s="10" t="str">
        <f>IF('P01'!$G95&lt;&gt;"", 'P01'!$G95, "non")</f>
        <v>non</v>
      </c>
      <c r="BB99" s="10" t="str">
        <f>IF('P02'!$G95&lt;&gt;"", 'P02'!$G95, "non")</f>
        <v>non</v>
      </c>
      <c r="BC99" s="10" t="str">
        <f>IF('P03'!$G95&lt;&gt;"", 'P03'!$G95, "non")</f>
        <v>non</v>
      </c>
      <c r="BD99" s="10" t="str">
        <f>IF('P04'!$G95&lt;&gt;"", 'P04'!$G95, "non")</f>
        <v>non</v>
      </c>
      <c r="BE99" s="10" t="str">
        <f>IF('P05'!$G95&lt;&gt;"", 'P05'!$G95, "non")</f>
        <v>non</v>
      </c>
      <c r="BF99" s="10" t="str">
        <f>IF('P06'!$G95&lt;&gt;"", 'P06'!$G95, "non")</f>
        <v>non</v>
      </c>
      <c r="BG99" s="10" t="str">
        <f>IF('P07'!$G95&lt;&gt;"", 'P07'!$G95, "non")</f>
        <v>non</v>
      </c>
      <c r="BH99" s="10" t="str">
        <f>IF('P08'!$G95&lt;&gt;"", 'P08'!$G95, "non")</f>
        <v>non</v>
      </c>
      <c r="BI99" s="10" t="str">
        <f>IF('P09'!$G95&lt;&gt;"", 'P09'!$G95, "non")</f>
        <v>non</v>
      </c>
      <c r="BJ99" s="10" t="str">
        <f>IF('P10'!$G95&lt;&gt;"", 'P10'!$G95, "non")</f>
        <v>non</v>
      </c>
      <c r="BK99" s="10" t="str">
        <f>IF('P11'!$G95&lt;&gt;"", 'P11'!$G95, "non")</f>
        <v>non</v>
      </c>
      <c r="BL99" s="10" t="str">
        <f>IF('P12'!$G95&lt;&gt;"", 'P12'!$G95, "non")</f>
        <v>non</v>
      </c>
      <c r="BM99" s="10" t="str">
        <f>IF('P13'!$G95&lt;&gt;"", 'P13'!$G95, "non")</f>
        <v>non</v>
      </c>
      <c r="BN99" s="10" t="str">
        <f>IF('P14'!$G95&lt;&gt;"", 'P14'!$G95, "non")</f>
        <v>non</v>
      </c>
      <c r="BO99" s="10" t="str">
        <f>IF('P15'!$G95&lt;&gt;"", 'P15'!$G95, "non")</f>
        <v>non</v>
      </c>
      <c r="BP99" s="10" t="str">
        <f>IF('P16'!$G95&lt;&gt;"", 'P16'!$G95, "non")</f>
        <v>non</v>
      </c>
      <c r="BQ99" s="10" t="str">
        <f>IF('P17'!$G95&lt;&gt;"", 'P17'!$G95, "non")</f>
        <v>non</v>
      </c>
      <c r="BR99" s="10" t="str">
        <f>IF('P18'!$G95&lt;&gt;"", 'P18'!$G95, "non")</f>
        <v>non</v>
      </c>
      <c r="BS99" s="10" t="str">
        <f>IF('P19'!$G95&lt;&gt;"", 'P19'!$G95, "non")</f>
        <v>non</v>
      </c>
      <c r="BT99" s="11" t="str">
        <f>IF('P20'!$G95&lt;&gt;"", 'P20'!$G95, "non")</f>
        <v>non</v>
      </c>
      <c r="BU99" s="10" t="str">
        <f>IF('P21'!$G95&lt;&gt;"", 'P21'!$G95, "non")</f>
        <v>non</v>
      </c>
      <c r="BV99" s="11" t="str">
        <f>IF('P22'!$G95&lt;&gt;"", 'P22'!$G95, "non")</f>
        <v>non</v>
      </c>
      <c r="BW99" s="10" t="str">
        <f>IF('P23'!$G95&lt;&gt;"", 'P23'!$G95, "non")</f>
        <v>non</v>
      </c>
      <c r="BX99" s="11" t="str">
        <f>IF('P24'!$G95&lt;&gt;"", 'P24'!$G95, "non")</f>
        <v>non</v>
      </c>
      <c r="BY99" s="10" t="str">
        <f>IF('P25'!$G95&lt;&gt;"", 'P25'!$G95, "non")</f>
        <v>non</v>
      </c>
      <c r="BZ99" s="11" t="str">
        <f>IF('P26'!$G95&lt;&gt;"", 'P26'!$G95, "non")</f>
        <v>non</v>
      </c>
      <c r="CA99" s="10" t="str">
        <f>IF('P27'!$G95&lt;&gt;"", 'P27'!$G95, "non")</f>
        <v>non</v>
      </c>
      <c r="CB99" s="11" t="str">
        <f>IF('P28'!$G95&lt;&gt;"", 'P28'!$G95, "non")</f>
        <v>non</v>
      </c>
      <c r="CC99" s="10" t="str">
        <f>IF('P29'!$G95&lt;&gt;"", 'P29'!$G95, "non")</f>
        <v>non</v>
      </c>
      <c r="CD99" s="11" t="str">
        <f>IF('P30'!$G95&lt;&gt;"", 'P30'!$G95, "non")</f>
        <v>non</v>
      </c>
      <c r="CE99" s="10" t="str">
        <f>IF('P31'!$G95&lt;&gt;"", 'P31'!$G95, "non")</f>
        <v>non</v>
      </c>
      <c r="CF99" s="11" t="str">
        <f>IF('P32'!$G95&lt;&gt;"", 'P32'!$G95, "non")</f>
        <v>non</v>
      </c>
      <c r="CG99" s="10" t="str">
        <f>IF('P33'!$G95&lt;&gt;"", 'P33'!$G95, "non")</f>
        <v>non</v>
      </c>
      <c r="CH99" s="10" t="str">
        <f>IF('P34'!$G95&lt;&gt;"", 'P34'!$G95, "non")</f>
        <v>non</v>
      </c>
      <c r="CI99" s="11" t="str">
        <f>IF('P35'!$G95&lt;&gt;"", 'P35'!$G95, "non")</f>
        <v>non</v>
      </c>
      <c r="CJ99" s="10" t="str">
        <f>IF('P36'!$G95&lt;&gt;"", 'P36'!$G95, "non")</f>
        <v>non</v>
      </c>
      <c r="CK99" s="11" t="str">
        <f>IF('P37'!$G95&lt;&gt;"", 'P37'!$G95, "non")</f>
        <v>non</v>
      </c>
      <c r="CL99" s="10" t="str">
        <f>IF('P38'!$G95&lt;&gt;"", 'P38'!$G95, "non")</f>
        <v>non</v>
      </c>
      <c r="CM99" s="11" t="str">
        <f>IF('P39'!$G95&lt;&gt;"", 'P39'!$G95, "non")</f>
        <v>non</v>
      </c>
      <c r="CN99" s="10" t="str">
        <f>IF('P40'!$G95&lt;&gt;"", 'P40'!$G95, "non")</f>
        <v>non</v>
      </c>
    </row>
    <row r="100" spans="1:92" ht="39.75" customHeight="1">
      <c r="A100" s="122" t="str">
        <f>'Critères et tests'!B95</f>
        <v>NAVIGATION</v>
      </c>
      <c r="B100" s="124" t="str">
        <f>'Critères et tests'!$A95</f>
        <v>12.10</v>
      </c>
      <c r="C100" s="192" t="str">
        <f>VLOOKUP(B100,'Critères et tests'!$1:$1048576,5,FALSE)</f>
        <v>Dans chaque page web, les raccourcis clavier n’utilisant qu’une seule touche (lettre minuscule ou majuscule, ponctuation, chiffre ou symbole) sont-ils contrôlables par l’utilisateur ?</v>
      </c>
      <c r="D100" s="124" t="str">
        <f>'Critères et tests'!$C95</f>
        <v>A</v>
      </c>
      <c r="E100" s="156" t="s">
        <v>460</v>
      </c>
      <c r="F100" s="88">
        <f>IF('P01'!$E96&gt;"",'P01'!$E96&amp;" "&amp;CHAR(10)&amp;'P01'!$F96,'P01'!$E96)</f>
        <v>0</v>
      </c>
      <c r="G100" s="89">
        <f>IF('P02'!$E96&gt;"",'P02'!$E96&amp;" "&amp;CHAR(10)&amp;'P02'!$F96,'P02'!$E96)</f>
        <v>0</v>
      </c>
      <c r="H100" s="89">
        <f>IF('P03'!$E96&gt;"",'P03'!$E96&amp;" "&amp;CHAR(10)&amp;'P03'!$F96,'P03'!$E96)</f>
        <v>0</v>
      </c>
      <c r="I100" s="89">
        <f>IF('P04'!$E96&gt;"",'P04'!$E96&amp;" "&amp;CHAR(10)&amp;'P04'!$F96,'P04'!$E96)</f>
        <v>0</v>
      </c>
      <c r="J100" s="89">
        <f>IF('P05'!$E96&gt;"",'P05'!$E96&amp;" "&amp;CHAR(10)&amp;'P05'!$F96,'P05'!$E96)</f>
        <v>0</v>
      </c>
      <c r="K100" s="89">
        <f>IF('P06'!$E96&gt;"",'P06'!$E96&amp;" "&amp;CHAR(10)&amp;'P06'!$F96,'P06'!$E96)</f>
        <v>0</v>
      </c>
      <c r="L100" s="89">
        <f>IF('P07'!$E96&gt;"",'P07'!$E96&amp;" "&amp;CHAR(10)&amp;'P07'!$F96,'P07'!$E96)</f>
        <v>0</v>
      </c>
      <c r="M100" s="89">
        <f>IF('P08'!$E96&gt;"",'P08'!$E96&amp;" "&amp;CHAR(10)&amp;'P08'!$F96,'P08'!$E96)</f>
        <v>0</v>
      </c>
      <c r="N100" s="89">
        <f>IF('P09'!$E96&gt;"",'P09'!$E96&amp;" "&amp;CHAR(10)&amp;'P09'!$F96,'P09'!$E96)</f>
        <v>0</v>
      </c>
      <c r="O100" s="89">
        <f>IF('P10'!$E96&gt;"",'P10'!$E96&amp;" "&amp;CHAR(10)&amp;'P10'!$F96,'P10'!$E96)</f>
        <v>0</v>
      </c>
      <c r="P100" s="89">
        <f>IF('P11'!$E96&gt;"",'P11'!$E96&amp;" "&amp;CHAR(10)&amp;'P11'!$F96,'P11'!$E96)</f>
        <v>0</v>
      </c>
      <c r="Q100" s="89">
        <f>IF('P12'!$E96&gt;"",'P12'!$E96&amp;" "&amp;CHAR(10)&amp;'P12'!$F96,'P12'!$E96)</f>
        <v>0</v>
      </c>
      <c r="R100" s="89">
        <f>IF('P13'!$E96&gt;"",'P13'!$E96&amp;" "&amp;CHAR(10)&amp;'P13'!$F96,'P13'!$E96)</f>
        <v>0</v>
      </c>
      <c r="S100" s="89">
        <f>IF('P14'!$E96&gt;"",'P14'!$E96&amp;" "&amp;CHAR(10)&amp;'P14'!$F96,'P14'!$E96)</f>
        <v>0</v>
      </c>
      <c r="T100" s="89">
        <f>IF('P15'!$E96&gt;"",'P15'!$E96&amp;" "&amp;CHAR(10)&amp;'P15'!$F96,'P15'!$E96)</f>
        <v>0</v>
      </c>
      <c r="U100" s="89">
        <f>IF('P16'!$E96&gt;"",'P16'!$E96&amp;" "&amp;CHAR(10)&amp;'P16'!$F96,'P16'!$E96)</f>
        <v>0</v>
      </c>
      <c r="V100" s="89">
        <f>IF('P17'!$E96&gt;"",'P17'!$E96&amp;" "&amp;CHAR(10)&amp;'P17'!$F96,'P17'!$E96)</f>
        <v>0</v>
      </c>
      <c r="W100" s="89">
        <f>IF('P18'!$E96&gt;"",'P18'!$E96&amp;" "&amp;CHAR(10)&amp;'P18'!$F96,'P18'!$E96)</f>
        <v>0</v>
      </c>
      <c r="X100" s="89">
        <f>IF('P19'!$E96&gt;"",'P19'!$E96&amp;" "&amp;CHAR(10)&amp;'P19'!$F96,'P19'!$E96)</f>
        <v>0</v>
      </c>
      <c r="Y100" s="89">
        <f>IF('P20'!$E96&gt;"",'P20'!$E96&amp;" "&amp;CHAR(10)&amp;'P20'!$F96,'P20'!$E96)</f>
        <v>0</v>
      </c>
      <c r="Z100" s="89">
        <f>IF('P21'!$E96&gt;"",'P21'!$E96&amp;" "&amp;CHAR(10)&amp;'P21'!$F96,'P21'!$E96)</f>
        <v>0</v>
      </c>
      <c r="AA100" s="89">
        <f>IF('P22'!$E96&gt;"",'P22'!$E96&amp;" "&amp;CHAR(10)&amp;'P22'!$F96,'P22'!$E96)</f>
        <v>0</v>
      </c>
      <c r="AB100" s="89">
        <f>IF('P23'!$E96&gt;"",'P23'!$E96&amp;" "&amp;CHAR(10)&amp;'P23'!$F96,'P23'!$E96)</f>
        <v>0</v>
      </c>
      <c r="AC100" s="89">
        <f>IF('P24'!$E96&gt;"",'P24'!$E96&amp;" "&amp;CHAR(10)&amp;'P24'!$F96,'P24'!$E96)</f>
        <v>0</v>
      </c>
      <c r="AD100" s="89">
        <f>IF('P25'!$E96&gt;"",'P25'!$E96&amp;" "&amp;CHAR(10)&amp;'P25'!$F96,'P25'!$E96)</f>
        <v>0</v>
      </c>
      <c r="AE100" s="89">
        <f>IF('P26'!$E96&gt;"",'P26'!$E96&amp;" "&amp;CHAR(10)&amp;'P26'!$F96,'P26'!$E96)</f>
        <v>0</v>
      </c>
      <c r="AF100" s="89">
        <f>IF('P27'!$E96&gt;"",'P27'!$E96&amp;" "&amp;CHAR(10)&amp;'P27'!$F96,'P27'!$E96)</f>
        <v>0</v>
      </c>
      <c r="AG100" s="89">
        <f>IF('P28'!$E96&gt;"",'P28'!$E96&amp;" "&amp;CHAR(10)&amp;'P28'!$F96,'P28'!$E96)</f>
        <v>0</v>
      </c>
      <c r="AH100" s="89">
        <f>IF('P29'!$E96&gt;"",'P29'!$E96&amp;" "&amp;CHAR(10)&amp;'P29'!$F96,'P29'!$E96)</f>
        <v>0</v>
      </c>
      <c r="AI100" s="89">
        <f>IF('P30'!$E96&gt;"",'P30'!$E96&amp;" "&amp;CHAR(10)&amp;'P30'!$F96,'P30'!$E96)</f>
        <v>0</v>
      </c>
      <c r="AJ100" s="89">
        <f>IF('P31'!$E96&gt;"",'P31'!$E96&amp;" "&amp;CHAR(10)&amp;'P31'!$F96,'P31'!$E96)</f>
        <v>0</v>
      </c>
      <c r="AK100" s="89">
        <f>IF('P32'!$E96&gt;"",'P32'!$E96&amp;" "&amp;CHAR(10)&amp;'P32'!$F96,'P32'!$E96)</f>
        <v>0</v>
      </c>
      <c r="AL100" s="89">
        <f>IF('P33'!$E96&gt;"",'P33'!$E96&amp;" "&amp;CHAR(10)&amp;'P33'!$F96,'P33'!$E96)</f>
        <v>0</v>
      </c>
      <c r="AM100" s="89">
        <f>IF('P34'!$E96&gt;"",'P34'!$E96&amp;" "&amp;CHAR(10)&amp;'P34'!$F96,'P34'!$E96)</f>
        <v>0</v>
      </c>
      <c r="AN100" s="89">
        <f>IF('P35'!$E96&gt;"",'P35'!$E96&amp;" "&amp;CHAR(10)&amp;'P35'!$F96,'P35'!$E96)</f>
        <v>0</v>
      </c>
      <c r="AO100" s="89">
        <f>IF('P36'!$E96&gt;"",'P36'!$E96&amp;" "&amp;CHAR(10)&amp;'P36'!$F96,'P36'!$E96)</f>
        <v>0</v>
      </c>
      <c r="AP100" s="89">
        <f>IF('P37'!$E96&gt;"",'P37'!$E96&amp;" "&amp;CHAR(10)&amp;'P37'!$F96,'P37'!$E96)</f>
        <v>0</v>
      </c>
      <c r="AQ100" s="89">
        <f>IF('P38'!$E96&gt;"",'P38'!$E96&amp;" "&amp;CHAR(10)&amp;'P38'!$F96,'P38'!$E96)</f>
        <v>0</v>
      </c>
      <c r="AR100" s="89">
        <f>IF('P39'!$E96&gt;"",'P39'!$E96&amp;" "&amp;CHAR(10)&amp;'P39'!$F96,'P39'!$E96)</f>
        <v>0</v>
      </c>
      <c r="AS100" s="89">
        <f>IF('P40'!$E96&gt;"",'P40'!$E96&amp;" "&amp;CHAR(10)&amp;'P40'!$F96,'P40'!$E96)</f>
        <v>0</v>
      </c>
      <c r="AT100" s="55">
        <f t="shared" si="9"/>
        <v>0</v>
      </c>
      <c r="AU100" s="9">
        <f t="shared" si="10"/>
        <v>0</v>
      </c>
      <c r="AV100" s="55">
        <f t="shared" si="11"/>
        <v>0</v>
      </c>
      <c r="AW100" s="38" t="str">
        <f t="shared" si="12"/>
        <v>NT</v>
      </c>
      <c r="AX100" s="12"/>
      <c r="AY100" s="10"/>
      <c r="AZ100" s="10"/>
      <c r="BA100" s="10" t="str">
        <f>IF('P01'!$G96&lt;&gt;"", 'P01'!$G96, "non")</f>
        <v>non</v>
      </c>
      <c r="BB100" s="10" t="str">
        <f>IF('P02'!$G96&lt;&gt;"", 'P02'!$G96, "non")</f>
        <v>non</v>
      </c>
      <c r="BC100" s="10" t="str">
        <f>IF('P03'!$G96&lt;&gt;"", 'P03'!$G96, "non")</f>
        <v>non</v>
      </c>
      <c r="BD100" s="10" t="str">
        <f>IF('P04'!$G96&lt;&gt;"", 'P04'!$G96, "non")</f>
        <v>non</v>
      </c>
      <c r="BE100" s="10" t="str">
        <f>IF('P05'!$G96&lt;&gt;"", 'P05'!$G96, "non")</f>
        <v>non</v>
      </c>
      <c r="BF100" s="10" t="str">
        <f>IF('P06'!$G96&lt;&gt;"", 'P06'!$G96, "non")</f>
        <v>non</v>
      </c>
      <c r="BG100" s="10" t="str">
        <f>IF('P07'!$G96&lt;&gt;"", 'P07'!$G96, "non")</f>
        <v>non</v>
      </c>
      <c r="BH100" s="10" t="str">
        <f>IF('P08'!$G96&lt;&gt;"", 'P08'!$G96, "non")</f>
        <v>non</v>
      </c>
      <c r="BI100" s="10" t="str">
        <f>IF('P09'!$G96&lt;&gt;"", 'P09'!$G96, "non")</f>
        <v>non</v>
      </c>
      <c r="BJ100" s="10" t="str">
        <f>IF('P10'!$G96&lt;&gt;"", 'P10'!$G96, "non")</f>
        <v>non</v>
      </c>
      <c r="BK100" s="10" t="str">
        <f>IF('P11'!$G96&lt;&gt;"", 'P11'!$G96, "non")</f>
        <v>non</v>
      </c>
      <c r="BL100" s="10" t="str">
        <f>IF('P12'!$G96&lt;&gt;"", 'P12'!$G96, "non")</f>
        <v>non</v>
      </c>
      <c r="BM100" s="10" t="str">
        <f>IF('P13'!$G96&lt;&gt;"", 'P13'!$G96, "non")</f>
        <v>non</v>
      </c>
      <c r="BN100" s="10" t="str">
        <f>IF('P14'!$G96&lt;&gt;"", 'P14'!$G96, "non")</f>
        <v>non</v>
      </c>
      <c r="BO100" s="10" t="str">
        <f>IF('P15'!$G96&lt;&gt;"", 'P15'!$G96, "non")</f>
        <v>non</v>
      </c>
      <c r="BP100" s="10" t="str">
        <f>IF('P16'!$G96&lt;&gt;"", 'P16'!$G96, "non")</f>
        <v>non</v>
      </c>
      <c r="BQ100" s="10" t="str">
        <f>IF('P17'!$G96&lt;&gt;"", 'P17'!$G96, "non")</f>
        <v>non</v>
      </c>
      <c r="BR100" s="10" t="str">
        <f>IF('P18'!$G96&lt;&gt;"", 'P18'!$G96, "non")</f>
        <v>non</v>
      </c>
      <c r="BS100" s="10" t="str">
        <f>IF('P19'!$G96&lt;&gt;"", 'P19'!$G96, "non")</f>
        <v>non</v>
      </c>
      <c r="BT100" s="11" t="str">
        <f>IF('P20'!$G96&lt;&gt;"", 'P20'!$G96, "non")</f>
        <v>non</v>
      </c>
      <c r="BU100" s="10" t="str">
        <f>IF('P21'!$G96&lt;&gt;"", 'P21'!$G96, "non")</f>
        <v>non</v>
      </c>
      <c r="BV100" s="11" t="str">
        <f>IF('P22'!$G96&lt;&gt;"", 'P22'!$G96, "non")</f>
        <v>non</v>
      </c>
      <c r="BW100" s="10" t="str">
        <f>IF('P23'!$G96&lt;&gt;"", 'P23'!$G96, "non")</f>
        <v>non</v>
      </c>
      <c r="BX100" s="11" t="str">
        <f>IF('P24'!$G96&lt;&gt;"", 'P24'!$G96, "non")</f>
        <v>non</v>
      </c>
      <c r="BY100" s="10" t="str">
        <f>IF('P25'!$G96&lt;&gt;"", 'P25'!$G96, "non")</f>
        <v>non</v>
      </c>
      <c r="BZ100" s="11" t="str">
        <f>IF('P26'!$G96&lt;&gt;"", 'P26'!$G96, "non")</f>
        <v>non</v>
      </c>
      <c r="CA100" s="10" t="str">
        <f>IF('P27'!$G96&lt;&gt;"", 'P27'!$G96, "non")</f>
        <v>non</v>
      </c>
      <c r="CB100" s="11" t="str">
        <f>IF('P28'!$G96&lt;&gt;"", 'P28'!$G96, "non")</f>
        <v>non</v>
      </c>
      <c r="CC100" s="10" t="str">
        <f>IF('P29'!$G96&lt;&gt;"", 'P29'!$G96, "non")</f>
        <v>non</v>
      </c>
      <c r="CD100" s="11" t="str">
        <f>IF('P30'!$G96&lt;&gt;"", 'P30'!$G96, "non")</f>
        <v>non</v>
      </c>
      <c r="CE100" s="10" t="str">
        <f>IF('P31'!$G96&lt;&gt;"", 'P31'!$G96, "non")</f>
        <v>non</v>
      </c>
      <c r="CF100" s="11" t="str">
        <f>IF('P32'!$G96&lt;&gt;"", 'P32'!$G96, "non")</f>
        <v>non</v>
      </c>
      <c r="CG100" s="10" t="str">
        <f>IF('P33'!$G96&lt;&gt;"", 'P33'!$G96, "non")</f>
        <v>non</v>
      </c>
      <c r="CH100" s="10" t="str">
        <f>IF('P34'!$G96&lt;&gt;"", 'P34'!$G96, "non")</f>
        <v>non</v>
      </c>
      <c r="CI100" s="11" t="str">
        <f>IF('P35'!$G96&lt;&gt;"", 'P35'!$G96, "non")</f>
        <v>non</v>
      </c>
      <c r="CJ100" s="10" t="str">
        <f>IF('P36'!$G96&lt;&gt;"", 'P36'!$G96, "non")</f>
        <v>non</v>
      </c>
      <c r="CK100" s="11" t="str">
        <f>IF('P37'!$G96&lt;&gt;"", 'P37'!$G96, "non")</f>
        <v>non</v>
      </c>
      <c r="CL100" s="10" t="str">
        <f>IF('P38'!$G96&lt;&gt;"", 'P38'!$G96, "non")</f>
        <v>non</v>
      </c>
      <c r="CM100" s="11" t="str">
        <f>IF('P39'!$G96&lt;&gt;"", 'P39'!$G96, "non")</f>
        <v>non</v>
      </c>
      <c r="CN100" s="10" t="str">
        <f>IF('P40'!$G96&lt;&gt;"", 'P40'!$G96, "non")</f>
        <v>non</v>
      </c>
    </row>
    <row r="101" spans="1:92" ht="39.75" customHeight="1">
      <c r="A101" s="122" t="str">
        <f>'Critères et tests'!B96</f>
        <v>NAVIGATION</v>
      </c>
      <c r="B101" s="124" t="str">
        <f>'Critères et tests'!$A96</f>
        <v>12.11</v>
      </c>
      <c r="C101" s="192" t="str">
        <f>VLOOKUP(B101,'Critères et tests'!$1:$1048576,5,FALSE)</f>
        <v>Dans chaque page web, les contenus additionnels apparaissant au survol, à la prise de focus ou à l’activation d’un composant d’interface sont-ils si nécessaire atteignables au clavier ?</v>
      </c>
      <c r="D101" s="124" t="str">
        <f>'Critères et tests'!$C96</f>
        <v>A</v>
      </c>
      <c r="E101" s="156" t="s">
        <v>460</v>
      </c>
      <c r="F101" s="88">
        <f>IF('P01'!$E97&gt;"",'P01'!$E97&amp;" "&amp;CHAR(10)&amp;'P01'!$F97,'P01'!$E97)</f>
        <v>0</v>
      </c>
      <c r="G101" s="89">
        <f>IF('P02'!$E97&gt;"",'P02'!$E97&amp;" "&amp;CHAR(10)&amp;'P02'!$F97,'P02'!$E97)</f>
        <v>0</v>
      </c>
      <c r="H101" s="89">
        <f>IF('P03'!$E97&gt;"",'P03'!$E97&amp;" "&amp;CHAR(10)&amp;'P03'!$F97,'P03'!$E97)</f>
        <v>0</v>
      </c>
      <c r="I101" s="89">
        <f>IF('P04'!$E97&gt;"",'P04'!$E97&amp;" "&amp;CHAR(10)&amp;'P04'!$F97,'P04'!$E97)</f>
        <v>0</v>
      </c>
      <c r="J101" s="89">
        <f>IF('P05'!$E97&gt;"",'P05'!$E97&amp;" "&amp;CHAR(10)&amp;'P05'!$F97,'P05'!$E97)</f>
        <v>0</v>
      </c>
      <c r="K101" s="89">
        <f>IF('P06'!$E97&gt;"",'P06'!$E97&amp;" "&amp;CHAR(10)&amp;'P06'!$F97,'P06'!$E97)</f>
        <v>0</v>
      </c>
      <c r="L101" s="89">
        <f>IF('P07'!$E97&gt;"",'P07'!$E97&amp;" "&amp;CHAR(10)&amp;'P07'!$F97,'P07'!$E97)</f>
        <v>0</v>
      </c>
      <c r="M101" s="89">
        <f>IF('P08'!$E97&gt;"",'P08'!$E97&amp;" "&amp;CHAR(10)&amp;'P08'!$F97,'P08'!$E97)</f>
        <v>0</v>
      </c>
      <c r="N101" s="89">
        <f>IF('P09'!$E97&gt;"",'P09'!$E97&amp;" "&amp;CHAR(10)&amp;'P09'!$F97,'P09'!$E97)</f>
        <v>0</v>
      </c>
      <c r="O101" s="89">
        <f>IF('P10'!$E97&gt;"",'P10'!$E97&amp;" "&amp;CHAR(10)&amp;'P10'!$F97,'P10'!$E97)</f>
        <v>0</v>
      </c>
      <c r="P101" s="89">
        <f>IF('P11'!$E97&gt;"",'P11'!$E97&amp;" "&amp;CHAR(10)&amp;'P11'!$F97,'P11'!$E97)</f>
        <v>0</v>
      </c>
      <c r="Q101" s="89">
        <f>IF('P12'!$E97&gt;"",'P12'!$E97&amp;" "&amp;CHAR(10)&amp;'P12'!$F97,'P12'!$E97)</f>
        <v>0</v>
      </c>
      <c r="R101" s="89">
        <f>IF('P13'!$E97&gt;"",'P13'!$E97&amp;" "&amp;CHAR(10)&amp;'P13'!$F97,'P13'!$E97)</f>
        <v>0</v>
      </c>
      <c r="S101" s="89">
        <f>IF('P14'!$E97&gt;"",'P14'!$E97&amp;" "&amp;CHAR(10)&amp;'P14'!$F97,'P14'!$E97)</f>
        <v>0</v>
      </c>
      <c r="T101" s="89">
        <f>IF('P15'!$E97&gt;"",'P15'!$E97&amp;" "&amp;CHAR(10)&amp;'P15'!$F97,'P15'!$E97)</f>
        <v>0</v>
      </c>
      <c r="U101" s="89">
        <f>IF('P16'!$E97&gt;"",'P16'!$E97&amp;" "&amp;CHAR(10)&amp;'P16'!$F97,'P16'!$E97)</f>
        <v>0</v>
      </c>
      <c r="V101" s="89">
        <f>IF('P17'!$E97&gt;"",'P17'!$E97&amp;" "&amp;CHAR(10)&amp;'P17'!$F97,'P17'!$E97)</f>
        <v>0</v>
      </c>
      <c r="W101" s="89">
        <f>IF('P18'!$E97&gt;"",'P18'!$E97&amp;" "&amp;CHAR(10)&amp;'P18'!$F97,'P18'!$E97)</f>
        <v>0</v>
      </c>
      <c r="X101" s="89">
        <f>IF('P19'!$E97&gt;"",'P19'!$E97&amp;" "&amp;CHAR(10)&amp;'P19'!$F97,'P19'!$E97)</f>
        <v>0</v>
      </c>
      <c r="Y101" s="89">
        <f>IF('P20'!$E97&gt;"",'P20'!$E97&amp;" "&amp;CHAR(10)&amp;'P20'!$F97,'P20'!$E97)</f>
        <v>0</v>
      </c>
      <c r="Z101" s="89">
        <f>IF('P21'!$E97&gt;"",'P21'!$E97&amp;" "&amp;CHAR(10)&amp;'P21'!$F97,'P21'!$E97)</f>
        <v>0</v>
      </c>
      <c r="AA101" s="89">
        <f>IF('P22'!$E97&gt;"",'P22'!$E97&amp;" "&amp;CHAR(10)&amp;'P22'!$F97,'P22'!$E97)</f>
        <v>0</v>
      </c>
      <c r="AB101" s="89">
        <f>IF('P23'!$E97&gt;"",'P23'!$E97&amp;" "&amp;CHAR(10)&amp;'P23'!$F97,'P23'!$E97)</f>
        <v>0</v>
      </c>
      <c r="AC101" s="89">
        <f>IF('P24'!$E97&gt;"",'P24'!$E97&amp;" "&amp;CHAR(10)&amp;'P24'!$F97,'P24'!$E97)</f>
        <v>0</v>
      </c>
      <c r="AD101" s="89">
        <f>IF('P25'!$E97&gt;"",'P25'!$E97&amp;" "&amp;CHAR(10)&amp;'P25'!$F97,'P25'!$E97)</f>
        <v>0</v>
      </c>
      <c r="AE101" s="89">
        <f>IF('P26'!$E97&gt;"",'P26'!$E97&amp;" "&amp;CHAR(10)&amp;'P26'!$F97,'P26'!$E97)</f>
        <v>0</v>
      </c>
      <c r="AF101" s="89">
        <f>IF('P27'!$E97&gt;"",'P27'!$E97&amp;" "&amp;CHAR(10)&amp;'P27'!$F97,'P27'!$E97)</f>
        <v>0</v>
      </c>
      <c r="AG101" s="89">
        <f>IF('P28'!$E97&gt;"",'P28'!$E97&amp;" "&amp;CHAR(10)&amp;'P28'!$F97,'P28'!$E97)</f>
        <v>0</v>
      </c>
      <c r="AH101" s="89">
        <f>IF('P29'!$E97&gt;"",'P29'!$E97&amp;" "&amp;CHAR(10)&amp;'P29'!$F97,'P29'!$E97)</f>
        <v>0</v>
      </c>
      <c r="AI101" s="89">
        <f>IF('P30'!$E97&gt;"",'P30'!$E97&amp;" "&amp;CHAR(10)&amp;'P30'!$F97,'P30'!$E97)</f>
        <v>0</v>
      </c>
      <c r="AJ101" s="89">
        <f>IF('P31'!$E97&gt;"",'P31'!$E97&amp;" "&amp;CHAR(10)&amp;'P31'!$F97,'P31'!$E97)</f>
        <v>0</v>
      </c>
      <c r="AK101" s="89">
        <f>IF('P32'!$E97&gt;"",'P32'!$E97&amp;" "&amp;CHAR(10)&amp;'P32'!$F97,'P32'!$E97)</f>
        <v>0</v>
      </c>
      <c r="AL101" s="89">
        <f>IF('P33'!$E97&gt;"",'P33'!$E97&amp;" "&amp;CHAR(10)&amp;'P33'!$F97,'P33'!$E97)</f>
        <v>0</v>
      </c>
      <c r="AM101" s="89">
        <f>IF('P34'!$E97&gt;"",'P34'!$E97&amp;" "&amp;CHAR(10)&amp;'P34'!$F97,'P34'!$E97)</f>
        <v>0</v>
      </c>
      <c r="AN101" s="89">
        <f>IF('P35'!$E97&gt;"",'P35'!$E97&amp;" "&amp;CHAR(10)&amp;'P35'!$F97,'P35'!$E97)</f>
        <v>0</v>
      </c>
      <c r="AO101" s="89">
        <f>IF('P36'!$E97&gt;"",'P36'!$E97&amp;" "&amp;CHAR(10)&amp;'P36'!$F97,'P36'!$E97)</f>
        <v>0</v>
      </c>
      <c r="AP101" s="89">
        <f>IF('P37'!$E97&gt;"",'P37'!$E97&amp;" "&amp;CHAR(10)&amp;'P37'!$F97,'P37'!$E97)</f>
        <v>0</v>
      </c>
      <c r="AQ101" s="89">
        <f>IF('P38'!$E97&gt;"",'P38'!$E97&amp;" "&amp;CHAR(10)&amp;'P38'!$F97,'P38'!$E97)</f>
        <v>0</v>
      </c>
      <c r="AR101" s="89">
        <f>IF('P39'!$E97&gt;"",'P39'!$E97&amp;" "&amp;CHAR(10)&amp;'P39'!$F97,'P39'!$E97)</f>
        <v>0</v>
      </c>
      <c r="AS101" s="89">
        <f>IF('P40'!$E97&gt;"",'P40'!$E97&amp;" "&amp;CHAR(10)&amp;'P40'!$F97,'P40'!$E97)</f>
        <v>0</v>
      </c>
      <c r="AT101" s="55">
        <f t="shared" si="9"/>
        <v>0</v>
      </c>
      <c r="AU101" s="9">
        <f t="shared" si="10"/>
        <v>0</v>
      </c>
      <c r="AV101" s="55">
        <f t="shared" si="11"/>
        <v>0</v>
      </c>
      <c r="AW101" s="38" t="str">
        <f t="shared" si="12"/>
        <v>NT</v>
      </c>
      <c r="AX101" s="12"/>
      <c r="AY101" s="10"/>
      <c r="AZ101" s="10"/>
      <c r="BA101" s="10" t="str">
        <f>IF('P01'!$G97&lt;&gt;"", 'P01'!$G97, "non")</f>
        <v>non</v>
      </c>
      <c r="BB101" s="10" t="str">
        <f>IF('P02'!$G97&lt;&gt;"", 'P02'!$G97, "non")</f>
        <v>non</v>
      </c>
      <c r="BC101" s="10" t="str">
        <f>IF('P03'!$G97&lt;&gt;"", 'P03'!$G97, "non")</f>
        <v>non</v>
      </c>
      <c r="BD101" s="10" t="str">
        <f>IF('P04'!$G97&lt;&gt;"", 'P04'!$G97, "non")</f>
        <v>non</v>
      </c>
      <c r="BE101" s="10" t="str">
        <f>IF('P05'!$G97&lt;&gt;"", 'P05'!$G97, "non")</f>
        <v>non</v>
      </c>
      <c r="BF101" s="10" t="str">
        <f>IF('P06'!$G97&lt;&gt;"", 'P06'!$G97, "non")</f>
        <v>non</v>
      </c>
      <c r="BG101" s="10" t="str">
        <f>IF('P07'!$G97&lt;&gt;"", 'P07'!$G97, "non")</f>
        <v>non</v>
      </c>
      <c r="BH101" s="10" t="str">
        <f>IF('P08'!$G97&lt;&gt;"", 'P08'!$G97, "non")</f>
        <v>non</v>
      </c>
      <c r="BI101" s="10" t="str">
        <f>IF('P09'!$G97&lt;&gt;"", 'P09'!$G97, "non")</f>
        <v>non</v>
      </c>
      <c r="BJ101" s="10" t="str">
        <f>IF('P10'!$G97&lt;&gt;"", 'P10'!$G97, "non")</f>
        <v>non</v>
      </c>
      <c r="BK101" s="10" t="str">
        <f>IF('P11'!$G97&lt;&gt;"", 'P11'!$G97, "non")</f>
        <v>non</v>
      </c>
      <c r="BL101" s="10" t="str">
        <f>IF('P12'!$G97&lt;&gt;"", 'P12'!$G97, "non")</f>
        <v>non</v>
      </c>
      <c r="BM101" s="10" t="str">
        <f>IF('P13'!$G97&lt;&gt;"", 'P13'!$G97, "non")</f>
        <v>non</v>
      </c>
      <c r="BN101" s="10" t="str">
        <f>IF('P14'!$G97&lt;&gt;"", 'P14'!$G97, "non")</f>
        <v>non</v>
      </c>
      <c r="BO101" s="10" t="str">
        <f>IF('P15'!$G97&lt;&gt;"", 'P15'!$G97, "non")</f>
        <v>non</v>
      </c>
      <c r="BP101" s="10" t="str">
        <f>IF('P16'!$G97&lt;&gt;"", 'P16'!$G97, "non")</f>
        <v>non</v>
      </c>
      <c r="BQ101" s="10" t="str">
        <f>IF('P17'!$G97&lt;&gt;"", 'P17'!$G97, "non")</f>
        <v>non</v>
      </c>
      <c r="BR101" s="10" t="str">
        <f>IF('P18'!$G97&lt;&gt;"", 'P18'!$G97, "non")</f>
        <v>non</v>
      </c>
      <c r="BS101" s="10" t="str">
        <f>IF('P19'!$G97&lt;&gt;"", 'P19'!$G97, "non")</f>
        <v>non</v>
      </c>
      <c r="BT101" s="11" t="str">
        <f>IF('P20'!$G97&lt;&gt;"", 'P20'!$G97, "non")</f>
        <v>non</v>
      </c>
      <c r="BU101" s="10" t="str">
        <f>IF('P21'!$G97&lt;&gt;"", 'P21'!$G97, "non")</f>
        <v>non</v>
      </c>
      <c r="BV101" s="11" t="str">
        <f>IF('P22'!$G97&lt;&gt;"", 'P22'!$G97, "non")</f>
        <v>non</v>
      </c>
      <c r="BW101" s="10" t="str">
        <f>IF('P23'!$G97&lt;&gt;"", 'P23'!$G97, "non")</f>
        <v>non</v>
      </c>
      <c r="BX101" s="11" t="str">
        <f>IF('P24'!$G97&lt;&gt;"", 'P24'!$G97, "non")</f>
        <v>non</v>
      </c>
      <c r="BY101" s="10" t="str">
        <f>IF('P25'!$G97&lt;&gt;"", 'P25'!$G97, "non")</f>
        <v>non</v>
      </c>
      <c r="BZ101" s="11" t="str">
        <f>IF('P26'!$G97&lt;&gt;"", 'P26'!$G97, "non")</f>
        <v>non</v>
      </c>
      <c r="CA101" s="10" t="str">
        <f>IF('P27'!$G97&lt;&gt;"", 'P27'!$G97, "non")</f>
        <v>non</v>
      </c>
      <c r="CB101" s="11" t="str">
        <f>IF('P28'!$G97&lt;&gt;"", 'P28'!$G97, "non")</f>
        <v>non</v>
      </c>
      <c r="CC101" s="10" t="str">
        <f>IF('P29'!$G97&lt;&gt;"", 'P29'!$G97, "non")</f>
        <v>non</v>
      </c>
      <c r="CD101" s="11" t="str">
        <f>IF('P30'!$G97&lt;&gt;"", 'P30'!$G97, "non")</f>
        <v>non</v>
      </c>
      <c r="CE101" s="10" t="str">
        <f>IF('P31'!$G97&lt;&gt;"", 'P31'!$G97, "non")</f>
        <v>non</v>
      </c>
      <c r="CF101" s="11" t="str">
        <f>IF('P32'!$G97&lt;&gt;"", 'P32'!$G97, "non")</f>
        <v>non</v>
      </c>
      <c r="CG101" s="10" t="str">
        <f>IF('P33'!$G97&lt;&gt;"", 'P33'!$G97, "non")</f>
        <v>non</v>
      </c>
      <c r="CH101" s="10" t="str">
        <f>IF('P34'!$G97&lt;&gt;"", 'P34'!$G97, "non")</f>
        <v>non</v>
      </c>
      <c r="CI101" s="11" t="str">
        <f>IF('P35'!$G97&lt;&gt;"", 'P35'!$G97, "non")</f>
        <v>non</v>
      </c>
      <c r="CJ101" s="10" t="str">
        <f>IF('P36'!$G97&lt;&gt;"", 'P36'!$G97, "non")</f>
        <v>non</v>
      </c>
      <c r="CK101" s="11" t="str">
        <f>IF('P37'!$G97&lt;&gt;"", 'P37'!$G97, "non")</f>
        <v>non</v>
      </c>
      <c r="CL101" s="10" t="str">
        <f>IF('P38'!$G97&lt;&gt;"", 'P38'!$G97, "non")</f>
        <v>non</v>
      </c>
      <c r="CM101" s="11" t="str">
        <f>IF('P39'!$G97&lt;&gt;"", 'P39'!$G97, "non")</f>
        <v>non</v>
      </c>
      <c r="CN101" s="10" t="str">
        <f>IF('P40'!$G97&lt;&gt;"", 'P40'!$G97, "non")</f>
        <v>non</v>
      </c>
    </row>
    <row r="102" spans="1:92" ht="39.75" customHeight="1">
      <c r="A102" s="122" t="str">
        <f>'Critères et tests'!B97</f>
        <v>CONSULTATION</v>
      </c>
      <c r="B102" s="124" t="str">
        <f>'Critères et tests'!$A97</f>
        <v>13.1</v>
      </c>
      <c r="C102" s="192" t="str">
        <f>VLOOKUP(B102,'Critères et tests'!$1:$1048576,5,FALSE)</f>
        <v>Pour chaque page web, l’utilisateur a-t-il le contrôle de chaque limite de temps modifiant le contenu (hors cas particuliers) ?</v>
      </c>
      <c r="D102" s="124" t="str">
        <f>'Critères et tests'!$C97</f>
        <v>A</v>
      </c>
      <c r="E102" s="156" t="s">
        <v>460</v>
      </c>
      <c r="F102" s="88">
        <f>IF('P01'!$E98&gt;"",'P01'!$E98&amp;" "&amp;CHAR(10)&amp;'P01'!$F98,'P01'!$E98)</f>
        <v>0</v>
      </c>
      <c r="G102" s="89">
        <f>IF('P02'!$E98&gt;"",'P02'!$E98&amp;" "&amp;CHAR(10)&amp;'P02'!$F98,'P02'!$E98)</f>
        <v>0</v>
      </c>
      <c r="H102" s="89">
        <f>IF('P03'!$E98&gt;"",'P03'!$E98&amp;" "&amp;CHAR(10)&amp;'P03'!$F98,'P03'!$E98)</f>
        <v>0</v>
      </c>
      <c r="I102" s="89">
        <f>IF('P04'!$E98&gt;"",'P04'!$E98&amp;" "&amp;CHAR(10)&amp;'P04'!$F98,'P04'!$E98)</f>
        <v>0</v>
      </c>
      <c r="J102" s="89">
        <f>IF('P05'!$E98&gt;"",'P05'!$E98&amp;" "&amp;CHAR(10)&amp;'P05'!$F98,'P05'!$E98)</f>
        <v>0</v>
      </c>
      <c r="K102" s="89">
        <f>IF('P06'!$E98&gt;"",'P06'!$E98&amp;" "&amp;CHAR(10)&amp;'P06'!$F98,'P06'!$E98)</f>
        <v>0</v>
      </c>
      <c r="L102" s="89">
        <f>IF('P07'!$E98&gt;"",'P07'!$E98&amp;" "&amp;CHAR(10)&amp;'P07'!$F98,'P07'!$E98)</f>
        <v>0</v>
      </c>
      <c r="M102" s="89">
        <f>IF('P08'!$E98&gt;"",'P08'!$E98&amp;" "&amp;CHAR(10)&amp;'P08'!$F98,'P08'!$E98)</f>
        <v>0</v>
      </c>
      <c r="N102" s="89">
        <f>IF('P09'!$E98&gt;"",'P09'!$E98&amp;" "&amp;CHAR(10)&amp;'P09'!$F98,'P09'!$E98)</f>
        <v>0</v>
      </c>
      <c r="O102" s="89">
        <f>IF('P10'!$E98&gt;"",'P10'!$E98&amp;" "&amp;CHAR(10)&amp;'P10'!$F98,'P10'!$E98)</f>
        <v>0</v>
      </c>
      <c r="P102" s="89">
        <f>IF('P11'!$E98&gt;"",'P11'!$E98&amp;" "&amp;CHAR(10)&amp;'P11'!$F98,'P11'!$E98)</f>
        <v>0</v>
      </c>
      <c r="Q102" s="89">
        <f>IF('P12'!$E98&gt;"",'P12'!$E98&amp;" "&amp;CHAR(10)&amp;'P12'!$F98,'P12'!$E98)</f>
        <v>0</v>
      </c>
      <c r="R102" s="89">
        <f>IF('P13'!$E98&gt;"",'P13'!$E98&amp;" "&amp;CHAR(10)&amp;'P13'!$F98,'P13'!$E98)</f>
        <v>0</v>
      </c>
      <c r="S102" s="89">
        <f>IF('P14'!$E98&gt;"",'P14'!$E98&amp;" "&amp;CHAR(10)&amp;'P14'!$F98,'P14'!$E98)</f>
        <v>0</v>
      </c>
      <c r="T102" s="89">
        <f>IF('P15'!$E98&gt;"",'P15'!$E98&amp;" "&amp;CHAR(10)&amp;'P15'!$F98,'P15'!$E98)</f>
        <v>0</v>
      </c>
      <c r="U102" s="89">
        <f>IF('P16'!$E98&gt;"",'P16'!$E98&amp;" "&amp;CHAR(10)&amp;'P16'!$F98,'P16'!$E98)</f>
        <v>0</v>
      </c>
      <c r="V102" s="89">
        <f>IF('P17'!$E98&gt;"",'P17'!$E98&amp;" "&amp;CHAR(10)&amp;'P17'!$F98,'P17'!$E98)</f>
        <v>0</v>
      </c>
      <c r="W102" s="89">
        <f>IF('P18'!$E98&gt;"",'P18'!$E98&amp;" "&amp;CHAR(10)&amp;'P18'!$F98,'P18'!$E98)</f>
        <v>0</v>
      </c>
      <c r="X102" s="89">
        <f>IF('P19'!$E98&gt;"",'P19'!$E98&amp;" "&amp;CHAR(10)&amp;'P19'!$F98,'P19'!$E98)</f>
        <v>0</v>
      </c>
      <c r="Y102" s="89">
        <f>IF('P20'!$E98&gt;"",'P20'!$E98&amp;" "&amp;CHAR(10)&amp;'P20'!$F98,'P20'!$E98)</f>
        <v>0</v>
      </c>
      <c r="Z102" s="89">
        <f>IF('P21'!$E98&gt;"",'P21'!$E98&amp;" "&amp;CHAR(10)&amp;'P21'!$F98,'P21'!$E98)</f>
        <v>0</v>
      </c>
      <c r="AA102" s="89">
        <f>IF('P22'!$E98&gt;"",'P22'!$E98&amp;" "&amp;CHAR(10)&amp;'P22'!$F98,'P22'!$E98)</f>
        <v>0</v>
      </c>
      <c r="AB102" s="89">
        <f>IF('P23'!$E98&gt;"",'P23'!$E98&amp;" "&amp;CHAR(10)&amp;'P23'!$F98,'P23'!$E98)</f>
        <v>0</v>
      </c>
      <c r="AC102" s="89">
        <f>IF('P24'!$E98&gt;"",'P24'!$E98&amp;" "&amp;CHAR(10)&amp;'P24'!$F98,'P24'!$E98)</f>
        <v>0</v>
      </c>
      <c r="AD102" s="89">
        <f>IF('P25'!$E98&gt;"",'P25'!$E98&amp;" "&amp;CHAR(10)&amp;'P25'!$F98,'P25'!$E98)</f>
        <v>0</v>
      </c>
      <c r="AE102" s="89">
        <f>IF('P26'!$E98&gt;"",'P26'!$E98&amp;" "&amp;CHAR(10)&amp;'P26'!$F98,'P26'!$E98)</f>
        <v>0</v>
      </c>
      <c r="AF102" s="89">
        <f>IF('P27'!$E98&gt;"",'P27'!$E98&amp;" "&amp;CHAR(10)&amp;'P27'!$F98,'P27'!$E98)</f>
        <v>0</v>
      </c>
      <c r="AG102" s="89">
        <f>IF('P28'!$E98&gt;"",'P28'!$E98&amp;" "&amp;CHAR(10)&amp;'P28'!$F98,'P28'!$E98)</f>
        <v>0</v>
      </c>
      <c r="AH102" s="89">
        <f>IF('P29'!$E98&gt;"",'P29'!$E98&amp;" "&amp;CHAR(10)&amp;'P29'!$F98,'P29'!$E98)</f>
        <v>0</v>
      </c>
      <c r="AI102" s="89">
        <f>IF('P30'!$E98&gt;"",'P30'!$E98&amp;" "&amp;CHAR(10)&amp;'P30'!$F98,'P30'!$E98)</f>
        <v>0</v>
      </c>
      <c r="AJ102" s="89">
        <f>IF('P31'!$E98&gt;"",'P31'!$E98&amp;" "&amp;CHAR(10)&amp;'P31'!$F98,'P31'!$E98)</f>
        <v>0</v>
      </c>
      <c r="AK102" s="89">
        <f>IF('P32'!$E98&gt;"",'P32'!$E98&amp;" "&amp;CHAR(10)&amp;'P32'!$F98,'P32'!$E98)</f>
        <v>0</v>
      </c>
      <c r="AL102" s="89">
        <f>IF('P33'!$E98&gt;"",'P33'!$E98&amp;" "&amp;CHAR(10)&amp;'P33'!$F98,'P33'!$E98)</f>
        <v>0</v>
      </c>
      <c r="AM102" s="89">
        <f>IF('P34'!$E98&gt;"",'P34'!$E98&amp;" "&amp;CHAR(10)&amp;'P34'!$F98,'P34'!$E98)</f>
        <v>0</v>
      </c>
      <c r="AN102" s="89">
        <f>IF('P35'!$E98&gt;"",'P35'!$E98&amp;" "&amp;CHAR(10)&amp;'P35'!$F98,'P35'!$E98)</f>
        <v>0</v>
      </c>
      <c r="AO102" s="89">
        <f>IF('P36'!$E98&gt;"",'P36'!$E98&amp;" "&amp;CHAR(10)&amp;'P36'!$F98,'P36'!$E98)</f>
        <v>0</v>
      </c>
      <c r="AP102" s="89">
        <f>IF('P37'!$E98&gt;"",'P37'!$E98&amp;" "&amp;CHAR(10)&amp;'P37'!$F98,'P37'!$E98)</f>
        <v>0</v>
      </c>
      <c r="AQ102" s="89">
        <f>IF('P38'!$E98&gt;"",'P38'!$E98&amp;" "&amp;CHAR(10)&amp;'P38'!$F98,'P38'!$E98)</f>
        <v>0</v>
      </c>
      <c r="AR102" s="89">
        <f>IF('P39'!$E98&gt;"",'P39'!$E98&amp;" "&amp;CHAR(10)&amp;'P39'!$F98,'P39'!$E98)</f>
        <v>0</v>
      </c>
      <c r="AS102" s="89">
        <f>IF('P40'!$E98&gt;"",'P40'!$E98&amp;" "&amp;CHAR(10)&amp;'P40'!$F98,'P40'!$E98)</f>
        <v>0</v>
      </c>
      <c r="AT102" s="55">
        <f t="shared" si="9"/>
        <v>0</v>
      </c>
      <c r="AU102" s="9">
        <f t="shared" si="10"/>
        <v>0</v>
      </c>
      <c r="AV102" s="55">
        <f t="shared" si="11"/>
        <v>0</v>
      </c>
      <c r="AW102" s="38" t="str">
        <f t="shared" si="12"/>
        <v>NT</v>
      </c>
      <c r="AX102" s="12"/>
      <c r="AY102" s="10"/>
      <c r="AZ102" s="10"/>
      <c r="BA102" s="10" t="str">
        <f>IF('P01'!$G98&lt;&gt;"", 'P01'!$G98, "non")</f>
        <v>non</v>
      </c>
      <c r="BB102" s="10" t="str">
        <f>IF('P02'!$G98&lt;&gt;"", 'P02'!$G98, "non")</f>
        <v>non</v>
      </c>
      <c r="BC102" s="10" t="str">
        <f>IF('P03'!$G98&lt;&gt;"", 'P03'!$G98, "non")</f>
        <v>non</v>
      </c>
      <c r="BD102" s="10" t="str">
        <f>IF('P04'!$G98&lt;&gt;"", 'P04'!$G98, "non")</f>
        <v>non</v>
      </c>
      <c r="BE102" s="10" t="str">
        <f>IF('P05'!$G98&lt;&gt;"", 'P05'!$G98, "non")</f>
        <v>non</v>
      </c>
      <c r="BF102" s="10" t="str">
        <f>IF('P06'!$G98&lt;&gt;"", 'P06'!$G98, "non")</f>
        <v>non</v>
      </c>
      <c r="BG102" s="10" t="str">
        <f>IF('P07'!$G98&lt;&gt;"", 'P07'!$G98, "non")</f>
        <v>non</v>
      </c>
      <c r="BH102" s="10" t="str">
        <f>IF('P08'!$G98&lt;&gt;"", 'P08'!$G98, "non")</f>
        <v>non</v>
      </c>
      <c r="BI102" s="10" t="str">
        <f>IF('P09'!$G98&lt;&gt;"", 'P09'!$G98, "non")</f>
        <v>non</v>
      </c>
      <c r="BJ102" s="10" t="str">
        <f>IF('P10'!$G98&lt;&gt;"", 'P10'!$G98, "non")</f>
        <v>non</v>
      </c>
      <c r="BK102" s="10" t="str">
        <f>IF('P11'!$G98&lt;&gt;"", 'P11'!$G98, "non")</f>
        <v>non</v>
      </c>
      <c r="BL102" s="10" t="str">
        <f>IF('P12'!$G98&lt;&gt;"", 'P12'!$G98, "non")</f>
        <v>non</v>
      </c>
      <c r="BM102" s="10" t="str">
        <f>IF('P13'!$G98&lt;&gt;"", 'P13'!$G98, "non")</f>
        <v>non</v>
      </c>
      <c r="BN102" s="10" t="str">
        <f>IF('P14'!$G98&lt;&gt;"", 'P14'!$G98, "non")</f>
        <v>non</v>
      </c>
      <c r="BO102" s="10" t="str">
        <f>IF('P15'!$G98&lt;&gt;"", 'P15'!$G98, "non")</f>
        <v>non</v>
      </c>
      <c r="BP102" s="10" t="str">
        <f>IF('P16'!$G98&lt;&gt;"", 'P16'!$G98, "non")</f>
        <v>non</v>
      </c>
      <c r="BQ102" s="10" t="str">
        <f>IF('P17'!$G98&lt;&gt;"", 'P17'!$G98, "non")</f>
        <v>non</v>
      </c>
      <c r="BR102" s="10" t="str">
        <f>IF('P18'!$G98&lt;&gt;"", 'P18'!$G98, "non")</f>
        <v>non</v>
      </c>
      <c r="BS102" s="10" t="str">
        <f>IF('P19'!$G98&lt;&gt;"", 'P19'!$G98, "non")</f>
        <v>non</v>
      </c>
      <c r="BT102" s="11" t="str">
        <f>IF('P20'!$G98&lt;&gt;"", 'P20'!$G98, "non")</f>
        <v>non</v>
      </c>
      <c r="BU102" s="10" t="str">
        <f>IF('P21'!$G98&lt;&gt;"", 'P21'!$G98, "non")</f>
        <v>non</v>
      </c>
      <c r="BV102" s="11" t="str">
        <f>IF('P22'!$G98&lt;&gt;"", 'P22'!$G98, "non")</f>
        <v>non</v>
      </c>
      <c r="BW102" s="10" t="str">
        <f>IF('P23'!$G98&lt;&gt;"", 'P23'!$G98, "non")</f>
        <v>non</v>
      </c>
      <c r="BX102" s="11" t="str">
        <f>IF('P24'!$G98&lt;&gt;"", 'P24'!$G98, "non")</f>
        <v>non</v>
      </c>
      <c r="BY102" s="10" t="str">
        <f>IF('P25'!$G98&lt;&gt;"", 'P25'!$G98, "non")</f>
        <v>non</v>
      </c>
      <c r="BZ102" s="11" t="str">
        <f>IF('P26'!$G98&lt;&gt;"", 'P26'!$G98, "non")</f>
        <v>non</v>
      </c>
      <c r="CA102" s="10" t="str">
        <f>IF('P27'!$G98&lt;&gt;"", 'P27'!$G98, "non")</f>
        <v>non</v>
      </c>
      <c r="CB102" s="11" t="str">
        <f>IF('P28'!$G98&lt;&gt;"", 'P28'!$G98, "non")</f>
        <v>non</v>
      </c>
      <c r="CC102" s="10" t="str">
        <f>IF('P29'!$G98&lt;&gt;"", 'P29'!$G98, "non")</f>
        <v>non</v>
      </c>
      <c r="CD102" s="11" t="str">
        <f>IF('P30'!$G98&lt;&gt;"", 'P30'!$G98, "non")</f>
        <v>non</v>
      </c>
      <c r="CE102" s="10" t="str">
        <f>IF('P31'!$G98&lt;&gt;"", 'P31'!$G98, "non")</f>
        <v>non</v>
      </c>
      <c r="CF102" s="11" t="str">
        <f>IF('P32'!$G98&lt;&gt;"", 'P32'!$G98, "non")</f>
        <v>non</v>
      </c>
      <c r="CG102" s="10" t="str">
        <f>IF('P33'!$G98&lt;&gt;"", 'P33'!$G98, "non")</f>
        <v>non</v>
      </c>
      <c r="CH102" s="10" t="str">
        <f>IF('P34'!$G98&lt;&gt;"", 'P34'!$G98, "non")</f>
        <v>non</v>
      </c>
      <c r="CI102" s="11" t="str">
        <f>IF('P35'!$G98&lt;&gt;"", 'P35'!$G98, "non")</f>
        <v>non</v>
      </c>
      <c r="CJ102" s="10" t="str">
        <f>IF('P36'!$G98&lt;&gt;"", 'P36'!$G98, "non")</f>
        <v>non</v>
      </c>
      <c r="CK102" s="11" t="str">
        <f>IF('P37'!$G98&lt;&gt;"", 'P37'!$G98, "non")</f>
        <v>non</v>
      </c>
      <c r="CL102" s="10" t="str">
        <f>IF('P38'!$G98&lt;&gt;"", 'P38'!$G98, "non")</f>
        <v>non</v>
      </c>
      <c r="CM102" s="11" t="str">
        <f>IF('P39'!$G98&lt;&gt;"", 'P39'!$G98, "non")</f>
        <v>non</v>
      </c>
      <c r="CN102" s="10" t="str">
        <f>IF('P40'!$G98&lt;&gt;"", 'P40'!$G98, "non")</f>
        <v>non</v>
      </c>
    </row>
    <row r="103" spans="1:92" ht="39.75" customHeight="1">
      <c r="A103" s="122" t="str">
        <f>'Critères et tests'!B98</f>
        <v>CONSULTATION</v>
      </c>
      <c r="B103" s="124" t="str">
        <f>'Critères et tests'!$A98</f>
        <v>13.2</v>
      </c>
      <c r="C103" s="192" t="str">
        <f>VLOOKUP(B103,'Critères et tests'!$1:$1048576,5,FALSE)</f>
        <v>Dans chaque page web, l’ouverture d’une nouvelle fenêtre ne doit pas être déclenchée sans action de l’utilisateur. Cette règle est-elle respectée ?</v>
      </c>
      <c r="D103" s="124" t="str">
        <f>'Critères et tests'!$C98</f>
        <v>A</v>
      </c>
      <c r="E103" s="156" t="s">
        <v>460</v>
      </c>
      <c r="F103" s="88">
        <f>IF('P01'!$E99&gt;"",'P01'!$E99&amp;" "&amp;CHAR(10)&amp;'P01'!$F99,'P01'!$E99)</f>
        <v>0</v>
      </c>
      <c r="G103" s="89">
        <f>IF('P02'!$E99&gt;"",'P02'!$E99&amp;" "&amp;CHAR(10)&amp;'P02'!$F99,'P02'!$E99)</f>
        <v>0</v>
      </c>
      <c r="H103" s="89">
        <f>IF('P03'!$E99&gt;"",'P03'!$E99&amp;" "&amp;CHAR(10)&amp;'P03'!$F99,'P03'!$E99)</f>
        <v>0</v>
      </c>
      <c r="I103" s="89">
        <f>IF('P04'!$E99&gt;"",'P04'!$E99&amp;" "&amp;CHAR(10)&amp;'P04'!$F99,'P04'!$E99)</f>
        <v>0</v>
      </c>
      <c r="J103" s="89">
        <f>IF('P05'!$E99&gt;"",'P05'!$E99&amp;" "&amp;CHAR(10)&amp;'P05'!$F99,'P05'!$E99)</f>
        <v>0</v>
      </c>
      <c r="K103" s="89">
        <f>IF('P06'!$E99&gt;"",'P06'!$E99&amp;" "&amp;CHAR(10)&amp;'P06'!$F99,'P06'!$E99)</f>
        <v>0</v>
      </c>
      <c r="L103" s="89">
        <f>IF('P07'!$E99&gt;"",'P07'!$E99&amp;" "&amp;CHAR(10)&amp;'P07'!$F99,'P07'!$E99)</f>
        <v>0</v>
      </c>
      <c r="M103" s="89">
        <f>IF('P08'!$E99&gt;"",'P08'!$E99&amp;" "&amp;CHAR(10)&amp;'P08'!$F99,'P08'!$E99)</f>
        <v>0</v>
      </c>
      <c r="N103" s="89">
        <f>IF('P09'!$E99&gt;"",'P09'!$E99&amp;" "&amp;CHAR(10)&amp;'P09'!$F99,'P09'!$E99)</f>
        <v>0</v>
      </c>
      <c r="O103" s="89">
        <f>IF('P10'!$E99&gt;"",'P10'!$E99&amp;" "&amp;CHAR(10)&amp;'P10'!$F99,'P10'!$E99)</f>
        <v>0</v>
      </c>
      <c r="P103" s="89">
        <f>IF('P11'!$E99&gt;"",'P11'!$E99&amp;" "&amp;CHAR(10)&amp;'P11'!$F99,'P11'!$E99)</f>
        <v>0</v>
      </c>
      <c r="Q103" s="89">
        <f>IF('P12'!$E99&gt;"",'P12'!$E99&amp;" "&amp;CHAR(10)&amp;'P12'!$F99,'P12'!$E99)</f>
        <v>0</v>
      </c>
      <c r="R103" s="89">
        <f>IF('P13'!$E99&gt;"",'P13'!$E99&amp;" "&amp;CHAR(10)&amp;'P13'!$F99,'P13'!$E99)</f>
        <v>0</v>
      </c>
      <c r="S103" s="89">
        <f>IF('P14'!$E99&gt;"",'P14'!$E99&amp;" "&amp;CHAR(10)&amp;'P14'!$F99,'P14'!$E99)</f>
        <v>0</v>
      </c>
      <c r="T103" s="89">
        <f>IF('P15'!$E99&gt;"",'P15'!$E99&amp;" "&amp;CHAR(10)&amp;'P15'!$F99,'P15'!$E99)</f>
        <v>0</v>
      </c>
      <c r="U103" s="89">
        <f>IF('P16'!$E99&gt;"",'P16'!$E99&amp;" "&amp;CHAR(10)&amp;'P16'!$F99,'P16'!$E99)</f>
        <v>0</v>
      </c>
      <c r="V103" s="89">
        <f>IF('P17'!$E99&gt;"",'P17'!$E99&amp;" "&amp;CHAR(10)&amp;'P17'!$F99,'P17'!$E99)</f>
        <v>0</v>
      </c>
      <c r="W103" s="89">
        <f>IF('P18'!$E99&gt;"",'P18'!$E99&amp;" "&amp;CHAR(10)&amp;'P18'!$F99,'P18'!$E99)</f>
        <v>0</v>
      </c>
      <c r="X103" s="89">
        <f>IF('P19'!$E99&gt;"",'P19'!$E99&amp;" "&amp;CHAR(10)&amp;'P19'!$F99,'P19'!$E99)</f>
        <v>0</v>
      </c>
      <c r="Y103" s="89">
        <f>IF('P20'!$E99&gt;"",'P20'!$E99&amp;" "&amp;CHAR(10)&amp;'P20'!$F99,'P20'!$E99)</f>
        <v>0</v>
      </c>
      <c r="Z103" s="89">
        <f>IF('P21'!$E99&gt;"",'P21'!$E99&amp;" "&amp;CHAR(10)&amp;'P21'!$F99,'P21'!$E99)</f>
        <v>0</v>
      </c>
      <c r="AA103" s="89">
        <f>IF('P22'!$E99&gt;"",'P22'!$E99&amp;" "&amp;CHAR(10)&amp;'P22'!$F99,'P22'!$E99)</f>
        <v>0</v>
      </c>
      <c r="AB103" s="89">
        <f>IF('P23'!$E99&gt;"",'P23'!$E99&amp;" "&amp;CHAR(10)&amp;'P23'!$F99,'P23'!$E99)</f>
        <v>0</v>
      </c>
      <c r="AC103" s="89">
        <f>IF('P24'!$E99&gt;"",'P24'!$E99&amp;" "&amp;CHAR(10)&amp;'P24'!$F99,'P24'!$E99)</f>
        <v>0</v>
      </c>
      <c r="AD103" s="89">
        <f>IF('P25'!$E99&gt;"",'P25'!$E99&amp;" "&amp;CHAR(10)&amp;'P25'!$F99,'P25'!$E99)</f>
        <v>0</v>
      </c>
      <c r="AE103" s="89">
        <f>IF('P26'!$E99&gt;"",'P26'!$E99&amp;" "&amp;CHAR(10)&amp;'P26'!$F99,'P26'!$E99)</f>
        <v>0</v>
      </c>
      <c r="AF103" s="89">
        <f>IF('P27'!$E99&gt;"",'P27'!$E99&amp;" "&amp;CHAR(10)&amp;'P27'!$F99,'P27'!$E99)</f>
        <v>0</v>
      </c>
      <c r="AG103" s="89">
        <f>IF('P28'!$E99&gt;"",'P28'!$E99&amp;" "&amp;CHAR(10)&amp;'P28'!$F99,'P28'!$E99)</f>
        <v>0</v>
      </c>
      <c r="AH103" s="89">
        <f>IF('P29'!$E99&gt;"",'P29'!$E99&amp;" "&amp;CHAR(10)&amp;'P29'!$F99,'P29'!$E99)</f>
        <v>0</v>
      </c>
      <c r="AI103" s="89">
        <f>IF('P30'!$E99&gt;"",'P30'!$E99&amp;" "&amp;CHAR(10)&amp;'P30'!$F99,'P30'!$E99)</f>
        <v>0</v>
      </c>
      <c r="AJ103" s="89">
        <f>IF('P31'!$E99&gt;"",'P31'!$E99&amp;" "&amp;CHAR(10)&amp;'P31'!$F99,'P31'!$E99)</f>
        <v>0</v>
      </c>
      <c r="AK103" s="89">
        <f>IF('P32'!$E99&gt;"",'P32'!$E99&amp;" "&amp;CHAR(10)&amp;'P32'!$F99,'P32'!$E99)</f>
        <v>0</v>
      </c>
      <c r="AL103" s="89">
        <f>IF('P33'!$E99&gt;"",'P33'!$E99&amp;" "&amp;CHAR(10)&amp;'P33'!$F99,'P33'!$E99)</f>
        <v>0</v>
      </c>
      <c r="AM103" s="89">
        <f>IF('P34'!$E99&gt;"",'P34'!$E99&amp;" "&amp;CHAR(10)&amp;'P34'!$F99,'P34'!$E99)</f>
        <v>0</v>
      </c>
      <c r="AN103" s="89">
        <f>IF('P35'!$E99&gt;"",'P35'!$E99&amp;" "&amp;CHAR(10)&amp;'P35'!$F99,'P35'!$E99)</f>
        <v>0</v>
      </c>
      <c r="AO103" s="89">
        <f>IF('P36'!$E99&gt;"",'P36'!$E99&amp;" "&amp;CHAR(10)&amp;'P36'!$F99,'P36'!$E99)</f>
        <v>0</v>
      </c>
      <c r="AP103" s="89">
        <f>IF('P37'!$E99&gt;"",'P37'!$E99&amp;" "&amp;CHAR(10)&amp;'P37'!$F99,'P37'!$E99)</f>
        <v>0</v>
      </c>
      <c r="AQ103" s="89">
        <f>IF('P38'!$E99&gt;"",'P38'!$E99&amp;" "&amp;CHAR(10)&amp;'P38'!$F99,'P38'!$E99)</f>
        <v>0</v>
      </c>
      <c r="AR103" s="89">
        <f>IF('P39'!$E99&gt;"",'P39'!$E99&amp;" "&amp;CHAR(10)&amp;'P39'!$F99,'P39'!$E99)</f>
        <v>0</v>
      </c>
      <c r="AS103" s="89">
        <f>IF('P40'!$E99&gt;"",'P40'!$E99&amp;" "&amp;CHAR(10)&amp;'P40'!$F99,'P40'!$E99)</f>
        <v>0</v>
      </c>
      <c r="AT103" s="55">
        <f t="shared" si="9"/>
        <v>0</v>
      </c>
      <c r="AU103" s="9">
        <f t="shared" si="10"/>
        <v>0</v>
      </c>
      <c r="AV103" s="55">
        <f t="shared" si="11"/>
        <v>0</v>
      </c>
      <c r="AW103" s="38" t="str">
        <f t="shared" si="12"/>
        <v>NT</v>
      </c>
      <c r="AX103" s="12"/>
      <c r="AY103" s="10"/>
      <c r="AZ103" s="10"/>
      <c r="BA103" s="10" t="str">
        <f>IF('P01'!$G99&lt;&gt;"", 'P01'!$G99, "non")</f>
        <v>non</v>
      </c>
      <c r="BB103" s="10" t="str">
        <f>IF('P02'!$G99&lt;&gt;"", 'P02'!$G99, "non")</f>
        <v>non</v>
      </c>
      <c r="BC103" s="10" t="str">
        <f>IF('P03'!$G99&lt;&gt;"", 'P03'!$G99, "non")</f>
        <v>non</v>
      </c>
      <c r="BD103" s="10" t="str">
        <f>IF('P04'!$G99&lt;&gt;"", 'P04'!$G99, "non")</f>
        <v>non</v>
      </c>
      <c r="BE103" s="10" t="str">
        <f>IF('P05'!$G99&lt;&gt;"", 'P05'!$G99, "non")</f>
        <v>non</v>
      </c>
      <c r="BF103" s="10" t="str">
        <f>IF('P06'!$G99&lt;&gt;"", 'P06'!$G99, "non")</f>
        <v>non</v>
      </c>
      <c r="BG103" s="10" t="str">
        <f>IF('P07'!$G99&lt;&gt;"", 'P07'!$G99, "non")</f>
        <v>non</v>
      </c>
      <c r="BH103" s="10" t="str">
        <f>IF('P08'!$G99&lt;&gt;"", 'P08'!$G99, "non")</f>
        <v>non</v>
      </c>
      <c r="BI103" s="10" t="str">
        <f>IF('P09'!$G99&lt;&gt;"", 'P09'!$G99, "non")</f>
        <v>non</v>
      </c>
      <c r="BJ103" s="10" t="str">
        <f>IF('P10'!$G99&lt;&gt;"", 'P10'!$G99, "non")</f>
        <v>non</v>
      </c>
      <c r="BK103" s="10" t="str">
        <f>IF('P11'!$G99&lt;&gt;"", 'P11'!$G99, "non")</f>
        <v>non</v>
      </c>
      <c r="BL103" s="10" t="str">
        <f>IF('P12'!$G99&lt;&gt;"", 'P12'!$G99, "non")</f>
        <v>non</v>
      </c>
      <c r="BM103" s="10" t="str">
        <f>IF('P13'!$G99&lt;&gt;"", 'P13'!$G99, "non")</f>
        <v>non</v>
      </c>
      <c r="BN103" s="10" t="str">
        <f>IF('P14'!$G99&lt;&gt;"", 'P14'!$G99, "non")</f>
        <v>non</v>
      </c>
      <c r="BO103" s="10" t="str">
        <f>IF('P15'!$G99&lt;&gt;"", 'P15'!$G99, "non")</f>
        <v>non</v>
      </c>
      <c r="BP103" s="10" t="str">
        <f>IF('P16'!$G99&lt;&gt;"", 'P16'!$G99, "non")</f>
        <v>non</v>
      </c>
      <c r="BQ103" s="10" t="str">
        <f>IF('P17'!$G99&lt;&gt;"", 'P17'!$G99, "non")</f>
        <v>non</v>
      </c>
      <c r="BR103" s="10" t="str">
        <f>IF('P18'!$G99&lt;&gt;"", 'P18'!$G99, "non")</f>
        <v>non</v>
      </c>
      <c r="BS103" s="10" t="str">
        <f>IF('P19'!$G99&lt;&gt;"", 'P19'!$G99, "non")</f>
        <v>non</v>
      </c>
      <c r="BT103" s="11" t="str">
        <f>IF('P20'!$G99&lt;&gt;"", 'P20'!$G99, "non")</f>
        <v>non</v>
      </c>
      <c r="BU103" s="10" t="str">
        <f>IF('P21'!$G99&lt;&gt;"", 'P21'!$G99, "non")</f>
        <v>non</v>
      </c>
      <c r="BV103" s="11" t="str">
        <f>IF('P22'!$G99&lt;&gt;"", 'P22'!$G99, "non")</f>
        <v>non</v>
      </c>
      <c r="BW103" s="10" t="str">
        <f>IF('P23'!$G99&lt;&gt;"", 'P23'!$G99, "non")</f>
        <v>non</v>
      </c>
      <c r="BX103" s="11" t="str">
        <f>IF('P24'!$G99&lt;&gt;"", 'P24'!$G99, "non")</f>
        <v>non</v>
      </c>
      <c r="BY103" s="10" t="str">
        <f>IF('P25'!$G99&lt;&gt;"", 'P25'!$G99, "non")</f>
        <v>non</v>
      </c>
      <c r="BZ103" s="11" t="str">
        <f>IF('P26'!$G99&lt;&gt;"", 'P26'!$G99, "non")</f>
        <v>non</v>
      </c>
      <c r="CA103" s="10" t="str">
        <f>IF('P27'!$G99&lt;&gt;"", 'P27'!$G99, "non")</f>
        <v>non</v>
      </c>
      <c r="CB103" s="11" t="str">
        <f>IF('P28'!$G99&lt;&gt;"", 'P28'!$G99, "non")</f>
        <v>non</v>
      </c>
      <c r="CC103" s="10" t="str">
        <f>IF('P29'!$G99&lt;&gt;"", 'P29'!$G99, "non")</f>
        <v>non</v>
      </c>
      <c r="CD103" s="11" t="str">
        <f>IF('P30'!$G99&lt;&gt;"", 'P30'!$G99, "non")</f>
        <v>non</v>
      </c>
      <c r="CE103" s="10" t="str">
        <f>IF('P31'!$G99&lt;&gt;"", 'P31'!$G99, "non")</f>
        <v>non</v>
      </c>
      <c r="CF103" s="11" t="str">
        <f>IF('P32'!$G99&lt;&gt;"", 'P32'!$G99, "non")</f>
        <v>non</v>
      </c>
      <c r="CG103" s="10" t="str">
        <f>IF('P33'!$G99&lt;&gt;"", 'P33'!$G99, "non")</f>
        <v>non</v>
      </c>
      <c r="CH103" s="10" t="str">
        <f>IF('P34'!$G99&lt;&gt;"", 'P34'!$G99, "non")</f>
        <v>non</v>
      </c>
      <c r="CI103" s="11" t="str">
        <f>IF('P35'!$G99&lt;&gt;"", 'P35'!$G99, "non")</f>
        <v>non</v>
      </c>
      <c r="CJ103" s="10" t="str">
        <f>IF('P36'!$G99&lt;&gt;"", 'P36'!$G99, "non")</f>
        <v>non</v>
      </c>
      <c r="CK103" s="11" t="str">
        <f>IF('P37'!$G99&lt;&gt;"", 'P37'!$G99, "non")</f>
        <v>non</v>
      </c>
      <c r="CL103" s="10" t="str">
        <f>IF('P38'!$G99&lt;&gt;"", 'P38'!$G99, "non")</f>
        <v>non</v>
      </c>
      <c r="CM103" s="11" t="str">
        <f>IF('P39'!$G99&lt;&gt;"", 'P39'!$G99, "non")</f>
        <v>non</v>
      </c>
      <c r="CN103" s="10" t="str">
        <f>IF('P40'!$G99&lt;&gt;"", 'P40'!$G99, "non")</f>
        <v>non</v>
      </c>
    </row>
    <row r="104" spans="1:92" ht="39.75" customHeight="1">
      <c r="A104" s="122" t="str">
        <f>'Critères et tests'!B99</f>
        <v>CONSULTATION</v>
      </c>
      <c r="B104" s="124" t="str">
        <f>'Critères et tests'!$A99</f>
        <v>13.3</v>
      </c>
      <c r="C104" s="192" t="str">
        <f>VLOOKUP(B104,'Critères et tests'!$1:$1048576,5,FALSE)</f>
        <v>Dans chaque page web, chaque document bureautique en téléchargement possède-t-il, si nécessaire, une version accessible (hors cas particuliers) ?</v>
      </c>
      <c r="D104" s="124" t="str">
        <f>'Critères et tests'!$C99</f>
        <v>A</v>
      </c>
      <c r="E104" s="156" t="s">
        <v>460</v>
      </c>
      <c r="F104" s="88">
        <f>IF('P01'!$E100&gt;"",'P01'!$E100&amp;" "&amp;CHAR(10)&amp;'P01'!$F100,'P01'!$E100)</f>
        <v>0</v>
      </c>
      <c r="G104" s="89">
        <f>IF('P02'!$E100&gt;"",'P02'!$E100&amp;" "&amp;CHAR(10)&amp;'P02'!$F100,'P02'!$E100)</f>
        <v>0</v>
      </c>
      <c r="H104" s="89">
        <f>IF('P03'!$E100&gt;"",'P03'!$E100&amp;" "&amp;CHAR(10)&amp;'P03'!$F100,'P03'!$E100)</f>
        <v>0</v>
      </c>
      <c r="I104" s="89">
        <f>IF('P04'!$E100&gt;"",'P04'!$E100&amp;" "&amp;CHAR(10)&amp;'P04'!$F100,'P04'!$E100)</f>
        <v>0</v>
      </c>
      <c r="J104" s="89">
        <f>IF('P05'!$E100&gt;"",'P05'!$E100&amp;" "&amp;CHAR(10)&amp;'P05'!$F100,'P05'!$E100)</f>
        <v>0</v>
      </c>
      <c r="K104" s="89">
        <f>IF('P06'!$E100&gt;"",'P06'!$E100&amp;" "&amp;CHAR(10)&amp;'P06'!$F100,'P06'!$E100)</f>
        <v>0</v>
      </c>
      <c r="L104" s="89">
        <f>IF('P07'!$E100&gt;"",'P07'!$E100&amp;" "&amp;CHAR(10)&amp;'P07'!$F100,'P07'!$E100)</f>
        <v>0</v>
      </c>
      <c r="M104" s="89">
        <f>IF('P08'!$E100&gt;"",'P08'!$E100&amp;" "&amp;CHAR(10)&amp;'P08'!$F100,'P08'!$E100)</f>
        <v>0</v>
      </c>
      <c r="N104" s="89">
        <f>IF('P09'!$E100&gt;"",'P09'!$E100&amp;" "&amp;CHAR(10)&amp;'P09'!$F100,'P09'!$E100)</f>
        <v>0</v>
      </c>
      <c r="O104" s="89">
        <f>IF('P10'!$E100&gt;"",'P10'!$E100&amp;" "&amp;CHAR(10)&amp;'P10'!$F100,'P10'!$E100)</f>
        <v>0</v>
      </c>
      <c r="P104" s="89">
        <f>IF('P11'!$E100&gt;"",'P11'!$E100&amp;" "&amp;CHAR(10)&amp;'P11'!$F100,'P11'!$E100)</f>
        <v>0</v>
      </c>
      <c r="Q104" s="89">
        <f>IF('P12'!$E100&gt;"",'P12'!$E100&amp;" "&amp;CHAR(10)&amp;'P12'!$F100,'P12'!$E100)</f>
        <v>0</v>
      </c>
      <c r="R104" s="89">
        <f>IF('P13'!$E100&gt;"",'P13'!$E100&amp;" "&amp;CHAR(10)&amp;'P13'!$F100,'P13'!$E100)</f>
        <v>0</v>
      </c>
      <c r="S104" s="89">
        <f>IF('P14'!$E100&gt;"",'P14'!$E100&amp;" "&amp;CHAR(10)&amp;'P14'!$F100,'P14'!$E100)</f>
        <v>0</v>
      </c>
      <c r="T104" s="89">
        <f>IF('P15'!$E100&gt;"",'P15'!$E100&amp;" "&amp;CHAR(10)&amp;'P15'!$F100,'P15'!$E100)</f>
        <v>0</v>
      </c>
      <c r="U104" s="89">
        <f>IF('P16'!$E100&gt;"",'P16'!$E100&amp;" "&amp;CHAR(10)&amp;'P16'!$F100,'P16'!$E100)</f>
        <v>0</v>
      </c>
      <c r="V104" s="89">
        <f>IF('P17'!$E100&gt;"",'P17'!$E100&amp;" "&amp;CHAR(10)&amp;'P17'!$F100,'P17'!$E100)</f>
        <v>0</v>
      </c>
      <c r="W104" s="89">
        <f>IF('P18'!$E100&gt;"",'P18'!$E100&amp;" "&amp;CHAR(10)&amp;'P18'!$F100,'P18'!$E100)</f>
        <v>0</v>
      </c>
      <c r="X104" s="89">
        <f>IF('P19'!$E100&gt;"",'P19'!$E100&amp;" "&amp;CHAR(10)&amp;'P19'!$F100,'P19'!$E100)</f>
        <v>0</v>
      </c>
      <c r="Y104" s="89">
        <f>IF('P20'!$E100&gt;"",'P20'!$E100&amp;" "&amp;CHAR(10)&amp;'P20'!$F100,'P20'!$E100)</f>
        <v>0</v>
      </c>
      <c r="Z104" s="89">
        <f>IF('P21'!$E100&gt;"",'P21'!$E100&amp;" "&amp;CHAR(10)&amp;'P21'!$F100,'P21'!$E100)</f>
        <v>0</v>
      </c>
      <c r="AA104" s="89">
        <f>IF('P22'!$E100&gt;"",'P22'!$E100&amp;" "&amp;CHAR(10)&amp;'P22'!$F100,'P22'!$E100)</f>
        <v>0</v>
      </c>
      <c r="AB104" s="89">
        <f>IF('P23'!$E100&gt;"",'P23'!$E100&amp;" "&amp;CHAR(10)&amp;'P23'!$F100,'P23'!$E100)</f>
        <v>0</v>
      </c>
      <c r="AC104" s="89">
        <f>IF('P24'!$E100&gt;"",'P24'!$E100&amp;" "&amp;CHAR(10)&amp;'P24'!$F100,'P24'!$E100)</f>
        <v>0</v>
      </c>
      <c r="AD104" s="89">
        <f>IF('P25'!$E100&gt;"",'P25'!$E100&amp;" "&amp;CHAR(10)&amp;'P25'!$F100,'P25'!$E100)</f>
        <v>0</v>
      </c>
      <c r="AE104" s="89">
        <f>IF('P26'!$E100&gt;"",'P26'!$E100&amp;" "&amp;CHAR(10)&amp;'P26'!$F100,'P26'!$E100)</f>
        <v>0</v>
      </c>
      <c r="AF104" s="89">
        <f>IF('P27'!$E100&gt;"",'P27'!$E100&amp;" "&amp;CHAR(10)&amp;'P27'!$F100,'P27'!$E100)</f>
        <v>0</v>
      </c>
      <c r="AG104" s="89">
        <f>IF('P28'!$E100&gt;"",'P28'!$E100&amp;" "&amp;CHAR(10)&amp;'P28'!$F100,'P28'!$E100)</f>
        <v>0</v>
      </c>
      <c r="AH104" s="89">
        <f>IF('P29'!$E100&gt;"",'P29'!$E100&amp;" "&amp;CHAR(10)&amp;'P29'!$F100,'P29'!$E100)</f>
        <v>0</v>
      </c>
      <c r="AI104" s="89">
        <f>IF('P30'!$E100&gt;"",'P30'!$E100&amp;" "&amp;CHAR(10)&amp;'P30'!$F100,'P30'!$E100)</f>
        <v>0</v>
      </c>
      <c r="AJ104" s="89">
        <f>IF('P31'!$E100&gt;"",'P31'!$E100&amp;" "&amp;CHAR(10)&amp;'P31'!$F100,'P31'!$E100)</f>
        <v>0</v>
      </c>
      <c r="AK104" s="89">
        <f>IF('P32'!$E100&gt;"",'P32'!$E100&amp;" "&amp;CHAR(10)&amp;'P32'!$F100,'P32'!$E100)</f>
        <v>0</v>
      </c>
      <c r="AL104" s="89">
        <f>IF('P33'!$E100&gt;"",'P33'!$E100&amp;" "&amp;CHAR(10)&amp;'P33'!$F100,'P33'!$E100)</f>
        <v>0</v>
      </c>
      <c r="AM104" s="89">
        <f>IF('P34'!$E100&gt;"",'P34'!$E100&amp;" "&amp;CHAR(10)&amp;'P34'!$F100,'P34'!$E100)</f>
        <v>0</v>
      </c>
      <c r="AN104" s="89">
        <f>IF('P35'!$E100&gt;"",'P35'!$E100&amp;" "&amp;CHAR(10)&amp;'P35'!$F100,'P35'!$E100)</f>
        <v>0</v>
      </c>
      <c r="AO104" s="89">
        <f>IF('P36'!$E100&gt;"",'P36'!$E100&amp;" "&amp;CHAR(10)&amp;'P36'!$F100,'P36'!$E100)</f>
        <v>0</v>
      </c>
      <c r="AP104" s="89">
        <f>IF('P37'!$E100&gt;"",'P37'!$E100&amp;" "&amp;CHAR(10)&amp;'P37'!$F100,'P37'!$E100)</f>
        <v>0</v>
      </c>
      <c r="AQ104" s="89">
        <f>IF('P38'!$E100&gt;"",'P38'!$E100&amp;" "&amp;CHAR(10)&amp;'P38'!$F100,'P38'!$E100)</f>
        <v>0</v>
      </c>
      <c r="AR104" s="89">
        <f>IF('P39'!$E100&gt;"",'P39'!$E100&amp;" "&amp;CHAR(10)&amp;'P39'!$F100,'P39'!$E100)</f>
        <v>0</v>
      </c>
      <c r="AS104" s="89">
        <f>IF('P40'!$E100&gt;"",'P40'!$E100&amp;" "&amp;CHAR(10)&amp;'P40'!$F100,'P40'!$E100)</f>
        <v>0</v>
      </c>
      <c r="AT104" s="55">
        <f t="shared" si="9"/>
        <v>0</v>
      </c>
      <c r="AU104" s="9">
        <f t="shared" si="10"/>
        <v>0</v>
      </c>
      <c r="AV104" s="55">
        <f t="shared" si="11"/>
        <v>0</v>
      </c>
      <c r="AW104" s="38" t="str">
        <f t="shared" si="12"/>
        <v>NT</v>
      </c>
      <c r="AX104" s="12"/>
      <c r="AY104" s="10"/>
      <c r="AZ104" s="10"/>
      <c r="BA104" s="10" t="str">
        <f>IF('P01'!$G100&lt;&gt;"", 'P01'!$G100, "non")</f>
        <v>non</v>
      </c>
      <c r="BB104" s="10" t="str">
        <f>IF('P02'!$G100&lt;&gt;"", 'P02'!$G100, "non")</f>
        <v>non</v>
      </c>
      <c r="BC104" s="10" t="str">
        <f>IF('P03'!$G100&lt;&gt;"", 'P03'!$G100, "non")</f>
        <v>non</v>
      </c>
      <c r="BD104" s="10" t="str">
        <f>IF('P04'!$G100&lt;&gt;"", 'P04'!$G100, "non")</f>
        <v>non</v>
      </c>
      <c r="BE104" s="10" t="str">
        <f>IF('P05'!$G100&lt;&gt;"", 'P05'!$G100, "non")</f>
        <v>non</v>
      </c>
      <c r="BF104" s="10" t="str">
        <f>IF('P06'!$G100&lt;&gt;"", 'P06'!$G100, "non")</f>
        <v>non</v>
      </c>
      <c r="BG104" s="10" t="str">
        <f>IF('P07'!$G100&lt;&gt;"", 'P07'!$G100, "non")</f>
        <v>non</v>
      </c>
      <c r="BH104" s="10" t="str">
        <f>IF('P08'!$G100&lt;&gt;"", 'P08'!$G100, "non")</f>
        <v>non</v>
      </c>
      <c r="BI104" s="10" t="str">
        <f>IF('P09'!$G100&lt;&gt;"", 'P09'!$G100, "non")</f>
        <v>non</v>
      </c>
      <c r="BJ104" s="10" t="str">
        <f>IF('P10'!$G100&lt;&gt;"", 'P10'!$G100, "non")</f>
        <v>non</v>
      </c>
      <c r="BK104" s="10" t="str">
        <f>IF('P11'!$G100&lt;&gt;"", 'P11'!$G100, "non")</f>
        <v>non</v>
      </c>
      <c r="BL104" s="10" t="str">
        <f>IF('P12'!$G100&lt;&gt;"", 'P12'!$G100, "non")</f>
        <v>non</v>
      </c>
      <c r="BM104" s="10" t="str">
        <f>IF('P13'!$G100&lt;&gt;"", 'P13'!$G100, "non")</f>
        <v>non</v>
      </c>
      <c r="BN104" s="10" t="str">
        <f>IF('P14'!$G100&lt;&gt;"", 'P14'!$G100, "non")</f>
        <v>non</v>
      </c>
      <c r="BO104" s="10" t="str">
        <f>IF('P15'!$G100&lt;&gt;"", 'P15'!$G100, "non")</f>
        <v>non</v>
      </c>
      <c r="BP104" s="10" t="str">
        <f>IF('P16'!$G100&lt;&gt;"", 'P16'!$G100, "non")</f>
        <v>non</v>
      </c>
      <c r="BQ104" s="10" t="str">
        <f>IF('P17'!$G100&lt;&gt;"", 'P17'!$G100, "non")</f>
        <v>non</v>
      </c>
      <c r="BR104" s="10" t="str">
        <f>IF('P18'!$G100&lt;&gt;"", 'P18'!$G100, "non")</f>
        <v>non</v>
      </c>
      <c r="BS104" s="10" t="str">
        <f>IF('P19'!$G100&lt;&gt;"", 'P19'!$G100, "non")</f>
        <v>non</v>
      </c>
      <c r="BT104" s="11" t="str">
        <f>IF('P20'!$G100&lt;&gt;"", 'P20'!$G100, "non")</f>
        <v>non</v>
      </c>
      <c r="BU104" s="10" t="str">
        <f>IF('P21'!$G100&lt;&gt;"", 'P21'!$G100, "non")</f>
        <v>non</v>
      </c>
      <c r="BV104" s="11" t="str">
        <f>IF('P22'!$G100&lt;&gt;"", 'P22'!$G100, "non")</f>
        <v>non</v>
      </c>
      <c r="BW104" s="10" t="str">
        <f>IF('P23'!$G100&lt;&gt;"", 'P23'!$G100, "non")</f>
        <v>non</v>
      </c>
      <c r="BX104" s="11" t="str">
        <f>IF('P24'!$G100&lt;&gt;"", 'P24'!$G100, "non")</f>
        <v>non</v>
      </c>
      <c r="BY104" s="10" t="str">
        <f>IF('P25'!$G100&lt;&gt;"", 'P25'!$G100, "non")</f>
        <v>non</v>
      </c>
      <c r="BZ104" s="11" t="str">
        <f>IF('P26'!$G100&lt;&gt;"", 'P26'!$G100, "non")</f>
        <v>non</v>
      </c>
      <c r="CA104" s="10" t="str">
        <f>IF('P27'!$G100&lt;&gt;"", 'P27'!$G100, "non")</f>
        <v>non</v>
      </c>
      <c r="CB104" s="11" t="str">
        <f>IF('P28'!$G100&lt;&gt;"", 'P28'!$G100, "non")</f>
        <v>non</v>
      </c>
      <c r="CC104" s="10" t="str">
        <f>IF('P29'!$G100&lt;&gt;"", 'P29'!$G100, "non")</f>
        <v>non</v>
      </c>
      <c r="CD104" s="11" t="str">
        <f>IF('P30'!$G100&lt;&gt;"", 'P30'!$G100, "non")</f>
        <v>non</v>
      </c>
      <c r="CE104" s="10" t="str">
        <f>IF('P31'!$G100&lt;&gt;"", 'P31'!$G100, "non")</f>
        <v>non</v>
      </c>
      <c r="CF104" s="11" t="str">
        <f>IF('P32'!$G100&lt;&gt;"", 'P32'!$G100, "non")</f>
        <v>non</v>
      </c>
      <c r="CG104" s="10" t="str">
        <f>IF('P33'!$G100&lt;&gt;"", 'P33'!$G100, "non")</f>
        <v>non</v>
      </c>
      <c r="CH104" s="10" t="str">
        <f>IF('P34'!$G100&lt;&gt;"", 'P34'!$G100, "non")</f>
        <v>non</v>
      </c>
      <c r="CI104" s="11" t="str">
        <f>IF('P35'!$G100&lt;&gt;"", 'P35'!$G100, "non")</f>
        <v>non</v>
      </c>
      <c r="CJ104" s="10" t="str">
        <f>IF('P36'!$G100&lt;&gt;"", 'P36'!$G100, "non")</f>
        <v>non</v>
      </c>
      <c r="CK104" s="11" t="str">
        <f>IF('P37'!$G100&lt;&gt;"", 'P37'!$G100, "non")</f>
        <v>non</v>
      </c>
      <c r="CL104" s="10" t="str">
        <f>IF('P38'!$G100&lt;&gt;"", 'P38'!$G100, "non")</f>
        <v>non</v>
      </c>
      <c r="CM104" s="11" t="str">
        <f>IF('P39'!$G100&lt;&gt;"", 'P39'!$G100, "non")</f>
        <v>non</v>
      </c>
      <c r="CN104" s="10" t="str">
        <f>IF('P40'!$G100&lt;&gt;"", 'P40'!$G100, "non")</f>
        <v>non</v>
      </c>
    </row>
    <row r="105" spans="1:92" ht="39.75" customHeight="1">
      <c r="A105" s="122" t="str">
        <f>'Critères et tests'!B100</f>
        <v>CONSULTATION</v>
      </c>
      <c r="B105" s="124" t="str">
        <f>'Critères et tests'!$A100</f>
        <v>13.4</v>
      </c>
      <c r="C105" s="192" t="str">
        <f>VLOOKUP(B105,'Critères et tests'!$1:$1048576,5,FALSE)</f>
        <v>Pour chaque document bureautique ayant une version accessible, cette version offre-t-elle la même information ?</v>
      </c>
      <c r="D105" s="124" t="str">
        <f>'Critères et tests'!$C100</f>
        <v>A</v>
      </c>
      <c r="E105" s="156" t="s">
        <v>460</v>
      </c>
      <c r="F105" s="88">
        <f>IF('P01'!$E101&gt;"",'P01'!$E101&amp;" "&amp;CHAR(10)&amp;'P01'!$F101,'P01'!$E101)</f>
        <v>0</v>
      </c>
      <c r="G105" s="89">
        <f>IF('P02'!$E101&gt;"",'P02'!$E101&amp;" "&amp;CHAR(10)&amp;'P02'!$F101,'P02'!$E101)</f>
        <v>0</v>
      </c>
      <c r="H105" s="89">
        <f>IF('P03'!$E101&gt;"",'P03'!$E101&amp;" "&amp;CHAR(10)&amp;'P03'!$F101,'P03'!$E101)</f>
        <v>0</v>
      </c>
      <c r="I105" s="89">
        <f>IF('P04'!$E101&gt;"",'P04'!$E101&amp;" "&amp;CHAR(10)&amp;'P04'!$F101,'P04'!$E101)</f>
        <v>0</v>
      </c>
      <c r="J105" s="89">
        <f>IF('P05'!$E101&gt;"",'P05'!$E101&amp;" "&amp;CHAR(10)&amp;'P05'!$F101,'P05'!$E101)</f>
        <v>0</v>
      </c>
      <c r="K105" s="89">
        <f>IF('P06'!$E101&gt;"",'P06'!$E101&amp;" "&amp;CHAR(10)&amp;'P06'!$F101,'P06'!$E101)</f>
        <v>0</v>
      </c>
      <c r="L105" s="89">
        <f>IF('P07'!$E101&gt;"",'P07'!$E101&amp;" "&amp;CHAR(10)&amp;'P07'!$F101,'P07'!$E101)</f>
        <v>0</v>
      </c>
      <c r="M105" s="89">
        <f>IF('P08'!$E101&gt;"",'P08'!$E101&amp;" "&amp;CHAR(10)&amp;'P08'!$F101,'P08'!$E101)</f>
        <v>0</v>
      </c>
      <c r="N105" s="89">
        <f>IF('P09'!$E101&gt;"",'P09'!$E101&amp;" "&amp;CHAR(10)&amp;'P09'!$F101,'P09'!$E101)</f>
        <v>0</v>
      </c>
      <c r="O105" s="89">
        <f>IF('P10'!$E101&gt;"",'P10'!$E101&amp;" "&amp;CHAR(10)&amp;'P10'!$F101,'P10'!$E101)</f>
        <v>0</v>
      </c>
      <c r="P105" s="89">
        <f>IF('P11'!$E101&gt;"",'P11'!$E101&amp;" "&amp;CHAR(10)&amp;'P11'!$F101,'P11'!$E101)</f>
        <v>0</v>
      </c>
      <c r="Q105" s="89">
        <f>IF('P12'!$E101&gt;"",'P12'!$E101&amp;" "&amp;CHAR(10)&amp;'P12'!$F101,'P12'!$E101)</f>
        <v>0</v>
      </c>
      <c r="R105" s="89">
        <f>IF('P13'!$E101&gt;"",'P13'!$E101&amp;" "&amp;CHAR(10)&amp;'P13'!$F101,'P13'!$E101)</f>
        <v>0</v>
      </c>
      <c r="S105" s="89">
        <f>IF('P14'!$E101&gt;"",'P14'!$E101&amp;" "&amp;CHAR(10)&amp;'P14'!$F101,'P14'!$E101)</f>
        <v>0</v>
      </c>
      <c r="T105" s="89">
        <f>IF('P15'!$E101&gt;"",'P15'!$E101&amp;" "&amp;CHAR(10)&amp;'P15'!$F101,'P15'!$E101)</f>
        <v>0</v>
      </c>
      <c r="U105" s="89">
        <f>IF('P16'!$E101&gt;"",'P16'!$E101&amp;" "&amp;CHAR(10)&amp;'P16'!$F101,'P16'!$E101)</f>
        <v>0</v>
      </c>
      <c r="V105" s="89">
        <f>IF('P17'!$E101&gt;"",'P17'!$E101&amp;" "&amp;CHAR(10)&amp;'P17'!$F101,'P17'!$E101)</f>
        <v>0</v>
      </c>
      <c r="W105" s="89">
        <f>IF('P18'!$E101&gt;"",'P18'!$E101&amp;" "&amp;CHAR(10)&amp;'P18'!$F101,'P18'!$E101)</f>
        <v>0</v>
      </c>
      <c r="X105" s="89">
        <f>IF('P19'!$E101&gt;"",'P19'!$E101&amp;" "&amp;CHAR(10)&amp;'P19'!$F101,'P19'!$E101)</f>
        <v>0</v>
      </c>
      <c r="Y105" s="89">
        <f>IF('P20'!$E101&gt;"",'P20'!$E101&amp;" "&amp;CHAR(10)&amp;'P20'!$F101,'P20'!$E101)</f>
        <v>0</v>
      </c>
      <c r="Z105" s="89">
        <f>IF('P21'!$E101&gt;"",'P21'!$E101&amp;" "&amp;CHAR(10)&amp;'P21'!$F101,'P21'!$E101)</f>
        <v>0</v>
      </c>
      <c r="AA105" s="89">
        <f>IF('P22'!$E101&gt;"",'P22'!$E101&amp;" "&amp;CHAR(10)&amp;'P22'!$F101,'P22'!$E101)</f>
        <v>0</v>
      </c>
      <c r="AB105" s="89">
        <f>IF('P23'!$E101&gt;"",'P23'!$E101&amp;" "&amp;CHAR(10)&amp;'P23'!$F101,'P23'!$E101)</f>
        <v>0</v>
      </c>
      <c r="AC105" s="89">
        <f>IF('P24'!$E101&gt;"",'P24'!$E101&amp;" "&amp;CHAR(10)&amp;'P24'!$F101,'P24'!$E101)</f>
        <v>0</v>
      </c>
      <c r="AD105" s="89">
        <f>IF('P25'!$E101&gt;"",'P25'!$E101&amp;" "&amp;CHAR(10)&amp;'P25'!$F101,'P25'!$E101)</f>
        <v>0</v>
      </c>
      <c r="AE105" s="89">
        <f>IF('P26'!$E101&gt;"",'P26'!$E101&amp;" "&amp;CHAR(10)&amp;'P26'!$F101,'P26'!$E101)</f>
        <v>0</v>
      </c>
      <c r="AF105" s="89">
        <f>IF('P27'!$E101&gt;"",'P27'!$E101&amp;" "&amp;CHAR(10)&amp;'P27'!$F101,'P27'!$E101)</f>
        <v>0</v>
      </c>
      <c r="AG105" s="89">
        <f>IF('P28'!$E101&gt;"",'P28'!$E101&amp;" "&amp;CHAR(10)&amp;'P28'!$F101,'P28'!$E101)</f>
        <v>0</v>
      </c>
      <c r="AH105" s="89">
        <f>IF('P29'!$E101&gt;"",'P29'!$E101&amp;" "&amp;CHAR(10)&amp;'P29'!$F101,'P29'!$E101)</f>
        <v>0</v>
      </c>
      <c r="AI105" s="89">
        <f>IF('P30'!$E101&gt;"",'P30'!$E101&amp;" "&amp;CHAR(10)&amp;'P30'!$F101,'P30'!$E101)</f>
        <v>0</v>
      </c>
      <c r="AJ105" s="89">
        <f>IF('P31'!$E101&gt;"",'P31'!$E101&amp;" "&amp;CHAR(10)&amp;'P31'!$F101,'P31'!$E101)</f>
        <v>0</v>
      </c>
      <c r="AK105" s="89">
        <f>IF('P32'!$E101&gt;"",'P32'!$E101&amp;" "&amp;CHAR(10)&amp;'P32'!$F101,'P32'!$E101)</f>
        <v>0</v>
      </c>
      <c r="AL105" s="89">
        <f>IF('P33'!$E101&gt;"",'P33'!$E101&amp;" "&amp;CHAR(10)&amp;'P33'!$F101,'P33'!$E101)</f>
        <v>0</v>
      </c>
      <c r="AM105" s="89">
        <f>IF('P34'!$E101&gt;"",'P34'!$E101&amp;" "&amp;CHAR(10)&amp;'P34'!$F101,'P34'!$E101)</f>
        <v>0</v>
      </c>
      <c r="AN105" s="89">
        <f>IF('P35'!$E101&gt;"",'P35'!$E101&amp;" "&amp;CHAR(10)&amp;'P35'!$F101,'P35'!$E101)</f>
        <v>0</v>
      </c>
      <c r="AO105" s="89">
        <f>IF('P36'!$E101&gt;"",'P36'!$E101&amp;" "&amp;CHAR(10)&amp;'P36'!$F101,'P36'!$E101)</f>
        <v>0</v>
      </c>
      <c r="AP105" s="89">
        <f>IF('P37'!$E101&gt;"",'P37'!$E101&amp;" "&amp;CHAR(10)&amp;'P37'!$F101,'P37'!$E101)</f>
        <v>0</v>
      </c>
      <c r="AQ105" s="89">
        <f>IF('P38'!$E101&gt;"",'P38'!$E101&amp;" "&amp;CHAR(10)&amp;'P38'!$F101,'P38'!$E101)</f>
        <v>0</v>
      </c>
      <c r="AR105" s="89">
        <f>IF('P39'!$E101&gt;"",'P39'!$E101&amp;" "&amp;CHAR(10)&amp;'P39'!$F101,'P39'!$E101)</f>
        <v>0</v>
      </c>
      <c r="AS105" s="89">
        <f>IF('P40'!$E101&gt;"",'P40'!$E101&amp;" "&amp;CHAR(10)&amp;'P40'!$F101,'P40'!$E101)</f>
        <v>0</v>
      </c>
      <c r="AT105" s="55">
        <f t="shared" si="9"/>
        <v>0</v>
      </c>
      <c r="AU105" s="9">
        <f t="shared" si="10"/>
        <v>0</v>
      </c>
      <c r="AV105" s="55">
        <f t="shared" si="11"/>
        <v>0</v>
      </c>
      <c r="AW105" s="38" t="str">
        <f t="shared" si="12"/>
        <v>NT</v>
      </c>
      <c r="AX105" s="12"/>
      <c r="AY105" s="10"/>
      <c r="AZ105" s="10"/>
      <c r="BA105" s="10" t="str">
        <f>IF('P01'!$G101&lt;&gt;"", 'P01'!$G101, "non")</f>
        <v>non</v>
      </c>
      <c r="BB105" s="10" t="str">
        <f>IF('P02'!$G101&lt;&gt;"", 'P02'!$G101, "non")</f>
        <v>non</v>
      </c>
      <c r="BC105" s="10" t="str">
        <f>IF('P03'!$G101&lt;&gt;"", 'P03'!$G101, "non")</f>
        <v>non</v>
      </c>
      <c r="BD105" s="10" t="str">
        <f>IF('P04'!$G101&lt;&gt;"", 'P04'!$G101, "non")</f>
        <v>non</v>
      </c>
      <c r="BE105" s="10" t="str">
        <f>IF('P05'!$G101&lt;&gt;"", 'P05'!$G101, "non")</f>
        <v>non</v>
      </c>
      <c r="BF105" s="10" t="str">
        <f>IF('P06'!$G101&lt;&gt;"", 'P06'!$G101, "non")</f>
        <v>non</v>
      </c>
      <c r="BG105" s="10" t="str">
        <f>IF('P07'!$G101&lt;&gt;"", 'P07'!$G101, "non")</f>
        <v>non</v>
      </c>
      <c r="BH105" s="10" t="str">
        <f>IF('P08'!$G101&lt;&gt;"", 'P08'!$G101, "non")</f>
        <v>non</v>
      </c>
      <c r="BI105" s="10" t="str">
        <f>IF('P09'!$G101&lt;&gt;"", 'P09'!$G101, "non")</f>
        <v>non</v>
      </c>
      <c r="BJ105" s="10" t="str">
        <f>IF('P10'!$G101&lt;&gt;"", 'P10'!$G101, "non")</f>
        <v>non</v>
      </c>
      <c r="BK105" s="10" t="str">
        <f>IF('P11'!$G101&lt;&gt;"", 'P11'!$G101, "non")</f>
        <v>non</v>
      </c>
      <c r="BL105" s="10" t="str">
        <f>IF('P12'!$G101&lt;&gt;"", 'P12'!$G101, "non")</f>
        <v>non</v>
      </c>
      <c r="BM105" s="10" t="str">
        <f>IF('P13'!$G101&lt;&gt;"", 'P13'!$G101, "non")</f>
        <v>non</v>
      </c>
      <c r="BN105" s="10" t="str">
        <f>IF('P14'!$G101&lt;&gt;"", 'P14'!$G101, "non")</f>
        <v>non</v>
      </c>
      <c r="BO105" s="10" t="str">
        <f>IF('P15'!$G101&lt;&gt;"", 'P15'!$G101, "non")</f>
        <v>non</v>
      </c>
      <c r="BP105" s="10" t="str">
        <f>IF('P16'!$G101&lt;&gt;"", 'P16'!$G101, "non")</f>
        <v>non</v>
      </c>
      <c r="BQ105" s="10" t="str">
        <f>IF('P17'!$G101&lt;&gt;"", 'P17'!$G101, "non")</f>
        <v>non</v>
      </c>
      <c r="BR105" s="10" t="str">
        <f>IF('P18'!$G101&lt;&gt;"", 'P18'!$G101, "non")</f>
        <v>non</v>
      </c>
      <c r="BS105" s="10" t="str">
        <f>IF('P19'!$G101&lt;&gt;"", 'P19'!$G101, "non")</f>
        <v>non</v>
      </c>
      <c r="BT105" s="11" t="str">
        <f>IF('P20'!$G101&lt;&gt;"", 'P20'!$G101, "non")</f>
        <v>non</v>
      </c>
      <c r="BU105" s="10" t="str">
        <f>IF('P21'!$G101&lt;&gt;"", 'P21'!$G101, "non")</f>
        <v>non</v>
      </c>
      <c r="BV105" s="11" t="str">
        <f>IF('P22'!$G101&lt;&gt;"", 'P22'!$G101, "non")</f>
        <v>non</v>
      </c>
      <c r="BW105" s="10" t="str">
        <f>IF('P23'!$G101&lt;&gt;"", 'P23'!$G101, "non")</f>
        <v>non</v>
      </c>
      <c r="BX105" s="11" t="str">
        <f>IF('P24'!$G101&lt;&gt;"", 'P24'!$G101, "non")</f>
        <v>non</v>
      </c>
      <c r="BY105" s="10" t="str">
        <f>IF('P25'!$G101&lt;&gt;"", 'P25'!$G101, "non")</f>
        <v>non</v>
      </c>
      <c r="BZ105" s="11" t="str">
        <f>IF('P26'!$G101&lt;&gt;"", 'P26'!$G101, "non")</f>
        <v>non</v>
      </c>
      <c r="CA105" s="10" t="str">
        <f>IF('P27'!$G101&lt;&gt;"", 'P27'!$G101, "non")</f>
        <v>non</v>
      </c>
      <c r="CB105" s="11" t="str">
        <f>IF('P28'!$G101&lt;&gt;"", 'P28'!$G101, "non")</f>
        <v>non</v>
      </c>
      <c r="CC105" s="10" t="str">
        <f>IF('P29'!$G101&lt;&gt;"", 'P29'!$G101, "non")</f>
        <v>non</v>
      </c>
      <c r="CD105" s="11" t="str">
        <f>IF('P30'!$G101&lt;&gt;"", 'P30'!$G101, "non")</f>
        <v>non</v>
      </c>
      <c r="CE105" s="10" t="str">
        <f>IF('P31'!$G101&lt;&gt;"", 'P31'!$G101, "non")</f>
        <v>non</v>
      </c>
      <c r="CF105" s="11" t="str">
        <f>IF('P32'!$G101&lt;&gt;"", 'P32'!$G101, "non")</f>
        <v>non</v>
      </c>
      <c r="CG105" s="10" t="str">
        <f>IF('P33'!$G101&lt;&gt;"", 'P33'!$G101, "non")</f>
        <v>non</v>
      </c>
      <c r="CH105" s="10" t="str">
        <f>IF('P34'!$G101&lt;&gt;"", 'P34'!$G101, "non")</f>
        <v>non</v>
      </c>
      <c r="CI105" s="11" t="str">
        <f>IF('P35'!$G101&lt;&gt;"", 'P35'!$G101, "non")</f>
        <v>non</v>
      </c>
      <c r="CJ105" s="10" t="str">
        <f>IF('P36'!$G101&lt;&gt;"", 'P36'!$G101, "non")</f>
        <v>non</v>
      </c>
      <c r="CK105" s="11" t="str">
        <f>IF('P37'!$G101&lt;&gt;"", 'P37'!$G101, "non")</f>
        <v>non</v>
      </c>
      <c r="CL105" s="10" t="str">
        <f>IF('P38'!$G101&lt;&gt;"", 'P38'!$G101, "non")</f>
        <v>non</v>
      </c>
      <c r="CM105" s="11" t="str">
        <f>IF('P39'!$G101&lt;&gt;"", 'P39'!$G101, "non")</f>
        <v>non</v>
      </c>
      <c r="CN105" s="10" t="str">
        <f>IF('P40'!$G101&lt;&gt;"", 'P40'!$G101, "non")</f>
        <v>non</v>
      </c>
    </row>
    <row r="106" spans="1:92" ht="39.75" customHeight="1">
      <c r="A106" s="122" t="str">
        <f>'Critères et tests'!B101</f>
        <v>CONSULTATION</v>
      </c>
      <c r="B106" s="124" t="str">
        <f>'Critères et tests'!$A101</f>
        <v>13.5</v>
      </c>
      <c r="C106" s="192" t="str">
        <f>VLOOKUP(B106,'Critères et tests'!$1:$1048576,5,FALSE)</f>
        <v>Dans chaque page web, chaque contenu cryptique (art ASCII, émoticon, syntaxe cryptique) a-t-il une alternative ?</v>
      </c>
      <c r="D106" s="124" t="str">
        <f>'Critères et tests'!$C101</f>
        <v>A</v>
      </c>
      <c r="E106" s="156" t="s">
        <v>460</v>
      </c>
      <c r="F106" s="88">
        <f>IF('P01'!$E102&gt;"",'P01'!$E102&amp;" "&amp;CHAR(10)&amp;'P01'!$F102,'P01'!$E102)</f>
        <v>0</v>
      </c>
      <c r="G106" s="89">
        <f>IF('P02'!$E102&gt;"",'P02'!$E102&amp;" "&amp;CHAR(10)&amp;'P02'!$F102,'P02'!$E102)</f>
        <v>0</v>
      </c>
      <c r="H106" s="89">
        <f>IF('P03'!$E102&gt;"",'P03'!$E102&amp;" "&amp;CHAR(10)&amp;'P03'!$F102,'P03'!$E102)</f>
        <v>0</v>
      </c>
      <c r="I106" s="89">
        <f>IF('P04'!$E102&gt;"",'P04'!$E102&amp;" "&amp;CHAR(10)&amp;'P04'!$F102,'P04'!$E102)</f>
        <v>0</v>
      </c>
      <c r="J106" s="89">
        <f>IF('P05'!$E102&gt;"",'P05'!$E102&amp;" "&amp;CHAR(10)&amp;'P05'!$F102,'P05'!$E102)</f>
        <v>0</v>
      </c>
      <c r="K106" s="89">
        <f>IF('P06'!$E102&gt;"",'P06'!$E102&amp;" "&amp;CHAR(10)&amp;'P06'!$F102,'P06'!$E102)</f>
        <v>0</v>
      </c>
      <c r="L106" s="89">
        <f>IF('P07'!$E102&gt;"",'P07'!$E102&amp;" "&amp;CHAR(10)&amp;'P07'!$F102,'P07'!$E102)</f>
        <v>0</v>
      </c>
      <c r="M106" s="89">
        <f>IF('P08'!$E102&gt;"",'P08'!$E102&amp;" "&amp;CHAR(10)&amp;'P08'!$F102,'P08'!$E102)</f>
        <v>0</v>
      </c>
      <c r="N106" s="89">
        <f>IF('P09'!$E102&gt;"",'P09'!$E102&amp;" "&amp;CHAR(10)&amp;'P09'!$F102,'P09'!$E102)</f>
        <v>0</v>
      </c>
      <c r="O106" s="89">
        <f>IF('P10'!$E102&gt;"",'P10'!$E102&amp;" "&amp;CHAR(10)&amp;'P10'!$F102,'P10'!$E102)</f>
        <v>0</v>
      </c>
      <c r="P106" s="89">
        <f>IF('P11'!$E102&gt;"",'P11'!$E102&amp;" "&amp;CHAR(10)&amp;'P11'!$F102,'P11'!$E102)</f>
        <v>0</v>
      </c>
      <c r="Q106" s="89">
        <f>IF('P12'!$E102&gt;"",'P12'!$E102&amp;" "&amp;CHAR(10)&amp;'P12'!$F102,'P12'!$E102)</f>
        <v>0</v>
      </c>
      <c r="R106" s="89">
        <f>IF('P13'!$E102&gt;"",'P13'!$E102&amp;" "&amp;CHAR(10)&amp;'P13'!$F102,'P13'!$E102)</f>
        <v>0</v>
      </c>
      <c r="S106" s="89">
        <f>IF('P14'!$E102&gt;"",'P14'!$E102&amp;" "&amp;CHAR(10)&amp;'P14'!$F102,'P14'!$E102)</f>
        <v>0</v>
      </c>
      <c r="T106" s="89">
        <f>IF('P15'!$E102&gt;"",'P15'!$E102&amp;" "&amp;CHAR(10)&amp;'P15'!$F102,'P15'!$E102)</f>
        <v>0</v>
      </c>
      <c r="U106" s="89">
        <f>IF('P16'!$E102&gt;"",'P16'!$E102&amp;" "&amp;CHAR(10)&amp;'P16'!$F102,'P16'!$E102)</f>
        <v>0</v>
      </c>
      <c r="V106" s="89">
        <f>IF('P17'!$E102&gt;"",'P17'!$E102&amp;" "&amp;CHAR(10)&amp;'P17'!$F102,'P17'!$E102)</f>
        <v>0</v>
      </c>
      <c r="W106" s="89">
        <f>IF('P18'!$E102&gt;"",'P18'!$E102&amp;" "&amp;CHAR(10)&amp;'P18'!$F102,'P18'!$E102)</f>
        <v>0</v>
      </c>
      <c r="X106" s="89">
        <f>IF('P19'!$E102&gt;"",'P19'!$E102&amp;" "&amp;CHAR(10)&amp;'P19'!$F102,'P19'!$E102)</f>
        <v>0</v>
      </c>
      <c r="Y106" s="89">
        <f>IF('P20'!$E102&gt;"",'P20'!$E102&amp;" "&amp;CHAR(10)&amp;'P20'!$F102,'P20'!$E102)</f>
        <v>0</v>
      </c>
      <c r="Z106" s="89">
        <f>IF('P21'!$E102&gt;"",'P21'!$E102&amp;" "&amp;CHAR(10)&amp;'P21'!$F102,'P21'!$E102)</f>
        <v>0</v>
      </c>
      <c r="AA106" s="89">
        <f>IF('P22'!$E102&gt;"",'P22'!$E102&amp;" "&amp;CHAR(10)&amp;'P22'!$F102,'P22'!$E102)</f>
        <v>0</v>
      </c>
      <c r="AB106" s="89">
        <f>IF('P23'!$E102&gt;"",'P23'!$E102&amp;" "&amp;CHAR(10)&amp;'P23'!$F102,'P23'!$E102)</f>
        <v>0</v>
      </c>
      <c r="AC106" s="89">
        <f>IF('P24'!$E102&gt;"",'P24'!$E102&amp;" "&amp;CHAR(10)&amp;'P24'!$F102,'P24'!$E102)</f>
        <v>0</v>
      </c>
      <c r="AD106" s="89">
        <f>IF('P25'!$E102&gt;"",'P25'!$E102&amp;" "&amp;CHAR(10)&amp;'P25'!$F102,'P25'!$E102)</f>
        <v>0</v>
      </c>
      <c r="AE106" s="89">
        <f>IF('P26'!$E102&gt;"",'P26'!$E102&amp;" "&amp;CHAR(10)&amp;'P26'!$F102,'P26'!$E102)</f>
        <v>0</v>
      </c>
      <c r="AF106" s="89">
        <f>IF('P27'!$E102&gt;"",'P27'!$E102&amp;" "&amp;CHAR(10)&amp;'P27'!$F102,'P27'!$E102)</f>
        <v>0</v>
      </c>
      <c r="AG106" s="89">
        <f>IF('P28'!$E102&gt;"",'P28'!$E102&amp;" "&amp;CHAR(10)&amp;'P28'!$F102,'P28'!$E102)</f>
        <v>0</v>
      </c>
      <c r="AH106" s="89">
        <f>IF('P29'!$E102&gt;"",'P29'!$E102&amp;" "&amp;CHAR(10)&amp;'P29'!$F102,'P29'!$E102)</f>
        <v>0</v>
      </c>
      <c r="AI106" s="89">
        <f>IF('P30'!$E102&gt;"",'P30'!$E102&amp;" "&amp;CHAR(10)&amp;'P30'!$F102,'P30'!$E102)</f>
        <v>0</v>
      </c>
      <c r="AJ106" s="89">
        <f>IF('P31'!$E102&gt;"",'P31'!$E102&amp;" "&amp;CHAR(10)&amp;'P31'!$F102,'P31'!$E102)</f>
        <v>0</v>
      </c>
      <c r="AK106" s="89">
        <f>IF('P32'!$E102&gt;"",'P32'!$E102&amp;" "&amp;CHAR(10)&amp;'P32'!$F102,'P32'!$E102)</f>
        <v>0</v>
      </c>
      <c r="AL106" s="89">
        <f>IF('P33'!$E102&gt;"",'P33'!$E102&amp;" "&amp;CHAR(10)&amp;'P33'!$F102,'P33'!$E102)</f>
        <v>0</v>
      </c>
      <c r="AM106" s="89">
        <f>IF('P34'!$E102&gt;"",'P34'!$E102&amp;" "&amp;CHAR(10)&amp;'P34'!$F102,'P34'!$E102)</f>
        <v>0</v>
      </c>
      <c r="AN106" s="89">
        <f>IF('P35'!$E102&gt;"",'P35'!$E102&amp;" "&amp;CHAR(10)&amp;'P35'!$F102,'P35'!$E102)</f>
        <v>0</v>
      </c>
      <c r="AO106" s="89">
        <f>IF('P36'!$E102&gt;"",'P36'!$E102&amp;" "&amp;CHAR(10)&amp;'P36'!$F102,'P36'!$E102)</f>
        <v>0</v>
      </c>
      <c r="AP106" s="89">
        <f>IF('P37'!$E102&gt;"",'P37'!$E102&amp;" "&amp;CHAR(10)&amp;'P37'!$F102,'P37'!$E102)</f>
        <v>0</v>
      </c>
      <c r="AQ106" s="89">
        <f>IF('P38'!$E102&gt;"",'P38'!$E102&amp;" "&amp;CHAR(10)&amp;'P38'!$F102,'P38'!$E102)</f>
        <v>0</v>
      </c>
      <c r="AR106" s="89">
        <f>IF('P39'!$E102&gt;"",'P39'!$E102&amp;" "&amp;CHAR(10)&amp;'P39'!$F102,'P39'!$E102)</f>
        <v>0</v>
      </c>
      <c r="AS106" s="89">
        <f>IF('P40'!$E102&gt;"",'P40'!$E102&amp;" "&amp;CHAR(10)&amp;'P40'!$F102,'P40'!$E102)</f>
        <v>0</v>
      </c>
      <c r="AT106" s="55">
        <f t="shared" si="9"/>
        <v>0</v>
      </c>
      <c r="AU106" s="9">
        <f t="shared" si="10"/>
        <v>0</v>
      </c>
      <c r="AV106" s="55">
        <f t="shared" si="11"/>
        <v>0</v>
      </c>
      <c r="AW106" s="38" t="str">
        <f t="shared" si="12"/>
        <v>NT</v>
      </c>
      <c r="AX106" s="12"/>
      <c r="AY106" s="10"/>
      <c r="AZ106" s="10"/>
      <c r="BA106" s="10" t="str">
        <f>IF('P01'!$G102&lt;&gt;"", 'P01'!$G102, "non")</f>
        <v>non</v>
      </c>
      <c r="BB106" s="10" t="str">
        <f>IF('P02'!$G102&lt;&gt;"", 'P02'!$G102, "non")</f>
        <v>non</v>
      </c>
      <c r="BC106" s="10" t="str">
        <f>IF('P03'!$G102&lt;&gt;"", 'P03'!$G102, "non")</f>
        <v>non</v>
      </c>
      <c r="BD106" s="10" t="str">
        <f>IF('P04'!$G102&lt;&gt;"", 'P04'!$G102, "non")</f>
        <v>non</v>
      </c>
      <c r="BE106" s="10" t="str">
        <f>IF('P05'!$G102&lt;&gt;"", 'P05'!$G102, "non")</f>
        <v>non</v>
      </c>
      <c r="BF106" s="10" t="str">
        <f>IF('P06'!$G102&lt;&gt;"", 'P06'!$G102, "non")</f>
        <v>non</v>
      </c>
      <c r="BG106" s="10" t="str">
        <f>IF('P07'!$G102&lt;&gt;"", 'P07'!$G102, "non")</f>
        <v>non</v>
      </c>
      <c r="BH106" s="10" t="str">
        <f>IF('P08'!$G102&lt;&gt;"", 'P08'!$G102, "non")</f>
        <v>non</v>
      </c>
      <c r="BI106" s="10" t="str">
        <f>IF('P09'!$G102&lt;&gt;"", 'P09'!$G102, "non")</f>
        <v>non</v>
      </c>
      <c r="BJ106" s="10" t="str">
        <f>IF('P10'!$G102&lt;&gt;"", 'P10'!$G102, "non")</f>
        <v>non</v>
      </c>
      <c r="BK106" s="10" t="str">
        <f>IF('P11'!$G102&lt;&gt;"", 'P11'!$G102, "non")</f>
        <v>non</v>
      </c>
      <c r="BL106" s="10" t="str">
        <f>IF('P12'!$G102&lt;&gt;"", 'P12'!$G102, "non")</f>
        <v>non</v>
      </c>
      <c r="BM106" s="10" t="str">
        <f>IF('P13'!$G102&lt;&gt;"", 'P13'!$G102, "non")</f>
        <v>non</v>
      </c>
      <c r="BN106" s="10" t="str">
        <f>IF('P14'!$G102&lt;&gt;"", 'P14'!$G102, "non")</f>
        <v>non</v>
      </c>
      <c r="BO106" s="10" t="str">
        <f>IF('P15'!$G102&lt;&gt;"", 'P15'!$G102, "non")</f>
        <v>non</v>
      </c>
      <c r="BP106" s="10" t="str">
        <f>IF('P16'!$G102&lt;&gt;"", 'P16'!$G102, "non")</f>
        <v>non</v>
      </c>
      <c r="BQ106" s="10" t="str">
        <f>IF('P17'!$G102&lt;&gt;"", 'P17'!$G102, "non")</f>
        <v>non</v>
      </c>
      <c r="BR106" s="10" t="str">
        <f>IF('P18'!$G102&lt;&gt;"", 'P18'!$G102, "non")</f>
        <v>non</v>
      </c>
      <c r="BS106" s="10" t="str">
        <f>IF('P19'!$G102&lt;&gt;"", 'P19'!$G102, "non")</f>
        <v>non</v>
      </c>
      <c r="BT106" s="11" t="str">
        <f>IF('P20'!$G102&lt;&gt;"", 'P20'!$G102, "non")</f>
        <v>non</v>
      </c>
      <c r="BU106" s="10" t="str">
        <f>IF('P21'!$G102&lt;&gt;"", 'P21'!$G102, "non")</f>
        <v>non</v>
      </c>
      <c r="BV106" s="11" t="str">
        <f>IF('P22'!$G102&lt;&gt;"", 'P22'!$G102, "non")</f>
        <v>non</v>
      </c>
      <c r="BW106" s="10" t="str">
        <f>IF('P23'!$G102&lt;&gt;"", 'P23'!$G102, "non")</f>
        <v>non</v>
      </c>
      <c r="BX106" s="11" t="str">
        <f>IF('P24'!$G102&lt;&gt;"", 'P24'!$G102, "non")</f>
        <v>non</v>
      </c>
      <c r="BY106" s="10" t="str">
        <f>IF('P25'!$G102&lt;&gt;"", 'P25'!$G102, "non")</f>
        <v>non</v>
      </c>
      <c r="BZ106" s="11" t="str">
        <f>IF('P26'!$G102&lt;&gt;"", 'P26'!$G102, "non")</f>
        <v>non</v>
      </c>
      <c r="CA106" s="10" t="str">
        <f>IF('P27'!$G102&lt;&gt;"", 'P27'!$G102, "non")</f>
        <v>non</v>
      </c>
      <c r="CB106" s="11" t="str">
        <f>IF('P28'!$G102&lt;&gt;"", 'P28'!$G102, "non")</f>
        <v>non</v>
      </c>
      <c r="CC106" s="10" t="str">
        <f>IF('P29'!$G102&lt;&gt;"", 'P29'!$G102, "non")</f>
        <v>non</v>
      </c>
      <c r="CD106" s="11" t="str">
        <f>IF('P30'!$G102&lt;&gt;"", 'P30'!$G102, "non")</f>
        <v>non</v>
      </c>
      <c r="CE106" s="10" t="str">
        <f>IF('P31'!$G102&lt;&gt;"", 'P31'!$G102, "non")</f>
        <v>non</v>
      </c>
      <c r="CF106" s="11" t="str">
        <f>IF('P32'!$G102&lt;&gt;"", 'P32'!$G102, "non")</f>
        <v>non</v>
      </c>
      <c r="CG106" s="10" t="str">
        <f>IF('P33'!$G102&lt;&gt;"", 'P33'!$G102, "non")</f>
        <v>non</v>
      </c>
      <c r="CH106" s="10" t="str">
        <f>IF('P34'!$G102&lt;&gt;"", 'P34'!$G102, "non")</f>
        <v>non</v>
      </c>
      <c r="CI106" s="11" t="str">
        <f>IF('P35'!$G102&lt;&gt;"", 'P35'!$G102, "non")</f>
        <v>non</v>
      </c>
      <c r="CJ106" s="10" t="str">
        <f>IF('P36'!$G102&lt;&gt;"", 'P36'!$G102, "non")</f>
        <v>non</v>
      </c>
      <c r="CK106" s="11" t="str">
        <f>IF('P37'!$G102&lt;&gt;"", 'P37'!$G102, "non")</f>
        <v>non</v>
      </c>
      <c r="CL106" s="10" t="str">
        <f>IF('P38'!$G102&lt;&gt;"", 'P38'!$G102, "non")</f>
        <v>non</v>
      </c>
      <c r="CM106" s="11" t="str">
        <f>IF('P39'!$G102&lt;&gt;"", 'P39'!$G102, "non")</f>
        <v>non</v>
      </c>
      <c r="CN106" s="10" t="str">
        <f>IF('P40'!$G102&lt;&gt;"", 'P40'!$G102, "non")</f>
        <v>non</v>
      </c>
    </row>
    <row r="107" spans="1:92" ht="39.75" customHeight="1">
      <c r="A107" s="122" t="str">
        <f>'Critères et tests'!B102</f>
        <v>CONSULTATION</v>
      </c>
      <c r="B107" s="124" t="str">
        <f>'Critères et tests'!$A102</f>
        <v>13.6</v>
      </c>
      <c r="C107" s="192" t="str">
        <f>VLOOKUP(B107,'Critères et tests'!$1:$1048576,5,FALSE)</f>
        <v>Dans chaque page web, pour chaque contenu cryptique (art ASCII, émoticon, syntaxe cryptique) ayant une alternative, cette alternative est-elle pertinente ?</v>
      </c>
      <c r="D107" s="124" t="str">
        <f>'Critères et tests'!$C102</f>
        <v>A</v>
      </c>
      <c r="E107" s="156" t="s">
        <v>460</v>
      </c>
      <c r="F107" s="88">
        <f>IF('P01'!$E103&gt;"",'P01'!$E103&amp;" "&amp;CHAR(10)&amp;'P01'!$F103,'P01'!$E103)</f>
        <v>0</v>
      </c>
      <c r="G107" s="89">
        <f>IF('P02'!$E103&gt;"",'P02'!$E103&amp;" "&amp;CHAR(10)&amp;'P02'!$F103,'P02'!$E103)</f>
        <v>0</v>
      </c>
      <c r="H107" s="89">
        <f>IF('P03'!$E103&gt;"",'P03'!$E103&amp;" "&amp;CHAR(10)&amp;'P03'!$F103,'P03'!$E103)</f>
        <v>0</v>
      </c>
      <c r="I107" s="89">
        <f>IF('P04'!$E103&gt;"",'P04'!$E103&amp;" "&amp;CHAR(10)&amp;'P04'!$F103,'P04'!$E103)</f>
        <v>0</v>
      </c>
      <c r="J107" s="89">
        <f>IF('P05'!$E103&gt;"",'P05'!$E103&amp;" "&amp;CHAR(10)&amp;'P05'!$F103,'P05'!$E103)</f>
        <v>0</v>
      </c>
      <c r="K107" s="89">
        <f>IF('P06'!$E103&gt;"",'P06'!$E103&amp;" "&amp;CHAR(10)&amp;'P06'!$F103,'P06'!$E103)</f>
        <v>0</v>
      </c>
      <c r="L107" s="89">
        <f>IF('P07'!$E103&gt;"",'P07'!$E103&amp;" "&amp;CHAR(10)&amp;'P07'!$F103,'P07'!$E103)</f>
        <v>0</v>
      </c>
      <c r="M107" s="89">
        <f>IF('P08'!$E103&gt;"",'P08'!$E103&amp;" "&amp;CHAR(10)&amp;'P08'!$F103,'P08'!$E103)</f>
        <v>0</v>
      </c>
      <c r="N107" s="89">
        <f>IF('P09'!$E103&gt;"",'P09'!$E103&amp;" "&amp;CHAR(10)&amp;'P09'!$F103,'P09'!$E103)</f>
        <v>0</v>
      </c>
      <c r="O107" s="89">
        <f>IF('P10'!$E103&gt;"",'P10'!$E103&amp;" "&amp;CHAR(10)&amp;'P10'!$F103,'P10'!$E103)</f>
        <v>0</v>
      </c>
      <c r="P107" s="89">
        <f>IF('P11'!$E103&gt;"",'P11'!$E103&amp;" "&amp;CHAR(10)&amp;'P11'!$F103,'P11'!$E103)</f>
        <v>0</v>
      </c>
      <c r="Q107" s="89">
        <f>IF('P12'!$E103&gt;"",'P12'!$E103&amp;" "&amp;CHAR(10)&amp;'P12'!$F103,'P12'!$E103)</f>
        <v>0</v>
      </c>
      <c r="R107" s="89">
        <f>IF('P13'!$E103&gt;"",'P13'!$E103&amp;" "&amp;CHAR(10)&amp;'P13'!$F103,'P13'!$E103)</f>
        <v>0</v>
      </c>
      <c r="S107" s="89">
        <f>IF('P14'!$E103&gt;"",'P14'!$E103&amp;" "&amp;CHAR(10)&amp;'P14'!$F103,'P14'!$E103)</f>
        <v>0</v>
      </c>
      <c r="T107" s="89">
        <f>IF('P15'!$E103&gt;"",'P15'!$E103&amp;" "&amp;CHAR(10)&amp;'P15'!$F103,'P15'!$E103)</f>
        <v>0</v>
      </c>
      <c r="U107" s="89">
        <f>IF('P16'!$E103&gt;"",'P16'!$E103&amp;" "&amp;CHAR(10)&amp;'P16'!$F103,'P16'!$E103)</f>
        <v>0</v>
      </c>
      <c r="V107" s="89">
        <f>IF('P17'!$E103&gt;"",'P17'!$E103&amp;" "&amp;CHAR(10)&amp;'P17'!$F103,'P17'!$E103)</f>
        <v>0</v>
      </c>
      <c r="W107" s="89">
        <f>IF('P18'!$E103&gt;"",'P18'!$E103&amp;" "&amp;CHAR(10)&amp;'P18'!$F103,'P18'!$E103)</f>
        <v>0</v>
      </c>
      <c r="X107" s="89">
        <f>IF('P19'!$E103&gt;"",'P19'!$E103&amp;" "&amp;CHAR(10)&amp;'P19'!$F103,'P19'!$E103)</f>
        <v>0</v>
      </c>
      <c r="Y107" s="89">
        <f>IF('P20'!$E103&gt;"",'P20'!$E103&amp;" "&amp;CHAR(10)&amp;'P20'!$F103,'P20'!$E103)</f>
        <v>0</v>
      </c>
      <c r="Z107" s="89">
        <f>IF('P21'!$E103&gt;"",'P21'!$E103&amp;" "&amp;CHAR(10)&amp;'P21'!$F103,'P21'!$E103)</f>
        <v>0</v>
      </c>
      <c r="AA107" s="89">
        <f>IF('P22'!$E103&gt;"",'P22'!$E103&amp;" "&amp;CHAR(10)&amp;'P22'!$F103,'P22'!$E103)</f>
        <v>0</v>
      </c>
      <c r="AB107" s="89">
        <f>IF('P23'!$E103&gt;"",'P23'!$E103&amp;" "&amp;CHAR(10)&amp;'P23'!$F103,'P23'!$E103)</f>
        <v>0</v>
      </c>
      <c r="AC107" s="89">
        <f>IF('P24'!$E103&gt;"",'P24'!$E103&amp;" "&amp;CHAR(10)&amp;'P24'!$F103,'P24'!$E103)</f>
        <v>0</v>
      </c>
      <c r="AD107" s="89">
        <f>IF('P25'!$E103&gt;"",'P25'!$E103&amp;" "&amp;CHAR(10)&amp;'P25'!$F103,'P25'!$E103)</f>
        <v>0</v>
      </c>
      <c r="AE107" s="89">
        <f>IF('P26'!$E103&gt;"",'P26'!$E103&amp;" "&amp;CHAR(10)&amp;'P26'!$F103,'P26'!$E103)</f>
        <v>0</v>
      </c>
      <c r="AF107" s="89">
        <f>IF('P27'!$E103&gt;"",'P27'!$E103&amp;" "&amp;CHAR(10)&amp;'P27'!$F103,'P27'!$E103)</f>
        <v>0</v>
      </c>
      <c r="AG107" s="89">
        <f>IF('P28'!$E103&gt;"",'P28'!$E103&amp;" "&amp;CHAR(10)&amp;'P28'!$F103,'P28'!$E103)</f>
        <v>0</v>
      </c>
      <c r="AH107" s="89">
        <f>IF('P29'!$E103&gt;"",'P29'!$E103&amp;" "&amp;CHAR(10)&amp;'P29'!$F103,'P29'!$E103)</f>
        <v>0</v>
      </c>
      <c r="AI107" s="89">
        <f>IF('P30'!$E103&gt;"",'P30'!$E103&amp;" "&amp;CHAR(10)&amp;'P30'!$F103,'P30'!$E103)</f>
        <v>0</v>
      </c>
      <c r="AJ107" s="89">
        <f>IF('P31'!$E103&gt;"",'P31'!$E103&amp;" "&amp;CHAR(10)&amp;'P31'!$F103,'P31'!$E103)</f>
        <v>0</v>
      </c>
      <c r="AK107" s="89">
        <f>IF('P32'!$E103&gt;"",'P32'!$E103&amp;" "&amp;CHAR(10)&amp;'P32'!$F103,'P32'!$E103)</f>
        <v>0</v>
      </c>
      <c r="AL107" s="89">
        <f>IF('P33'!$E103&gt;"",'P33'!$E103&amp;" "&amp;CHAR(10)&amp;'P33'!$F103,'P33'!$E103)</f>
        <v>0</v>
      </c>
      <c r="AM107" s="89">
        <f>IF('P34'!$E103&gt;"",'P34'!$E103&amp;" "&amp;CHAR(10)&amp;'P34'!$F103,'P34'!$E103)</f>
        <v>0</v>
      </c>
      <c r="AN107" s="89">
        <f>IF('P35'!$E103&gt;"",'P35'!$E103&amp;" "&amp;CHAR(10)&amp;'P35'!$F103,'P35'!$E103)</f>
        <v>0</v>
      </c>
      <c r="AO107" s="89">
        <f>IF('P36'!$E103&gt;"",'P36'!$E103&amp;" "&amp;CHAR(10)&amp;'P36'!$F103,'P36'!$E103)</f>
        <v>0</v>
      </c>
      <c r="AP107" s="89">
        <f>IF('P37'!$E103&gt;"",'P37'!$E103&amp;" "&amp;CHAR(10)&amp;'P37'!$F103,'P37'!$E103)</f>
        <v>0</v>
      </c>
      <c r="AQ107" s="89">
        <f>IF('P38'!$E103&gt;"",'P38'!$E103&amp;" "&amp;CHAR(10)&amp;'P38'!$F103,'P38'!$E103)</f>
        <v>0</v>
      </c>
      <c r="AR107" s="89">
        <f>IF('P39'!$E103&gt;"",'P39'!$E103&amp;" "&amp;CHAR(10)&amp;'P39'!$F103,'P39'!$E103)</f>
        <v>0</v>
      </c>
      <c r="AS107" s="89">
        <f>IF('P40'!$E103&gt;"",'P40'!$E103&amp;" "&amp;CHAR(10)&amp;'P40'!$F103,'P40'!$E103)</f>
        <v>0</v>
      </c>
      <c r="AT107" s="55">
        <f t="shared" si="9"/>
        <v>0</v>
      </c>
      <c r="AU107" s="9">
        <f t="shared" si="10"/>
        <v>0</v>
      </c>
      <c r="AV107" s="55">
        <f t="shared" si="11"/>
        <v>0</v>
      </c>
      <c r="AW107" s="38" t="str">
        <f t="shared" si="12"/>
        <v>NT</v>
      </c>
      <c r="AX107" s="12"/>
      <c r="AY107" s="10"/>
      <c r="AZ107" s="10"/>
      <c r="BA107" s="10" t="str">
        <f>IF('P01'!$G103&lt;&gt;"", 'P01'!$G103, "non")</f>
        <v>non</v>
      </c>
      <c r="BB107" s="10" t="str">
        <f>IF('P02'!$G103&lt;&gt;"", 'P02'!$G103, "non")</f>
        <v>non</v>
      </c>
      <c r="BC107" s="10" t="str">
        <f>IF('P03'!$G103&lt;&gt;"", 'P03'!$G103, "non")</f>
        <v>non</v>
      </c>
      <c r="BD107" s="10" t="str">
        <f>IF('P04'!$G103&lt;&gt;"", 'P04'!$G103, "non")</f>
        <v>non</v>
      </c>
      <c r="BE107" s="10" t="str">
        <f>IF('P05'!$G103&lt;&gt;"", 'P05'!$G103, "non")</f>
        <v>non</v>
      </c>
      <c r="BF107" s="10" t="str">
        <f>IF('P06'!$G103&lt;&gt;"", 'P06'!$G103, "non")</f>
        <v>non</v>
      </c>
      <c r="BG107" s="10" t="str">
        <f>IF('P07'!$G103&lt;&gt;"", 'P07'!$G103, "non")</f>
        <v>non</v>
      </c>
      <c r="BH107" s="10" t="str">
        <f>IF('P08'!$G103&lt;&gt;"", 'P08'!$G103, "non")</f>
        <v>non</v>
      </c>
      <c r="BI107" s="10" t="str">
        <f>IF('P09'!$G103&lt;&gt;"", 'P09'!$G103, "non")</f>
        <v>non</v>
      </c>
      <c r="BJ107" s="10" t="str">
        <f>IF('P10'!$G103&lt;&gt;"", 'P10'!$G103, "non")</f>
        <v>non</v>
      </c>
      <c r="BK107" s="10" t="str">
        <f>IF('P11'!$G103&lt;&gt;"", 'P11'!$G103, "non")</f>
        <v>non</v>
      </c>
      <c r="BL107" s="10" t="str">
        <f>IF('P12'!$G103&lt;&gt;"", 'P12'!$G103, "non")</f>
        <v>non</v>
      </c>
      <c r="BM107" s="10" t="str">
        <f>IF('P13'!$G103&lt;&gt;"", 'P13'!$G103, "non")</f>
        <v>non</v>
      </c>
      <c r="BN107" s="10" t="str">
        <f>IF('P14'!$G103&lt;&gt;"", 'P14'!$G103, "non")</f>
        <v>non</v>
      </c>
      <c r="BO107" s="10" t="str">
        <f>IF('P15'!$G103&lt;&gt;"", 'P15'!$G103, "non")</f>
        <v>non</v>
      </c>
      <c r="BP107" s="10" t="str">
        <f>IF('P16'!$G103&lt;&gt;"", 'P16'!$G103, "non")</f>
        <v>non</v>
      </c>
      <c r="BQ107" s="10" t="str">
        <f>IF('P17'!$G103&lt;&gt;"", 'P17'!$G103, "non")</f>
        <v>non</v>
      </c>
      <c r="BR107" s="10" t="str">
        <f>IF('P18'!$G103&lt;&gt;"", 'P18'!$G103, "non")</f>
        <v>non</v>
      </c>
      <c r="BS107" s="10" t="str">
        <f>IF('P19'!$G103&lt;&gt;"", 'P19'!$G103, "non")</f>
        <v>non</v>
      </c>
      <c r="BT107" s="11" t="str">
        <f>IF('P20'!$G103&lt;&gt;"", 'P20'!$G103, "non")</f>
        <v>non</v>
      </c>
      <c r="BU107" s="10" t="str">
        <f>IF('P21'!$G103&lt;&gt;"", 'P21'!$G103, "non")</f>
        <v>non</v>
      </c>
      <c r="BV107" s="11" t="str">
        <f>IF('P22'!$G103&lt;&gt;"", 'P22'!$G103, "non")</f>
        <v>non</v>
      </c>
      <c r="BW107" s="10" t="str">
        <f>IF('P23'!$G103&lt;&gt;"", 'P23'!$G103, "non")</f>
        <v>non</v>
      </c>
      <c r="BX107" s="11" t="str">
        <f>IF('P24'!$G103&lt;&gt;"", 'P24'!$G103, "non")</f>
        <v>non</v>
      </c>
      <c r="BY107" s="10" t="str">
        <f>IF('P25'!$G103&lt;&gt;"", 'P25'!$G103, "non")</f>
        <v>non</v>
      </c>
      <c r="BZ107" s="11" t="str">
        <f>IF('P26'!$G103&lt;&gt;"", 'P26'!$G103, "non")</f>
        <v>non</v>
      </c>
      <c r="CA107" s="10" t="str">
        <f>IF('P27'!$G103&lt;&gt;"", 'P27'!$G103, "non")</f>
        <v>non</v>
      </c>
      <c r="CB107" s="11" t="str">
        <f>IF('P28'!$G103&lt;&gt;"", 'P28'!$G103, "non")</f>
        <v>non</v>
      </c>
      <c r="CC107" s="10" t="str">
        <f>IF('P29'!$G103&lt;&gt;"", 'P29'!$G103, "non")</f>
        <v>non</v>
      </c>
      <c r="CD107" s="11" t="str">
        <f>IF('P30'!$G103&lt;&gt;"", 'P30'!$G103, "non")</f>
        <v>non</v>
      </c>
      <c r="CE107" s="10" t="str">
        <f>IF('P31'!$G103&lt;&gt;"", 'P31'!$G103, "non")</f>
        <v>non</v>
      </c>
      <c r="CF107" s="11" t="str">
        <f>IF('P32'!$G103&lt;&gt;"", 'P32'!$G103, "non")</f>
        <v>non</v>
      </c>
      <c r="CG107" s="10" t="str">
        <f>IF('P33'!$G103&lt;&gt;"", 'P33'!$G103, "non")</f>
        <v>non</v>
      </c>
      <c r="CH107" s="10" t="str">
        <f>IF('P34'!$G103&lt;&gt;"", 'P34'!$G103, "non")</f>
        <v>non</v>
      </c>
      <c r="CI107" s="11" t="str">
        <f>IF('P35'!$G103&lt;&gt;"", 'P35'!$G103, "non")</f>
        <v>non</v>
      </c>
      <c r="CJ107" s="10" t="str">
        <f>IF('P36'!$G103&lt;&gt;"", 'P36'!$G103, "non")</f>
        <v>non</v>
      </c>
      <c r="CK107" s="11" t="str">
        <f>IF('P37'!$G103&lt;&gt;"", 'P37'!$G103, "non")</f>
        <v>non</v>
      </c>
      <c r="CL107" s="10" t="str">
        <f>IF('P38'!$G103&lt;&gt;"", 'P38'!$G103, "non")</f>
        <v>non</v>
      </c>
      <c r="CM107" s="11" t="str">
        <f>IF('P39'!$G103&lt;&gt;"", 'P39'!$G103, "non")</f>
        <v>non</v>
      </c>
      <c r="CN107" s="10" t="str">
        <f>IF('P40'!$G103&lt;&gt;"", 'P40'!$G103, "non")</f>
        <v>non</v>
      </c>
    </row>
    <row r="108" spans="1:92" ht="39.75" customHeight="1">
      <c r="A108" s="122" t="str">
        <f>'Critères et tests'!B103</f>
        <v>CONSULTATION</v>
      </c>
      <c r="B108" s="124" t="str">
        <f>'Critères et tests'!$A103</f>
        <v>13.7</v>
      </c>
      <c r="C108" s="192" t="str">
        <f>VLOOKUP(B108,'Critères et tests'!$1:$1048576,5,FALSE)</f>
        <v>Dans chaque page web, les changements brusques de luminosité ou les effets de flash sont-ils correctement utilisés ?</v>
      </c>
      <c r="D108" s="124" t="str">
        <f>'Critères et tests'!$C103</f>
        <v>A</v>
      </c>
      <c r="E108" s="156" t="s">
        <v>460</v>
      </c>
      <c r="F108" s="88">
        <f>IF('P01'!$E104&gt;"",'P01'!$E104&amp;" "&amp;CHAR(10)&amp;'P01'!$F104,'P01'!$E104)</f>
        <v>0</v>
      </c>
      <c r="G108" s="89">
        <f>IF('P02'!$E104&gt;"",'P02'!$E104&amp;" "&amp;CHAR(10)&amp;'P02'!$F104,'P02'!$E104)</f>
        <v>0</v>
      </c>
      <c r="H108" s="89">
        <f>IF('P03'!$E104&gt;"",'P03'!$E104&amp;" "&amp;CHAR(10)&amp;'P03'!$F104,'P03'!$E104)</f>
        <v>0</v>
      </c>
      <c r="I108" s="89">
        <f>IF('P04'!$E104&gt;"",'P04'!$E104&amp;" "&amp;CHAR(10)&amp;'P04'!$F104,'P04'!$E104)</f>
        <v>0</v>
      </c>
      <c r="J108" s="89">
        <f>IF('P05'!$E104&gt;"",'P05'!$E104&amp;" "&amp;CHAR(10)&amp;'P05'!$F104,'P05'!$E104)</f>
        <v>0</v>
      </c>
      <c r="K108" s="89">
        <f>IF('P06'!$E104&gt;"",'P06'!$E104&amp;" "&amp;CHAR(10)&amp;'P06'!$F104,'P06'!$E104)</f>
        <v>0</v>
      </c>
      <c r="L108" s="89">
        <f>IF('P07'!$E104&gt;"",'P07'!$E104&amp;" "&amp;CHAR(10)&amp;'P07'!$F104,'P07'!$E104)</f>
        <v>0</v>
      </c>
      <c r="M108" s="89">
        <f>IF('P08'!$E104&gt;"",'P08'!$E104&amp;" "&amp;CHAR(10)&amp;'P08'!$F104,'P08'!$E104)</f>
        <v>0</v>
      </c>
      <c r="N108" s="89">
        <f>IF('P09'!$E104&gt;"",'P09'!$E104&amp;" "&amp;CHAR(10)&amp;'P09'!$F104,'P09'!$E104)</f>
        <v>0</v>
      </c>
      <c r="O108" s="89">
        <f>IF('P10'!$E104&gt;"",'P10'!$E104&amp;" "&amp;CHAR(10)&amp;'P10'!$F104,'P10'!$E104)</f>
        <v>0</v>
      </c>
      <c r="P108" s="89">
        <f>IF('P11'!$E104&gt;"",'P11'!$E104&amp;" "&amp;CHAR(10)&amp;'P11'!$F104,'P11'!$E104)</f>
        <v>0</v>
      </c>
      <c r="Q108" s="89">
        <f>IF('P12'!$E104&gt;"",'P12'!$E104&amp;" "&amp;CHAR(10)&amp;'P12'!$F104,'P12'!$E104)</f>
        <v>0</v>
      </c>
      <c r="R108" s="89">
        <f>IF('P13'!$E104&gt;"",'P13'!$E104&amp;" "&amp;CHAR(10)&amp;'P13'!$F104,'P13'!$E104)</f>
        <v>0</v>
      </c>
      <c r="S108" s="89">
        <f>IF('P14'!$E104&gt;"",'P14'!$E104&amp;" "&amp;CHAR(10)&amp;'P14'!$F104,'P14'!$E104)</f>
        <v>0</v>
      </c>
      <c r="T108" s="89">
        <f>IF('P15'!$E104&gt;"",'P15'!$E104&amp;" "&amp;CHAR(10)&amp;'P15'!$F104,'P15'!$E104)</f>
        <v>0</v>
      </c>
      <c r="U108" s="89">
        <f>IF('P16'!$E104&gt;"",'P16'!$E104&amp;" "&amp;CHAR(10)&amp;'P16'!$F104,'P16'!$E104)</f>
        <v>0</v>
      </c>
      <c r="V108" s="89">
        <f>IF('P17'!$E104&gt;"",'P17'!$E104&amp;" "&amp;CHAR(10)&amp;'P17'!$F104,'P17'!$E104)</f>
        <v>0</v>
      </c>
      <c r="W108" s="89">
        <f>IF('P18'!$E104&gt;"",'P18'!$E104&amp;" "&amp;CHAR(10)&amp;'P18'!$F104,'P18'!$E104)</f>
        <v>0</v>
      </c>
      <c r="X108" s="89">
        <f>IF('P19'!$E104&gt;"",'P19'!$E104&amp;" "&amp;CHAR(10)&amp;'P19'!$F104,'P19'!$E104)</f>
        <v>0</v>
      </c>
      <c r="Y108" s="89">
        <f>IF('P20'!$E104&gt;"",'P20'!$E104&amp;" "&amp;CHAR(10)&amp;'P20'!$F104,'P20'!$E104)</f>
        <v>0</v>
      </c>
      <c r="Z108" s="89">
        <f>IF('P21'!$E104&gt;"",'P21'!$E104&amp;" "&amp;CHAR(10)&amp;'P21'!$F104,'P21'!$E104)</f>
        <v>0</v>
      </c>
      <c r="AA108" s="89">
        <f>IF('P22'!$E104&gt;"",'P22'!$E104&amp;" "&amp;CHAR(10)&amp;'P22'!$F104,'P22'!$E104)</f>
        <v>0</v>
      </c>
      <c r="AB108" s="89">
        <f>IF('P23'!$E104&gt;"",'P23'!$E104&amp;" "&amp;CHAR(10)&amp;'P23'!$F104,'P23'!$E104)</f>
        <v>0</v>
      </c>
      <c r="AC108" s="89">
        <f>IF('P24'!$E104&gt;"",'P24'!$E104&amp;" "&amp;CHAR(10)&amp;'P24'!$F104,'P24'!$E104)</f>
        <v>0</v>
      </c>
      <c r="AD108" s="89">
        <f>IF('P25'!$E104&gt;"",'P25'!$E104&amp;" "&amp;CHAR(10)&amp;'P25'!$F104,'P25'!$E104)</f>
        <v>0</v>
      </c>
      <c r="AE108" s="89">
        <f>IF('P26'!$E104&gt;"",'P26'!$E104&amp;" "&amp;CHAR(10)&amp;'P26'!$F104,'P26'!$E104)</f>
        <v>0</v>
      </c>
      <c r="AF108" s="89">
        <f>IF('P27'!$E104&gt;"",'P27'!$E104&amp;" "&amp;CHAR(10)&amp;'P27'!$F104,'P27'!$E104)</f>
        <v>0</v>
      </c>
      <c r="AG108" s="89">
        <f>IF('P28'!$E104&gt;"",'P28'!$E104&amp;" "&amp;CHAR(10)&amp;'P28'!$F104,'P28'!$E104)</f>
        <v>0</v>
      </c>
      <c r="AH108" s="89">
        <f>IF('P29'!$E104&gt;"",'P29'!$E104&amp;" "&amp;CHAR(10)&amp;'P29'!$F104,'P29'!$E104)</f>
        <v>0</v>
      </c>
      <c r="AI108" s="89">
        <f>IF('P30'!$E104&gt;"",'P30'!$E104&amp;" "&amp;CHAR(10)&amp;'P30'!$F104,'P30'!$E104)</f>
        <v>0</v>
      </c>
      <c r="AJ108" s="89">
        <f>IF('P31'!$E104&gt;"",'P31'!$E104&amp;" "&amp;CHAR(10)&amp;'P31'!$F104,'P31'!$E104)</f>
        <v>0</v>
      </c>
      <c r="AK108" s="89">
        <f>IF('P32'!$E104&gt;"",'P32'!$E104&amp;" "&amp;CHAR(10)&amp;'P32'!$F104,'P32'!$E104)</f>
        <v>0</v>
      </c>
      <c r="AL108" s="89">
        <f>IF('P33'!$E104&gt;"",'P33'!$E104&amp;" "&amp;CHAR(10)&amp;'P33'!$F104,'P33'!$E104)</f>
        <v>0</v>
      </c>
      <c r="AM108" s="89">
        <f>IF('P34'!$E104&gt;"",'P34'!$E104&amp;" "&amp;CHAR(10)&amp;'P34'!$F104,'P34'!$E104)</f>
        <v>0</v>
      </c>
      <c r="AN108" s="89">
        <f>IF('P35'!$E104&gt;"",'P35'!$E104&amp;" "&amp;CHAR(10)&amp;'P35'!$F104,'P35'!$E104)</f>
        <v>0</v>
      </c>
      <c r="AO108" s="89">
        <f>IF('P36'!$E104&gt;"",'P36'!$E104&amp;" "&amp;CHAR(10)&amp;'P36'!$F104,'P36'!$E104)</f>
        <v>0</v>
      </c>
      <c r="AP108" s="89">
        <f>IF('P37'!$E104&gt;"",'P37'!$E104&amp;" "&amp;CHAR(10)&amp;'P37'!$F104,'P37'!$E104)</f>
        <v>0</v>
      </c>
      <c r="AQ108" s="89">
        <f>IF('P38'!$E104&gt;"",'P38'!$E104&amp;" "&amp;CHAR(10)&amp;'P38'!$F104,'P38'!$E104)</f>
        <v>0</v>
      </c>
      <c r="AR108" s="89">
        <f>IF('P39'!$E104&gt;"",'P39'!$E104&amp;" "&amp;CHAR(10)&amp;'P39'!$F104,'P39'!$E104)</f>
        <v>0</v>
      </c>
      <c r="AS108" s="89">
        <f>IF('P40'!$E104&gt;"",'P40'!$E104&amp;" "&amp;CHAR(10)&amp;'P40'!$F104,'P40'!$E104)</f>
        <v>0</v>
      </c>
      <c r="AT108" s="55">
        <f t="shared" si="9"/>
        <v>0</v>
      </c>
      <c r="AU108" s="9">
        <f t="shared" si="10"/>
        <v>0</v>
      </c>
      <c r="AV108" s="55">
        <f t="shared" si="11"/>
        <v>0</v>
      </c>
      <c r="AW108" s="38" t="str">
        <f t="shared" si="12"/>
        <v>NT</v>
      </c>
      <c r="AX108" s="12"/>
      <c r="AY108" s="10"/>
      <c r="AZ108" s="10"/>
      <c r="BA108" s="10" t="str">
        <f>IF('P01'!$G104&lt;&gt;"", 'P01'!$G104, "non")</f>
        <v>non</v>
      </c>
      <c r="BB108" s="10" t="str">
        <f>IF('P02'!$G104&lt;&gt;"", 'P02'!$G104, "non")</f>
        <v>non</v>
      </c>
      <c r="BC108" s="10" t="str">
        <f>IF('P03'!$G104&lt;&gt;"", 'P03'!$G104, "non")</f>
        <v>non</v>
      </c>
      <c r="BD108" s="10" t="str">
        <f>IF('P04'!$G104&lt;&gt;"", 'P04'!$G104, "non")</f>
        <v>non</v>
      </c>
      <c r="BE108" s="10" t="str">
        <f>IF('P05'!$G104&lt;&gt;"", 'P05'!$G104, "non")</f>
        <v>non</v>
      </c>
      <c r="BF108" s="10" t="str">
        <f>IF('P06'!$G104&lt;&gt;"", 'P06'!$G104, "non")</f>
        <v>non</v>
      </c>
      <c r="BG108" s="10" t="str">
        <f>IF('P07'!$G104&lt;&gt;"", 'P07'!$G104, "non")</f>
        <v>non</v>
      </c>
      <c r="BH108" s="10" t="str">
        <f>IF('P08'!$G104&lt;&gt;"", 'P08'!$G104, "non")</f>
        <v>non</v>
      </c>
      <c r="BI108" s="10" t="str">
        <f>IF('P09'!$G104&lt;&gt;"", 'P09'!$G104, "non")</f>
        <v>non</v>
      </c>
      <c r="BJ108" s="10" t="str">
        <f>IF('P10'!$G104&lt;&gt;"", 'P10'!$G104, "non")</f>
        <v>non</v>
      </c>
      <c r="BK108" s="10" t="str">
        <f>IF('P11'!$G104&lt;&gt;"", 'P11'!$G104, "non")</f>
        <v>non</v>
      </c>
      <c r="BL108" s="10" t="str">
        <f>IF('P12'!$G104&lt;&gt;"", 'P12'!$G104, "non")</f>
        <v>non</v>
      </c>
      <c r="BM108" s="10" t="str">
        <f>IF('P13'!$G104&lt;&gt;"", 'P13'!$G104, "non")</f>
        <v>non</v>
      </c>
      <c r="BN108" s="10" t="str">
        <f>IF('P14'!$G104&lt;&gt;"", 'P14'!$G104, "non")</f>
        <v>non</v>
      </c>
      <c r="BO108" s="10" t="str">
        <f>IF('P15'!$G104&lt;&gt;"", 'P15'!$G104, "non")</f>
        <v>non</v>
      </c>
      <c r="BP108" s="10" t="str">
        <f>IF('P16'!$G104&lt;&gt;"", 'P16'!$G104, "non")</f>
        <v>non</v>
      </c>
      <c r="BQ108" s="10" t="str">
        <f>IF('P17'!$G104&lt;&gt;"", 'P17'!$G104, "non")</f>
        <v>non</v>
      </c>
      <c r="BR108" s="10" t="str">
        <f>IF('P18'!$G104&lt;&gt;"", 'P18'!$G104, "non")</f>
        <v>non</v>
      </c>
      <c r="BS108" s="10" t="str">
        <f>IF('P19'!$G104&lt;&gt;"", 'P19'!$G104, "non")</f>
        <v>non</v>
      </c>
      <c r="BT108" s="11" t="str">
        <f>IF('P20'!$G104&lt;&gt;"", 'P20'!$G104, "non")</f>
        <v>non</v>
      </c>
      <c r="BU108" s="10" t="str">
        <f>IF('P21'!$G104&lt;&gt;"", 'P21'!$G104, "non")</f>
        <v>non</v>
      </c>
      <c r="BV108" s="11" t="str">
        <f>IF('P22'!$G104&lt;&gt;"", 'P22'!$G104, "non")</f>
        <v>non</v>
      </c>
      <c r="BW108" s="10" t="str">
        <f>IF('P23'!$G104&lt;&gt;"", 'P23'!$G104, "non")</f>
        <v>non</v>
      </c>
      <c r="BX108" s="11" t="str">
        <f>IF('P24'!$G104&lt;&gt;"", 'P24'!$G104, "non")</f>
        <v>non</v>
      </c>
      <c r="BY108" s="10" t="str">
        <f>IF('P25'!$G104&lt;&gt;"", 'P25'!$G104, "non")</f>
        <v>non</v>
      </c>
      <c r="BZ108" s="11" t="str">
        <f>IF('P26'!$G104&lt;&gt;"", 'P26'!$G104, "non")</f>
        <v>non</v>
      </c>
      <c r="CA108" s="10" t="str">
        <f>IF('P27'!$G104&lt;&gt;"", 'P27'!$G104, "non")</f>
        <v>non</v>
      </c>
      <c r="CB108" s="11" t="str">
        <f>IF('P28'!$G104&lt;&gt;"", 'P28'!$G104, "non")</f>
        <v>non</v>
      </c>
      <c r="CC108" s="10" t="str">
        <f>IF('P29'!$G104&lt;&gt;"", 'P29'!$G104, "non")</f>
        <v>non</v>
      </c>
      <c r="CD108" s="11" t="str">
        <f>IF('P30'!$G104&lt;&gt;"", 'P30'!$G104, "non")</f>
        <v>non</v>
      </c>
      <c r="CE108" s="10" t="str">
        <f>IF('P31'!$G104&lt;&gt;"", 'P31'!$G104, "non")</f>
        <v>non</v>
      </c>
      <c r="CF108" s="11" t="str">
        <f>IF('P32'!$G104&lt;&gt;"", 'P32'!$G104, "non")</f>
        <v>non</v>
      </c>
      <c r="CG108" s="10" t="str">
        <f>IF('P33'!$G104&lt;&gt;"", 'P33'!$G104, "non")</f>
        <v>non</v>
      </c>
      <c r="CH108" s="10" t="str">
        <f>IF('P34'!$G104&lt;&gt;"", 'P34'!$G104, "non")</f>
        <v>non</v>
      </c>
      <c r="CI108" s="11" t="str">
        <f>IF('P35'!$G104&lt;&gt;"", 'P35'!$G104, "non")</f>
        <v>non</v>
      </c>
      <c r="CJ108" s="10" t="str">
        <f>IF('P36'!$G104&lt;&gt;"", 'P36'!$G104, "non")</f>
        <v>non</v>
      </c>
      <c r="CK108" s="11" t="str">
        <f>IF('P37'!$G104&lt;&gt;"", 'P37'!$G104, "non")</f>
        <v>non</v>
      </c>
      <c r="CL108" s="10" t="str">
        <f>IF('P38'!$G104&lt;&gt;"", 'P38'!$G104, "non")</f>
        <v>non</v>
      </c>
      <c r="CM108" s="11" t="str">
        <f>IF('P39'!$G104&lt;&gt;"", 'P39'!$G104, "non")</f>
        <v>non</v>
      </c>
      <c r="CN108" s="10" t="str">
        <f>IF('P40'!$G104&lt;&gt;"", 'P40'!$G104, "non")</f>
        <v>non</v>
      </c>
    </row>
    <row r="109" spans="1:92" ht="39.75" customHeight="1">
      <c r="A109" s="122" t="str">
        <f>'Critères et tests'!B104</f>
        <v>CONSULTATION</v>
      </c>
      <c r="B109" s="124" t="str">
        <f>'Critères et tests'!$A104</f>
        <v>13.8</v>
      </c>
      <c r="C109" s="192" t="str">
        <f>VLOOKUP(B109,'Critères et tests'!$1:$1048576,5,FALSE)</f>
        <v>Dans chaque page web, chaque contenu en mouvement ou clignotant est-il contrôlable par l’utilisateur ?</v>
      </c>
      <c r="D109" s="124" t="str">
        <f>'Critères et tests'!$C104</f>
        <v>A</v>
      </c>
      <c r="E109" s="156" t="s">
        <v>460</v>
      </c>
      <c r="F109" s="88">
        <f>IF('P01'!$E105&gt;"",'P01'!$E105&amp;" "&amp;CHAR(10)&amp;'P01'!$F105,'P01'!$E105)</f>
        <v>0</v>
      </c>
      <c r="G109" s="89">
        <f>IF('P02'!$E105&gt;"",'P02'!$E105&amp;" "&amp;CHAR(10)&amp;'P02'!$F105,'P02'!$E105)</f>
        <v>0</v>
      </c>
      <c r="H109" s="89">
        <f>IF('P03'!$E105&gt;"",'P03'!$E105&amp;" "&amp;CHAR(10)&amp;'P03'!$F105,'P03'!$E105)</f>
        <v>0</v>
      </c>
      <c r="I109" s="89">
        <f>IF('P04'!$E105&gt;"",'P04'!$E105&amp;" "&amp;CHAR(10)&amp;'P04'!$F105,'P04'!$E105)</f>
        <v>0</v>
      </c>
      <c r="J109" s="89">
        <f>IF('P05'!$E105&gt;"",'P05'!$E105&amp;" "&amp;CHAR(10)&amp;'P05'!$F105,'P05'!$E105)</f>
        <v>0</v>
      </c>
      <c r="K109" s="89">
        <f>IF('P06'!$E105&gt;"",'P06'!$E105&amp;" "&amp;CHAR(10)&amp;'P06'!$F105,'P06'!$E105)</f>
        <v>0</v>
      </c>
      <c r="L109" s="89">
        <f>IF('P07'!$E105&gt;"",'P07'!$E105&amp;" "&amp;CHAR(10)&amp;'P07'!$F105,'P07'!$E105)</f>
        <v>0</v>
      </c>
      <c r="M109" s="89">
        <f>IF('P08'!$E105&gt;"",'P08'!$E105&amp;" "&amp;CHAR(10)&amp;'P08'!$F105,'P08'!$E105)</f>
        <v>0</v>
      </c>
      <c r="N109" s="89">
        <f>IF('P09'!$E105&gt;"",'P09'!$E105&amp;" "&amp;CHAR(10)&amp;'P09'!$F105,'P09'!$E105)</f>
        <v>0</v>
      </c>
      <c r="O109" s="89">
        <f>IF('P10'!$E105&gt;"",'P10'!$E105&amp;" "&amp;CHAR(10)&amp;'P10'!$F105,'P10'!$E105)</f>
        <v>0</v>
      </c>
      <c r="P109" s="89">
        <f>IF('P11'!$E105&gt;"",'P11'!$E105&amp;" "&amp;CHAR(10)&amp;'P11'!$F105,'P11'!$E105)</f>
        <v>0</v>
      </c>
      <c r="Q109" s="89">
        <f>IF('P12'!$E105&gt;"",'P12'!$E105&amp;" "&amp;CHAR(10)&amp;'P12'!$F105,'P12'!$E105)</f>
        <v>0</v>
      </c>
      <c r="R109" s="89">
        <f>IF('P13'!$E105&gt;"",'P13'!$E105&amp;" "&amp;CHAR(10)&amp;'P13'!$F105,'P13'!$E105)</f>
        <v>0</v>
      </c>
      <c r="S109" s="89">
        <f>IF('P14'!$E105&gt;"",'P14'!$E105&amp;" "&amp;CHAR(10)&amp;'P14'!$F105,'P14'!$E105)</f>
        <v>0</v>
      </c>
      <c r="T109" s="89">
        <f>IF('P15'!$E105&gt;"",'P15'!$E105&amp;" "&amp;CHAR(10)&amp;'P15'!$F105,'P15'!$E105)</f>
        <v>0</v>
      </c>
      <c r="U109" s="89">
        <f>IF('P16'!$E105&gt;"",'P16'!$E105&amp;" "&amp;CHAR(10)&amp;'P16'!$F105,'P16'!$E105)</f>
        <v>0</v>
      </c>
      <c r="V109" s="89">
        <f>IF('P17'!$E105&gt;"",'P17'!$E105&amp;" "&amp;CHAR(10)&amp;'P17'!$F105,'P17'!$E105)</f>
        <v>0</v>
      </c>
      <c r="W109" s="89">
        <f>IF('P18'!$E105&gt;"",'P18'!$E105&amp;" "&amp;CHAR(10)&amp;'P18'!$F105,'P18'!$E105)</f>
        <v>0</v>
      </c>
      <c r="X109" s="89">
        <f>IF('P19'!$E105&gt;"",'P19'!$E105&amp;" "&amp;CHAR(10)&amp;'P19'!$F105,'P19'!$E105)</f>
        <v>0</v>
      </c>
      <c r="Y109" s="89">
        <f>IF('P20'!$E105&gt;"",'P20'!$E105&amp;" "&amp;CHAR(10)&amp;'P20'!$F105,'P20'!$E105)</f>
        <v>0</v>
      </c>
      <c r="Z109" s="89">
        <f>IF('P21'!$E105&gt;"",'P21'!$E105&amp;" "&amp;CHAR(10)&amp;'P21'!$F105,'P21'!$E105)</f>
        <v>0</v>
      </c>
      <c r="AA109" s="89">
        <f>IF('P22'!$E105&gt;"",'P22'!$E105&amp;" "&amp;CHAR(10)&amp;'P22'!$F105,'P22'!$E105)</f>
        <v>0</v>
      </c>
      <c r="AB109" s="89">
        <f>IF('P23'!$E105&gt;"",'P23'!$E105&amp;" "&amp;CHAR(10)&amp;'P23'!$F105,'P23'!$E105)</f>
        <v>0</v>
      </c>
      <c r="AC109" s="89">
        <f>IF('P24'!$E105&gt;"",'P24'!$E105&amp;" "&amp;CHAR(10)&amp;'P24'!$F105,'P24'!$E105)</f>
        <v>0</v>
      </c>
      <c r="AD109" s="89">
        <f>IF('P25'!$E105&gt;"",'P25'!$E105&amp;" "&amp;CHAR(10)&amp;'P25'!$F105,'P25'!$E105)</f>
        <v>0</v>
      </c>
      <c r="AE109" s="89">
        <f>IF('P26'!$E105&gt;"",'P26'!$E105&amp;" "&amp;CHAR(10)&amp;'P26'!$F105,'P26'!$E105)</f>
        <v>0</v>
      </c>
      <c r="AF109" s="89">
        <f>IF('P27'!$E105&gt;"",'P27'!$E105&amp;" "&amp;CHAR(10)&amp;'P27'!$F105,'P27'!$E105)</f>
        <v>0</v>
      </c>
      <c r="AG109" s="89">
        <f>IF('P28'!$E105&gt;"",'P28'!$E105&amp;" "&amp;CHAR(10)&amp;'P28'!$F105,'P28'!$E105)</f>
        <v>0</v>
      </c>
      <c r="AH109" s="89">
        <f>IF('P29'!$E105&gt;"",'P29'!$E105&amp;" "&amp;CHAR(10)&amp;'P29'!$F105,'P29'!$E105)</f>
        <v>0</v>
      </c>
      <c r="AI109" s="89">
        <f>IF('P30'!$E105&gt;"",'P30'!$E105&amp;" "&amp;CHAR(10)&amp;'P30'!$F105,'P30'!$E105)</f>
        <v>0</v>
      </c>
      <c r="AJ109" s="89">
        <f>IF('P31'!$E105&gt;"",'P31'!$E105&amp;" "&amp;CHAR(10)&amp;'P31'!$F105,'P31'!$E105)</f>
        <v>0</v>
      </c>
      <c r="AK109" s="89">
        <f>IF('P32'!$E105&gt;"",'P32'!$E105&amp;" "&amp;CHAR(10)&amp;'P32'!$F105,'P32'!$E105)</f>
        <v>0</v>
      </c>
      <c r="AL109" s="89">
        <f>IF('P33'!$E105&gt;"",'P33'!$E105&amp;" "&amp;CHAR(10)&amp;'P33'!$F105,'P33'!$E105)</f>
        <v>0</v>
      </c>
      <c r="AM109" s="89">
        <f>IF('P34'!$E105&gt;"",'P34'!$E105&amp;" "&amp;CHAR(10)&amp;'P34'!$F105,'P34'!$E105)</f>
        <v>0</v>
      </c>
      <c r="AN109" s="89">
        <f>IF('P35'!$E105&gt;"",'P35'!$E105&amp;" "&amp;CHAR(10)&amp;'P35'!$F105,'P35'!$E105)</f>
        <v>0</v>
      </c>
      <c r="AO109" s="89">
        <f>IF('P36'!$E105&gt;"",'P36'!$E105&amp;" "&amp;CHAR(10)&amp;'P36'!$F105,'P36'!$E105)</f>
        <v>0</v>
      </c>
      <c r="AP109" s="89">
        <f>IF('P37'!$E105&gt;"",'P37'!$E105&amp;" "&amp;CHAR(10)&amp;'P37'!$F105,'P37'!$E105)</f>
        <v>0</v>
      </c>
      <c r="AQ109" s="89">
        <f>IF('P38'!$E105&gt;"",'P38'!$E105&amp;" "&amp;CHAR(10)&amp;'P38'!$F105,'P38'!$E105)</f>
        <v>0</v>
      </c>
      <c r="AR109" s="89">
        <f>IF('P39'!$E105&gt;"",'P39'!$E105&amp;" "&amp;CHAR(10)&amp;'P39'!$F105,'P39'!$E105)</f>
        <v>0</v>
      </c>
      <c r="AS109" s="89">
        <f>IF('P40'!$E105&gt;"",'P40'!$E105&amp;" "&amp;CHAR(10)&amp;'P40'!$F105,'P40'!$E105)</f>
        <v>0</v>
      </c>
      <c r="AT109" s="55">
        <f t="shared" si="9"/>
        <v>0</v>
      </c>
      <c r="AU109" s="9">
        <f t="shared" si="10"/>
        <v>0</v>
      </c>
      <c r="AV109" s="55">
        <f t="shared" si="11"/>
        <v>0</v>
      </c>
      <c r="AW109" s="38" t="str">
        <f t="shared" si="12"/>
        <v>NT</v>
      </c>
      <c r="AX109" s="12"/>
      <c r="AY109" s="10"/>
      <c r="AZ109" s="10"/>
      <c r="BA109" s="10" t="str">
        <f>IF('P01'!$G105&lt;&gt;"", 'P01'!$G105, "non")</f>
        <v>non</v>
      </c>
      <c r="BB109" s="10" t="str">
        <f>IF('P02'!$G105&lt;&gt;"", 'P02'!$G105, "non")</f>
        <v>non</v>
      </c>
      <c r="BC109" s="10" t="str">
        <f>IF('P03'!$G105&lt;&gt;"", 'P03'!$G105, "non")</f>
        <v>non</v>
      </c>
      <c r="BD109" s="10" t="str">
        <f>IF('P04'!$G105&lt;&gt;"", 'P04'!$G105, "non")</f>
        <v>non</v>
      </c>
      <c r="BE109" s="10" t="str">
        <f>IF('P05'!$G105&lt;&gt;"", 'P05'!$G105, "non")</f>
        <v>non</v>
      </c>
      <c r="BF109" s="10" t="str">
        <f>IF('P06'!$G105&lt;&gt;"", 'P06'!$G105, "non")</f>
        <v>non</v>
      </c>
      <c r="BG109" s="10" t="str">
        <f>IF('P07'!$G105&lt;&gt;"", 'P07'!$G105, "non")</f>
        <v>non</v>
      </c>
      <c r="BH109" s="10" t="str">
        <f>IF('P08'!$G105&lt;&gt;"", 'P08'!$G105, "non")</f>
        <v>non</v>
      </c>
      <c r="BI109" s="10" t="str">
        <f>IF('P09'!$G105&lt;&gt;"", 'P09'!$G105, "non")</f>
        <v>non</v>
      </c>
      <c r="BJ109" s="10" t="str">
        <f>IF('P10'!$G105&lt;&gt;"", 'P10'!$G105, "non")</f>
        <v>non</v>
      </c>
      <c r="BK109" s="10" t="str">
        <f>IF('P11'!$G105&lt;&gt;"", 'P11'!$G105, "non")</f>
        <v>non</v>
      </c>
      <c r="BL109" s="10" t="str">
        <f>IF('P12'!$G105&lt;&gt;"", 'P12'!$G105, "non")</f>
        <v>non</v>
      </c>
      <c r="BM109" s="10" t="str">
        <f>IF('P13'!$G105&lt;&gt;"", 'P13'!$G105, "non")</f>
        <v>non</v>
      </c>
      <c r="BN109" s="10" t="str">
        <f>IF('P14'!$G105&lt;&gt;"", 'P14'!$G105, "non")</f>
        <v>non</v>
      </c>
      <c r="BO109" s="10" t="str">
        <f>IF('P15'!$G105&lt;&gt;"", 'P15'!$G105, "non")</f>
        <v>non</v>
      </c>
      <c r="BP109" s="10" t="str">
        <f>IF('P16'!$G105&lt;&gt;"", 'P16'!$G105, "non")</f>
        <v>non</v>
      </c>
      <c r="BQ109" s="10" t="str">
        <f>IF('P17'!$G105&lt;&gt;"", 'P17'!$G105, "non")</f>
        <v>non</v>
      </c>
      <c r="BR109" s="10" t="str">
        <f>IF('P18'!$G105&lt;&gt;"", 'P18'!$G105, "non")</f>
        <v>non</v>
      </c>
      <c r="BS109" s="10" t="str">
        <f>IF('P19'!$G105&lt;&gt;"", 'P19'!$G105, "non")</f>
        <v>non</v>
      </c>
      <c r="BT109" s="11" t="str">
        <f>IF('P20'!$G105&lt;&gt;"", 'P20'!$G105, "non")</f>
        <v>non</v>
      </c>
      <c r="BU109" s="10" t="str">
        <f>IF('P21'!$G105&lt;&gt;"", 'P21'!$G105, "non")</f>
        <v>non</v>
      </c>
      <c r="BV109" s="11" t="str">
        <f>IF('P22'!$G105&lt;&gt;"", 'P22'!$G105, "non")</f>
        <v>non</v>
      </c>
      <c r="BW109" s="10" t="str">
        <f>IF('P23'!$G105&lt;&gt;"", 'P23'!$G105, "non")</f>
        <v>non</v>
      </c>
      <c r="BX109" s="11" t="str">
        <f>IF('P24'!$G105&lt;&gt;"", 'P24'!$G105, "non")</f>
        <v>non</v>
      </c>
      <c r="BY109" s="10" t="str">
        <f>IF('P25'!$G105&lt;&gt;"", 'P25'!$G105, "non")</f>
        <v>non</v>
      </c>
      <c r="BZ109" s="11" t="str">
        <f>IF('P26'!$G105&lt;&gt;"", 'P26'!$G105, "non")</f>
        <v>non</v>
      </c>
      <c r="CA109" s="10" t="str">
        <f>IF('P27'!$G105&lt;&gt;"", 'P27'!$G105, "non")</f>
        <v>non</v>
      </c>
      <c r="CB109" s="11" t="str">
        <f>IF('P28'!$G105&lt;&gt;"", 'P28'!$G105, "non")</f>
        <v>non</v>
      </c>
      <c r="CC109" s="10" t="str">
        <f>IF('P29'!$G105&lt;&gt;"", 'P29'!$G105, "non")</f>
        <v>non</v>
      </c>
      <c r="CD109" s="11" t="str">
        <f>IF('P30'!$G105&lt;&gt;"", 'P30'!$G105, "non")</f>
        <v>non</v>
      </c>
      <c r="CE109" s="10" t="str">
        <f>IF('P31'!$G105&lt;&gt;"", 'P31'!$G105, "non")</f>
        <v>non</v>
      </c>
      <c r="CF109" s="11" t="str">
        <f>IF('P32'!$G105&lt;&gt;"", 'P32'!$G105, "non")</f>
        <v>non</v>
      </c>
      <c r="CG109" s="10" t="str">
        <f>IF('P33'!$G105&lt;&gt;"", 'P33'!$G105, "non")</f>
        <v>non</v>
      </c>
      <c r="CH109" s="10" t="str">
        <f>IF('P34'!$G105&lt;&gt;"", 'P34'!$G105, "non")</f>
        <v>non</v>
      </c>
      <c r="CI109" s="11" t="str">
        <f>IF('P35'!$G105&lt;&gt;"", 'P35'!$G105, "non")</f>
        <v>non</v>
      </c>
      <c r="CJ109" s="10" t="str">
        <f>IF('P36'!$G105&lt;&gt;"", 'P36'!$G105, "non")</f>
        <v>non</v>
      </c>
      <c r="CK109" s="11" t="str">
        <f>IF('P37'!$G105&lt;&gt;"", 'P37'!$G105, "non")</f>
        <v>non</v>
      </c>
      <c r="CL109" s="10" t="str">
        <f>IF('P38'!$G105&lt;&gt;"", 'P38'!$G105, "non")</f>
        <v>non</v>
      </c>
      <c r="CM109" s="11" t="str">
        <f>IF('P39'!$G105&lt;&gt;"", 'P39'!$G105, "non")</f>
        <v>non</v>
      </c>
      <c r="CN109" s="10" t="str">
        <f>IF('P40'!$G105&lt;&gt;"", 'P40'!$G105, "non")</f>
        <v>non</v>
      </c>
    </row>
    <row r="110" spans="1:92" ht="39.75" customHeight="1">
      <c r="A110" s="122" t="str">
        <f>'Critères et tests'!B105</f>
        <v>CONSULTATION</v>
      </c>
      <c r="B110" s="124" t="str">
        <f>'Critères et tests'!$A105</f>
        <v>13.9</v>
      </c>
      <c r="C110" s="192" t="str">
        <f>VLOOKUP(B110,'Critères et tests'!$1:$1048576,5,FALSE)</f>
        <v>Dans chaque page web, le contenu proposé est-il consultable, quelle que soit l’orientation de l’écran (portrait ou paysage) (hors cas particuliers) ?</v>
      </c>
      <c r="D110" s="124" t="str">
        <f>'Critères et tests'!$C105</f>
        <v>AA</v>
      </c>
      <c r="E110" s="156" t="s">
        <v>460</v>
      </c>
      <c r="F110" s="88">
        <f>IF('P01'!$E106&gt;"",'P01'!$E106&amp;" "&amp;CHAR(10)&amp;'P01'!$F106,'P01'!$E106)</f>
        <v>0</v>
      </c>
      <c r="G110" s="89">
        <f>IF('P02'!$E106&gt;"",'P02'!$E106&amp;" "&amp;CHAR(10)&amp;'P02'!$F106,'P02'!$E106)</f>
        <v>0</v>
      </c>
      <c r="H110" s="89">
        <f>IF('P03'!$E106&gt;"",'P03'!$E106&amp;" "&amp;CHAR(10)&amp;'P03'!$F106,'P03'!$E106)</f>
        <v>0</v>
      </c>
      <c r="I110" s="89">
        <f>IF('P04'!$E106&gt;"",'P04'!$E106&amp;" "&amp;CHAR(10)&amp;'P04'!$F106,'P04'!$E106)</f>
        <v>0</v>
      </c>
      <c r="J110" s="89">
        <f>IF('P05'!$E106&gt;"",'P05'!$E106&amp;" "&amp;CHAR(10)&amp;'P05'!$F106,'P05'!$E106)</f>
        <v>0</v>
      </c>
      <c r="K110" s="89">
        <f>IF('P06'!$E106&gt;"",'P06'!$E106&amp;" "&amp;CHAR(10)&amp;'P06'!$F106,'P06'!$E106)</f>
        <v>0</v>
      </c>
      <c r="L110" s="89">
        <f>IF('P07'!$E106&gt;"",'P07'!$E106&amp;" "&amp;CHAR(10)&amp;'P07'!$F106,'P07'!$E106)</f>
        <v>0</v>
      </c>
      <c r="M110" s="89">
        <f>IF('P08'!$E106&gt;"",'P08'!$E106&amp;" "&amp;CHAR(10)&amp;'P08'!$F106,'P08'!$E106)</f>
        <v>0</v>
      </c>
      <c r="N110" s="89">
        <f>IF('P09'!$E106&gt;"",'P09'!$E106&amp;" "&amp;CHAR(10)&amp;'P09'!$F106,'P09'!$E106)</f>
        <v>0</v>
      </c>
      <c r="O110" s="89">
        <f>IF('P10'!$E106&gt;"",'P10'!$E106&amp;" "&amp;CHAR(10)&amp;'P10'!$F106,'P10'!$E106)</f>
        <v>0</v>
      </c>
      <c r="P110" s="89">
        <f>IF('P11'!$E106&gt;"",'P11'!$E106&amp;" "&amp;CHAR(10)&amp;'P11'!$F106,'P11'!$E106)</f>
        <v>0</v>
      </c>
      <c r="Q110" s="89">
        <f>IF('P12'!$E106&gt;"",'P12'!$E106&amp;" "&amp;CHAR(10)&amp;'P12'!$F106,'P12'!$E106)</f>
        <v>0</v>
      </c>
      <c r="R110" s="89">
        <f>IF('P13'!$E106&gt;"",'P13'!$E106&amp;" "&amp;CHAR(10)&amp;'P13'!$F106,'P13'!$E106)</f>
        <v>0</v>
      </c>
      <c r="S110" s="89">
        <f>IF('P14'!$E106&gt;"",'P14'!$E106&amp;" "&amp;CHAR(10)&amp;'P14'!$F106,'P14'!$E106)</f>
        <v>0</v>
      </c>
      <c r="T110" s="89">
        <f>IF('P15'!$E106&gt;"",'P15'!$E106&amp;" "&amp;CHAR(10)&amp;'P15'!$F106,'P15'!$E106)</f>
        <v>0</v>
      </c>
      <c r="U110" s="89">
        <f>IF('P16'!$E106&gt;"",'P16'!$E106&amp;" "&amp;CHAR(10)&amp;'P16'!$F106,'P16'!$E106)</f>
        <v>0</v>
      </c>
      <c r="V110" s="89">
        <f>IF('P17'!$E106&gt;"",'P17'!$E106&amp;" "&amp;CHAR(10)&amp;'P17'!$F106,'P17'!$E106)</f>
        <v>0</v>
      </c>
      <c r="W110" s="89">
        <f>IF('P18'!$E106&gt;"",'P18'!$E106&amp;" "&amp;CHAR(10)&amp;'P18'!$F106,'P18'!$E106)</f>
        <v>0</v>
      </c>
      <c r="X110" s="89">
        <f>IF('P19'!$E106&gt;"",'P19'!$E106&amp;" "&amp;CHAR(10)&amp;'P19'!$F106,'P19'!$E106)</f>
        <v>0</v>
      </c>
      <c r="Y110" s="89">
        <f>IF('P20'!$E106&gt;"",'P20'!$E106&amp;" "&amp;CHAR(10)&amp;'P20'!$F106,'P20'!$E106)</f>
        <v>0</v>
      </c>
      <c r="Z110" s="89">
        <f>IF('P21'!$E106&gt;"",'P21'!$E106&amp;" "&amp;CHAR(10)&amp;'P21'!$F106,'P21'!$E106)</f>
        <v>0</v>
      </c>
      <c r="AA110" s="89">
        <f>IF('P22'!$E106&gt;"",'P22'!$E106&amp;" "&amp;CHAR(10)&amp;'P22'!$F106,'P22'!$E106)</f>
        <v>0</v>
      </c>
      <c r="AB110" s="89">
        <f>IF('P23'!$E106&gt;"",'P23'!$E106&amp;" "&amp;CHAR(10)&amp;'P23'!$F106,'P23'!$E106)</f>
        <v>0</v>
      </c>
      <c r="AC110" s="89">
        <f>IF('P24'!$E106&gt;"",'P24'!$E106&amp;" "&amp;CHAR(10)&amp;'P24'!$F106,'P24'!$E106)</f>
        <v>0</v>
      </c>
      <c r="AD110" s="89">
        <f>IF('P25'!$E106&gt;"",'P25'!$E106&amp;" "&amp;CHAR(10)&amp;'P25'!$F106,'P25'!$E106)</f>
        <v>0</v>
      </c>
      <c r="AE110" s="89">
        <f>IF('P26'!$E106&gt;"",'P26'!$E106&amp;" "&amp;CHAR(10)&amp;'P26'!$F106,'P26'!$E106)</f>
        <v>0</v>
      </c>
      <c r="AF110" s="89">
        <f>IF('P27'!$E106&gt;"",'P27'!$E106&amp;" "&amp;CHAR(10)&amp;'P27'!$F106,'P27'!$E106)</f>
        <v>0</v>
      </c>
      <c r="AG110" s="89">
        <f>IF('P28'!$E106&gt;"",'P28'!$E106&amp;" "&amp;CHAR(10)&amp;'P28'!$F106,'P28'!$E106)</f>
        <v>0</v>
      </c>
      <c r="AH110" s="89">
        <f>IF('P29'!$E106&gt;"",'P29'!$E106&amp;" "&amp;CHAR(10)&amp;'P29'!$F106,'P29'!$E106)</f>
        <v>0</v>
      </c>
      <c r="AI110" s="89">
        <f>IF('P30'!$E106&gt;"",'P30'!$E106&amp;" "&amp;CHAR(10)&amp;'P30'!$F106,'P30'!$E106)</f>
        <v>0</v>
      </c>
      <c r="AJ110" s="89">
        <f>IF('P31'!$E106&gt;"",'P31'!$E106&amp;" "&amp;CHAR(10)&amp;'P31'!$F106,'P31'!$E106)</f>
        <v>0</v>
      </c>
      <c r="AK110" s="89">
        <f>IF('P32'!$E106&gt;"",'P32'!$E106&amp;" "&amp;CHAR(10)&amp;'P32'!$F106,'P32'!$E106)</f>
        <v>0</v>
      </c>
      <c r="AL110" s="89">
        <f>IF('P33'!$E106&gt;"",'P33'!$E106&amp;" "&amp;CHAR(10)&amp;'P33'!$F106,'P33'!$E106)</f>
        <v>0</v>
      </c>
      <c r="AM110" s="89">
        <f>IF('P34'!$E106&gt;"",'P34'!$E106&amp;" "&amp;CHAR(10)&amp;'P34'!$F106,'P34'!$E106)</f>
        <v>0</v>
      </c>
      <c r="AN110" s="89">
        <f>IF('P35'!$E106&gt;"",'P35'!$E106&amp;" "&amp;CHAR(10)&amp;'P35'!$F106,'P35'!$E106)</f>
        <v>0</v>
      </c>
      <c r="AO110" s="89">
        <f>IF('P36'!$E106&gt;"",'P36'!$E106&amp;" "&amp;CHAR(10)&amp;'P36'!$F106,'P36'!$E106)</f>
        <v>0</v>
      </c>
      <c r="AP110" s="89">
        <f>IF('P37'!$E106&gt;"",'P37'!$E106&amp;" "&amp;CHAR(10)&amp;'P37'!$F106,'P37'!$E106)</f>
        <v>0</v>
      </c>
      <c r="AQ110" s="89">
        <f>IF('P38'!$E106&gt;"",'P38'!$E106&amp;" "&amp;CHAR(10)&amp;'P38'!$F106,'P38'!$E106)</f>
        <v>0</v>
      </c>
      <c r="AR110" s="89">
        <f>IF('P39'!$E106&gt;"",'P39'!$E106&amp;" "&amp;CHAR(10)&amp;'P39'!$F106,'P39'!$E106)</f>
        <v>0</v>
      </c>
      <c r="AS110" s="89">
        <f>IF('P40'!$E106&gt;"",'P40'!$E106&amp;" "&amp;CHAR(10)&amp;'P40'!$F106,'P40'!$E106)</f>
        <v>0</v>
      </c>
      <c r="AT110" s="55">
        <f t="shared" si="9"/>
        <v>0</v>
      </c>
      <c r="AU110" s="9">
        <f t="shared" si="10"/>
        <v>0</v>
      </c>
      <c r="AV110" s="55">
        <f t="shared" si="11"/>
        <v>0</v>
      </c>
      <c r="AW110" s="38" t="str">
        <f t="shared" si="12"/>
        <v>NT</v>
      </c>
      <c r="AX110" s="12"/>
      <c r="AY110" s="10"/>
      <c r="AZ110" s="10"/>
      <c r="BA110" s="10" t="str">
        <f>IF('P01'!$G106&lt;&gt;"", 'P01'!$G106, "non")</f>
        <v>non</v>
      </c>
      <c r="BB110" s="10" t="str">
        <f>IF('P02'!$G106&lt;&gt;"", 'P02'!$G106, "non")</f>
        <v>non</v>
      </c>
      <c r="BC110" s="10" t="str">
        <f>IF('P03'!$G106&lt;&gt;"", 'P03'!$G106, "non")</f>
        <v>non</v>
      </c>
      <c r="BD110" s="10" t="str">
        <f>IF('P04'!$G106&lt;&gt;"", 'P04'!$G106, "non")</f>
        <v>non</v>
      </c>
      <c r="BE110" s="10" t="str">
        <f>IF('P05'!$G106&lt;&gt;"", 'P05'!$G106, "non")</f>
        <v>non</v>
      </c>
      <c r="BF110" s="10" t="str">
        <f>IF('P06'!$G106&lt;&gt;"", 'P06'!$G106, "non")</f>
        <v>non</v>
      </c>
      <c r="BG110" s="10" t="str">
        <f>IF('P07'!$G106&lt;&gt;"", 'P07'!$G106, "non")</f>
        <v>non</v>
      </c>
      <c r="BH110" s="10" t="str">
        <f>IF('P08'!$G106&lt;&gt;"", 'P08'!$G106, "non")</f>
        <v>non</v>
      </c>
      <c r="BI110" s="10" t="str">
        <f>IF('P09'!$G106&lt;&gt;"", 'P09'!$G106, "non")</f>
        <v>non</v>
      </c>
      <c r="BJ110" s="10" t="str">
        <f>IF('P10'!$G106&lt;&gt;"", 'P10'!$G106, "non")</f>
        <v>non</v>
      </c>
      <c r="BK110" s="10" t="str">
        <f>IF('P11'!$G106&lt;&gt;"", 'P11'!$G106, "non")</f>
        <v>non</v>
      </c>
      <c r="BL110" s="10" t="str">
        <f>IF('P12'!$G106&lt;&gt;"", 'P12'!$G106, "non")</f>
        <v>non</v>
      </c>
      <c r="BM110" s="10" t="str">
        <f>IF('P13'!$G106&lt;&gt;"", 'P13'!$G106, "non")</f>
        <v>non</v>
      </c>
      <c r="BN110" s="10" t="str">
        <f>IF('P14'!$G106&lt;&gt;"", 'P14'!$G106, "non")</f>
        <v>non</v>
      </c>
      <c r="BO110" s="10" t="str">
        <f>IF('P15'!$G106&lt;&gt;"", 'P15'!$G106, "non")</f>
        <v>non</v>
      </c>
      <c r="BP110" s="10" t="str">
        <f>IF('P16'!$G106&lt;&gt;"", 'P16'!$G106, "non")</f>
        <v>non</v>
      </c>
      <c r="BQ110" s="10" t="str">
        <f>IF('P17'!$G106&lt;&gt;"", 'P17'!$G106, "non")</f>
        <v>non</v>
      </c>
      <c r="BR110" s="10" t="str">
        <f>IF('P18'!$G106&lt;&gt;"", 'P18'!$G106, "non")</f>
        <v>non</v>
      </c>
      <c r="BS110" s="10" t="str">
        <f>IF('P19'!$G106&lt;&gt;"", 'P19'!$G106, "non")</f>
        <v>non</v>
      </c>
      <c r="BT110" s="11" t="str">
        <f>IF('P20'!$G106&lt;&gt;"", 'P20'!$G106, "non")</f>
        <v>non</v>
      </c>
      <c r="BU110" s="10" t="str">
        <f>IF('P21'!$G106&lt;&gt;"", 'P21'!$G106, "non")</f>
        <v>non</v>
      </c>
      <c r="BV110" s="11" t="str">
        <f>IF('P22'!$G106&lt;&gt;"", 'P22'!$G106, "non")</f>
        <v>non</v>
      </c>
      <c r="BW110" s="10" t="str">
        <f>IF('P23'!$G106&lt;&gt;"", 'P23'!$G106, "non")</f>
        <v>non</v>
      </c>
      <c r="BX110" s="11" t="str">
        <f>IF('P24'!$G106&lt;&gt;"", 'P24'!$G106, "non")</f>
        <v>non</v>
      </c>
      <c r="BY110" s="10" t="str">
        <f>IF('P25'!$G106&lt;&gt;"", 'P25'!$G106, "non")</f>
        <v>non</v>
      </c>
      <c r="BZ110" s="11" t="str">
        <f>IF('P26'!$G106&lt;&gt;"", 'P26'!$G106, "non")</f>
        <v>non</v>
      </c>
      <c r="CA110" s="10" t="str">
        <f>IF('P27'!$G106&lt;&gt;"", 'P27'!$G106, "non")</f>
        <v>non</v>
      </c>
      <c r="CB110" s="11" t="str">
        <f>IF('P28'!$G106&lt;&gt;"", 'P28'!$G106, "non")</f>
        <v>non</v>
      </c>
      <c r="CC110" s="10" t="str">
        <f>IF('P29'!$G106&lt;&gt;"", 'P29'!$G106, "non")</f>
        <v>non</v>
      </c>
      <c r="CD110" s="11" t="str">
        <f>IF('P30'!$G106&lt;&gt;"", 'P30'!$G106, "non")</f>
        <v>non</v>
      </c>
      <c r="CE110" s="10" t="str">
        <f>IF('P31'!$G106&lt;&gt;"", 'P31'!$G106, "non")</f>
        <v>non</v>
      </c>
      <c r="CF110" s="11" t="str">
        <f>IF('P32'!$G106&lt;&gt;"", 'P32'!$G106, "non")</f>
        <v>non</v>
      </c>
      <c r="CG110" s="10" t="str">
        <f>IF('P33'!$G106&lt;&gt;"", 'P33'!$G106, "non")</f>
        <v>non</v>
      </c>
      <c r="CH110" s="10" t="str">
        <f>IF('P34'!$G106&lt;&gt;"", 'P34'!$G106, "non")</f>
        <v>non</v>
      </c>
      <c r="CI110" s="11" t="str">
        <f>IF('P35'!$G106&lt;&gt;"", 'P35'!$G106, "non")</f>
        <v>non</v>
      </c>
      <c r="CJ110" s="10" t="str">
        <f>IF('P36'!$G106&lt;&gt;"", 'P36'!$G106, "non")</f>
        <v>non</v>
      </c>
      <c r="CK110" s="11" t="str">
        <f>IF('P37'!$G106&lt;&gt;"", 'P37'!$G106, "non")</f>
        <v>non</v>
      </c>
      <c r="CL110" s="10" t="str">
        <f>IF('P38'!$G106&lt;&gt;"", 'P38'!$G106, "non")</f>
        <v>non</v>
      </c>
      <c r="CM110" s="11" t="str">
        <f>IF('P39'!$G106&lt;&gt;"", 'P39'!$G106, "non")</f>
        <v>non</v>
      </c>
      <c r="CN110" s="10" t="str">
        <f>IF('P40'!$G106&lt;&gt;"", 'P40'!$G106, "non")</f>
        <v>non</v>
      </c>
    </row>
    <row r="111" spans="1:92" ht="39.75" customHeight="1">
      <c r="A111" s="122" t="str">
        <f>'Critères et tests'!B106</f>
        <v>CONSULTATION</v>
      </c>
      <c r="B111" s="124" t="str">
        <f>'Critères et tests'!$A106</f>
        <v>13.10</v>
      </c>
      <c r="C111" s="192" t="str">
        <f>VLOOKUP(B111,'Critères et tests'!$1:$1048576,5,FALSE)</f>
        <v>Dans chaque page web, les fonctionnalités utilisables ou disponibles au moyen d’un geste complexe peuvent-elles être également disponibles au moyen d’un geste simple (hors cas particuliers) ?</v>
      </c>
      <c r="D111" s="124" t="str">
        <f>'Critères et tests'!$C106</f>
        <v>AA</v>
      </c>
      <c r="E111" s="156" t="s">
        <v>460</v>
      </c>
      <c r="F111" s="88">
        <f>IF('P01'!$E107&gt;"",'P01'!$E107&amp;" "&amp;CHAR(10)&amp;'P01'!$F107,'P01'!$E107)</f>
        <v>0</v>
      </c>
      <c r="G111" s="89">
        <f>IF('P02'!$E107&gt;"",'P02'!$E107&amp;" "&amp;CHAR(10)&amp;'P02'!$F107,'P02'!$E107)</f>
        <v>0</v>
      </c>
      <c r="H111" s="89">
        <f>IF('P03'!$E107&gt;"",'P03'!$E107&amp;" "&amp;CHAR(10)&amp;'P03'!$F107,'P03'!$E107)</f>
        <v>0</v>
      </c>
      <c r="I111" s="89">
        <f>IF('P04'!$E107&gt;"",'P04'!$E107&amp;" "&amp;CHAR(10)&amp;'P04'!$F107,'P04'!$E107)</f>
        <v>0</v>
      </c>
      <c r="J111" s="89">
        <f>IF('P05'!$E107&gt;"",'P05'!$E107&amp;" "&amp;CHAR(10)&amp;'P05'!$F107,'P05'!$E107)</f>
        <v>0</v>
      </c>
      <c r="K111" s="89">
        <f>IF('P06'!$E107&gt;"",'P06'!$E107&amp;" "&amp;CHAR(10)&amp;'P06'!$F107,'P06'!$E107)</f>
        <v>0</v>
      </c>
      <c r="L111" s="89">
        <f>IF('P07'!$E107&gt;"",'P07'!$E107&amp;" "&amp;CHAR(10)&amp;'P07'!$F107,'P07'!$E107)</f>
        <v>0</v>
      </c>
      <c r="M111" s="89">
        <f>IF('P08'!$E107&gt;"",'P08'!$E107&amp;" "&amp;CHAR(10)&amp;'P08'!$F107,'P08'!$E107)</f>
        <v>0</v>
      </c>
      <c r="N111" s="89">
        <f>IF('P09'!$E107&gt;"",'P09'!$E107&amp;" "&amp;CHAR(10)&amp;'P09'!$F107,'P09'!$E107)</f>
        <v>0</v>
      </c>
      <c r="O111" s="89">
        <f>IF('P10'!$E107&gt;"",'P10'!$E107&amp;" "&amp;CHAR(10)&amp;'P10'!$F107,'P10'!$E107)</f>
        <v>0</v>
      </c>
      <c r="P111" s="89">
        <f>IF('P11'!$E107&gt;"",'P11'!$E107&amp;" "&amp;CHAR(10)&amp;'P11'!$F107,'P11'!$E107)</f>
        <v>0</v>
      </c>
      <c r="Q111" s="89">
        <f>IF('P12'!$E107&gt;"",'P12'!$E107&amp;" "&amp;CHAR(10)&amp;'P12'!$F107,'P12'!$E107)</f>
        <v>0</v>
      </c>
      <c r="R111" s="89">
        <f>IF('P13'!$E107&gt;"",'P13'!$E107&amp;" "&amp;CHAR(10)&amp;'P13'!$F107,'P13'!$E107)</f>
        <v>0</v>
      </c>
      <c r="S111" s="89">
        <f>IF('P14'!$E107&gt;"",'P14'!$E107&amp;" "&amp;CHAR(10)&amp;'P14'!$F107,'P14'!$E107)</f>
        <v>0</v>
      </c>
      <c r="T111" s="89">
        <f>IF('P15'!$E107&gt;"",'P15'!$E107&amp;" "&amp;CHAR(10)&amp;'P15'!$F107,'P15'!$E107)</f>
        <v>0</v>
      </c>
      <c r="U111" s="89">
        <f>IF('P16'!$E107&gt;"",'P16'!$E107&amp;" "&amp;CHAR(10)&amp;'P16'!$F107,'P16'!$E107)</f>
        <v>0</v>
      </c>
      <c r="V111" s="89">
        <f>IF('P17'!$E107&gt;"",'P17'!$E107&amp;" "&amp;CHAR(10)&amp;'P17'!$F107,'P17'!$E107)</f>
        <v>0</v>
      </c>
      <c r="W111" s="89">
        <f>IF('P18'!$E107&gt;"",'P18'!$E107&amp;" "&amp;CHAR(10)&amp;'P18'!$F107,'P18'!$E107)</f>
        <v>0</v>
      </c>
      <c r="X111" s="89">
        <f>IF('P19'!$E107&gt;"",'P19'!$E107&amp;" "&amp;CHAR(10)&amp;'P19'!$F107,'P19'!$E107)</f>
        <v>0</v>
      </c>
      <c r="Y111" s="89">
        <f>IF('P20'!$E107&gt;"",'P20'!$E107&amp;" "&amp;CHAR(10)&amp;'P20'!$F107,'P20'!$E107)</f>
        <v>0</v>
      </c>
      <c r="Z111" s="89">
        <f>IF('P21'!$E107&gt;"",'P21'!$E107&amp;" "&amp;CHAR(10)&amp;'P21'!$F107,'P21'!$E107)</f>
        <v>0</v>
      </c>
      <c r="AA111" s="89">
        <f>IF('P22'!$E107&gt;"",'P22'!$E107&amp;" "&amp;CHAR(10)&amp;'P22'!$F107,'P22'!$E107)</f>
        <v>0</v>
      </c>
      <c r="AB111" s="89">
        <f>IF('P23'!$E107&gt;"",'P23'!$E107&amp;" "&amp;CHAR(10)&amp;'P23'!$F107,'P23'!$E107)</f>
        <v>0</v>
      </c>
      <c r="AC111" s="89">
        <f>IF('P24'!$E107&gt;"",'P24'!$E107&amp;" "&amp;CHAR(10)&amp;'P24'!$F107,'P24'!$E107)</f>
        <v>0</v>
      </c>
      <c r="AD111" s="89">
        <f>IF('P25'!$E107&gt;"",'P25'!$E107&amp;" "&amp;CHAR(10)&amp;'P25'!$F107,'P25'!$E107)</f>
        <v>0</v>
      </c>
      <c r="AE111" s="89">
        <f>IF('P26'!$E107&gt;"",'P26'!$E107&amp;" "&amp;CHAR(10)&amp;'P26'!$F107,'P26'!$E107)</f>
        <v>0</v>
      </c>
      <c r="AF111" s="89">
        <f>IF('P27'!$E107&gt;"",'P27'!$E107&amp;" "&amp;CHAR(10)&amp;'P27'!$F107,'P27'!$E107)</f>
        <v>0</v>
      </c>
      <c r="AG111" s="89">
        <f>IF('P28'!$E107&gt;"",'P28'!$E107&amp;" "&amp;CHAR(10)&amp;'P28'!$F107,'P28'!$E107)</f>
        <v>0</v>
      </c>
      <c r="AH111" s="89">
        <f>IF('P29'!$E107&gt;"",'P29'!$E107&amp;" "&amp;CHAR(10)&amp;'P29'!$F107,'P29'!$E107)</f>
        <v>0</v>
      </c>
      <c r="AI111" s="89">
        <f>IF('P30'!$E107&gt;"",'P30'!$E107&amp;" "&amp;CHAR(10)&amp;'P30'!$F107,'P30'!$E107)</f>
        <v>0</v>
      </c>
      <c r="AJ111" s="89">
        <f>IF('P31'!$E107&gt;"",'P31'!$E107&amp;" "&amp;CHAR(10)&amp;'P31'!$F107,'P31'!$E107)</f>
        <v>0</v>
      </c>
      <c r="AK111" s="89">
        <f>IF('P32'!$E107&gt;"",'P32'!$E107&amp;" "&amp;CHAR(10)&amp;'P32'!$F107,'P32'!$E107)</f>
        <v>0</v>
      </c>
      <c r="AL111" s="89">
        <f>IF('P33'!$E107&gt;"",'P33'!$E107&amp;" "&amp;CHAR(10)&amp;'P33'!$F107,'P33'!$E107)</f>
        <v>0</v>
      </c>
      <c r="AM111" s="89">
        <f>IF('P34'!$E107&gt;"",'P34'!$E107&amp;" "&amp;CHAR(10)&amp;'P34'!$F107,'P34'!$E107)</f>
        <v>0</v>
      </c>
      <c r="AN111" s="89">
        <f>IF('P35'!$E107&gt;"",'P35'!$E107&amp;" "&amp;CHAR(10)&amp;'P35'!$F107,'P35'!$E107)</f>
        <v>0</v>
      </c>
      <c r="AO111" s="89">
        <f>IF('P36'!$E107&gt;"",'P36'!$E107&amp;" "&amp;CHAR(10)&amp;'P36'!$F107,'P36'!$E107)</f>
        <v>0</v>
      </c>
      <c r="AP111" s="89">
        <f>IF('P37'!$E107&gt;"",'P37'!$E107&amp;" "&amp;CHAR(10)&amp;'P37'!$F107,'P37'!$E107)</f>
        <v>0</v>
      </c>
      <c r="AQ111" s="89">
        <f>IF('P38'!$E107&gt;"",'P38'!$E107&amp;" "&amp;CHAR(10)&amp;'P38'!$F107,'P38'!$E107)</f>
        <v>0</v>
      </c>
      <c r="AR111" s="89">
        <f>IF('P39'!$E107&gt;"",'P39'!$E107&amp;" "&amp;CHAR(10)&amp;'P39'!$F107,'P39'!$E107)</f>
        <v>0</v>
      </c>
      <c r="AS111" s="89">
        <f>IF('P40'!$E107&gt;"",'P40'!$E107&amp;" "&amp;CHAR(10)&amp;'P40'!$F107,'P40'!$E107)</f>
        <v>0</v>
      </c>
      <c r="AT111" s="55">
        <f t="shared" si="9"/>
        <v>0</v>
      </c>
      <c r="AU111" s="9">
        <f t="shared" si="10"/>
        <v>0</v>
      </c>
      <c r="AV111" s="55">
        <f t="shared" si="11"/>
        <v>0</v>
      </c>
      <c r="AW111" s="38" t="str">
        <f t="shared" si="12"/>
        <v>NT</v>
      </c>
      <c r="AX111" s="12"/>
      <c r="AY111" s="10"/>
      <c r="AZ111" s="10"/>
      <c r="BA111" s="10" t="str">
        <f>IF('P01'!$G107&lt;&gt;"", 'P01'!$G107, "non")</f>
        <v>non</v>
      </c>
      <c r="BB111" s="10" t="str">
        <f>IF('P02'!$G107&lt;&gt;"", 'P02'!$G107, "non")</f>
        <v>non</v>
      </c>
      <c r="BC111" s="10" t="str">
        <f>IF('P03'!$G107&lt;&gt;"", 'P03'!$G107, "non")</f>
        <v>non</v>
      </c>
      <c r="BD111" s="10" t="str">
        <f>IF('P04'!$G107&lt;&gt;"", 'P04'!$G107, "non")</f>
        <v>non</v>
      </c>
      <c r="BE111" s="10" t="str">
        <f>IF('P05'!$G107&lt;&gt;"", 'P05'!$G107, "non")</f>
        <v>non</v>
      </c>
      <c r="BF111" s="10" t="str">
        <f>IF('P06'!$G107&lt;&gt;"", 'P06'!$G107, "non")</f>
        <v>non</v>
      </c>
      <c r="BG111" s="10" t="str">
        <f>IF('P07'!$G107&lt;&gt;"", 'P07'!$G107, "non")</f>
        <v>non</v>
      </c>
      <c r="BH111" s="10" t="str">
        <f>IF('P08'!$G107&lt;&gt;"", 'P08'!$G107, "non")</f>
        <v>non</v>
      </c>
      <c r="BI111" s="10" t="str">
        <f>IF('P09'!$G107&lt;&gt;"", 'P09'!$G107, "non")</f>
        <v>non</v>
      </c>
      <c r="BJ111" s="10" t="str">
        <f>IF('P10'!$G107&lt;&gt;"", 'P10'!$G107, "non")</f>
        <v>non</v>
      </c>
      <c r="BK111" s="10" t="str">
        <f>IF('P11'!$G107&lt;&gt;"", 'P11'!$G107, "non")</f>
        <v>non</v>
      </c>
      <c r="BL111" s="10" t="str">
        <f>IF('P12'!$G107&lt;&gt;"", 'P12'!$G107, "non")</f>
        <v>non</v>
      </c>
      <c r="BM111" s="10" t="str">
        <f>IF('P13'!$G107&lt;&gt;"", 'P13'!$G107, "non")</f>
        <v>non</v>
      </c>
      <c r="BN111" s="10" t="str">
        <f>IF('P14'!$G107&lt;&gt;"", 'P14'!$G107, "non")</f>
        <v>non</v>
      </c>
      <c r="BO111" s="10" t="str">
        <f>IF('P15'!$G107&lt;&gt;"", 'P15'!$G107, "non")</f>
        <v>non</v>
      </c>
      <c r="BP111" s="10" t="str">
        <f>IF('P16'!$G107&lt;&gt;"", 'P16'!$G107, "non")</f>
        <v>non</v>
      </c>
      <c r="BQ111" s="10" t="str">
        <f>IF('P17'!$G107&lt;&gt;"", 'P17'!$G107, "non")</f>
        <v>non</v>
      </c>
      <c r="BR111" s="10" t="str">
        <f>IF('P18'!$G107&lt;&gt;"", 'P18'!$G107, "non")</f>
        <v>non</v>
      </c>
      <c r="BS111" s="10" t="str">
        <f>IF('P19'!$G107&lt;&gt;"", 'P19'!$G107, "non")</f>
        <v>non</v>
      </c>
      <c r="BT111" s="11" t="str">
        <f>IF('P20'!$G107&lt;&gt;"", 'P20'!$G107, "non")</f>
        <v>non</v>
      </c>
      <c r="BU111" s="10" t="str">
        <f>IF('P21'!$G107&lt;&gt;"", 'P21'!$G107, "non")</f>
        <v>non</v>
      </c>
      <c r="BV111" s="11" t="str">
        <f>IF('P22'!$G107&lt;&gt;"", 'P22'!$G107, "non")</f>
        <v>non</v>
      </c>
      <c r="BW111" s="10" t="str">
        <f>IF('P23'!$G107&lt;&gt;"", 'P23'!$G107, "non")</f>
        <v>non</v>
      </c>
      <c r="BX111" s="11" t="str">
        <f>IF('P24'!$G107&lt;&gt;"", 'P24'!$G107, "non")</f>
        <v>non</v>
      </c>
      <c r="BY111" s="10" t="str">
        <f>IF('P25'!$G107&lt;&gt;"", 'P25'!$G107, "non")</f>
        <v>non</v>
      </c>
      <c r="BZ111" s="11" t="str">
        <f>IF('P26'!$G107&lt;&gt;"", 'P26'!$G107, "non")</f>
        <v>non</v>
      </c>
      <c r="CA111" s="10" t="str">
        <f>IF('P27'!$G107&lt;&gt;"", 'P27'!$G107, "non")</f>
        <v>non</v>
      </c>
      <c r="CB111" s="11" t="str">
        <f>IF('P28'!$G107&lt;&gt;"", 'P28'!$G107, "non")</f>
        <v>non</v>
      </c>
      <c r="CC111" s="10" t="str">
        <f>IF('P29'!$G107&lt;&gt;"", 'P29'!$G107, "non")</f>
        <v>non</v>
      </c>
      <c r="CD111" s="11" t="str">
        <f>IF('P30'!$G107&lt;&gt;"", 'P30'!$G107, "non")</f>
        <v>non</v>
      </c>
      <c r="CE111" s="10" t="str">
        <f>IF('P31'!$G107&lt;&gt;"", 'P31'!$G107, "non")</f>
        <v>non</v>
      </c>
      <c r="CF111" s="11" t="str">
        <f>IF('P32'!$G107&lt;&gt;"", 'P32'!$G107, "non")</f>
        <v>non</v>
      </c>
      <c r="CG111" s="10" t="str">
        <f>IF('P33'!$G107&lt;&gt;"", 'P33'!$G107, "non")</f>
        <v>non</v>
      </c>
      <c r="CH111" s="10" t="str">
        <f>IF('P34'!$G107&lt;&gt;"", 'P34'!$G107, "non")</f>
        <v>non</v>
      </c>
      <c r="CI111" s="11" t="str">
        <f>IF('P35'!$G107&lt;&gt;"", 'P35'!$G107, "non")</f>
        <v>non</v>
      </c>
      <c r="CJ111" s="10" t="str">
        <f>IF('P36'!$G107&lt;&gt;"", 'P36'!$G107, "non")</f>
        <v>non</v>
      </c>
      <c r="CK111" s="11" t="str">
        <f>IF('P37'!$G107&lt;&gt;"", 'P37'!$G107, "non")</f>
        <v>non</v>
      </c>
      <c r="CL111" s="10" t="str">
        <f>IF('P38'!$G107&lt;&gt;"", 'P38'!$G107, "non")</f>
        <v>non</v>
      </c>
      <c r="CM111" s="11" t="str">
        <f>IF('P39'!$G107&lt;&gt;"", 'P39'!$G107, "non")</f>
        <v>non</v>
      </c>
      <c r="CN111" s="10" t="str">
        <f>IF('P40'!$G107&lt;&gt;"", 'P40'!$G107, "non")</f>
        <v>non</v>
      </c>
    </row>
    <row r="112" spans="1:92" ht="39.75" customHeight="1">
      <c r="A112" s="122" t="str">
        <f>'Critères et tests'!B107</f>
        <v>CONSULTATION</v>
      </c>
      <c r="B112" s="124" t="str">
        <f>'Critères et tests'!$A107</f>
        <v>13.11</v>
      </c>
      <c r="C112" s="192" t="str">
        <f>VLOOKUP(B112,'Critères et tests'!$1:$1048576,5,FALSE)</f>
        <v>Dans chaque page web, les actions déclenchées au moyen d’un dispositif de pointage sur un point unique de l’écran peuvent-elles faire l’objet d’une annulation (hors cas particuliers) ?</v>
      </c>
      <c r="D112" s="124" t="str">
        <f>'Critères et tests'!$C107</f>
        <v>AA</v>
      </c>
      <c r="E112" s="156" t="s">
        <v>460</v>
      </c>
      <c r="F112" s="88">
        <f>IF('P01'!$E108&gt;"",'P01'!$E108&amp;" "&amp;CHAR(10)&amp;'P01'!$F108,'P01'!$E108)</f>
        <v>0</v>
      </c>
      <c r="G112" s="89">
        <f>IF('P02'!$E108&gt;"",'P02'!$E108&amp;" "&amp;CHAR(10)&amp;'P02'!$F108,'P02'!$E108)</f>
        <v>0</v>
      </c>
      <c r="H112" s="89">
        <f>IF('P03'!$E108&gt;"",'P03'!$E108&amp;" "&amp;CHAR(10)&amp;'P03'!$F108,'P03'!$E108)</f>
        <v>0</v>
      </c>
      <c r="I112" s="89">
        <f>IF('P04'!$E108&gt;"",'P04'!$E108&amp;" "&amp;CHAR(10)&amp;'P04'!$F108,'P04'!$E108)</f>
        <v>0</v>
      </c>
      <c r="J112" s="89">
        <f>IF('P05'!$E108&gt;"",'P05'!$E108&amp;" "&amp;CHAR(10)&amp;'P05'!$F108,'P05'!$E108)</f>
        <v>0</v>
      </c>
      <c r="K112" s="89">
        <f>IF('P06'!$E108&gt;"",'P06'!$E108&amp;" "&amp;CHAR(10)&amp;'P06'!$F108,'P06'!$E108)</f>
        <v>0</v>
      </c>
      <c r="L112" s="89">
        <f>IF('P07'!$E108&gt;"",'P07'!$E108&amp;" "&amp;CHAR(10)&amp;'P07'!$F108,'P07'!$E108)</f>
        <v>0</v>
      </c>
      <c r="M112" s="89">
        <f>IF('P08'!$E108&gt;"",'P08'!$E108&amp;" "&amp;CHAR(10)&amp;'P08'!$F108,'P08'!$E108)</f>
        <v>0</v>
      </c>
      <c r="N112" s="89">
        <f>IF('P09'!$E108&gt;"",'P09'!$E108&amp;" "&amp;CHAR(10)&amp;'P09'!$F108,'P09'!$E108)</f>
        <v>0</v>
      </c>
      <c r="O112" s="89">
        <f>IF('P10'!$E108&gt;"",'P10'!$E108&amp;" "&amp;CHAR(10)&amp;'P10'!$F108,'P10'!$E108)</f>
        <v>0</v>
      </c>
      <c r="P112" s="89">
        <f>IF('P11'!$E108&gt;"",'P11'!$E108&amp;" "&amp;CHAR(10)&amp;'P11'!$F108,'P11'!$E108)</f>
        <v>0</v>
      </c>
      <c r="Q112" s="89">
        <f>IF('P12'!$E108&gt;"",'P12'!$E108&amp;" "&amp;CHAR(10)&amp;'P12'!$F108,'P12'!$E108)</f>
        <v>0</v>
      </c>
      <c r="R112" s="89">
        <f>IF('P13'!$E108&gt;"",'P13'!$E108&amp;" "&amp;CHAR(10)&amp;'P13'!$F108,'P13'!$E108)</f>
        <v>0</v>
      </c>
      <c r="S112" s="89">
        <f>IF('P14'!$E108&gt;"",'P14'!$E108&amp;" "&amp;CHAR(10)&amp;'P14'!$F108,'P14'!$E108)</f>
        <v>0</v>
      </c>
      <c r="T112" s="89">
        <f>IF('P15'!$E108&gt;"",'P15'!$E108&amp;" "&amp;CHAR(10)&amp;'P15'!$F108,'P15'!$E108)</f>
        <v>0</v>
      </c>
      <c r="U112" s="89">
        <f>IF('P16'!$E108&gt;"",'P16'!$E108&amp;" "&amp;CHAR(10)&amp;'P16'!$F108,'P16'!$E108)</f>
        <v>0</v>
      </c>
      <c r="V112" s="89">
        <f>IF('P17'!$E108&gt;"",'P17'!$E108&amp;" "&amp;CHAR(10)&amp;'P17'!$F108,'P17'!$E108)</f>
        <v>0</v>
      </c>
      <c r="W112" s="89">
        <f>IF('P18'!$E108&gt;"",'P18'!$E108&amp;" "&amp;CHAR(10)&amp;'P18'!$F108,'P18'!$E108)</f>
        <v>0</v>
      </c>
      <c r="X112" s="89">
        <f>IF('P19'!$E108&gt;"",'P19'!$E108&amp;" "&amp;CHAR(10)&amp;'P19'!$F108,'P19'!$E108)</f>
        <v>0</v>
      </c>
      <c r="Y112" s="89">
        <f>IF('P20'!$E108&gt;"",'P20'!$E108&amp;" "&amp;CHAR(10)&amp;'P20'!$F108,'P20'!$E108)</f>
        <v>0</v>
      </c>
      <c r="Z112" s="89">
        <f>IF('P21'!$E108&gt;"",'P21'!$E108&amp;" "&amp;CHAR(10)&amp;'P21'!$F108,'P21'!$E108)</f>
        <v>0</v>
      </c>
      <c r="AA112" s="89">
        <f>IF('P22'!$E108&gt;"",'P22'!$E108&amp;" "&amp;CHAR(10)&amp;'P22'!$F108,'P22'!$E108)</f>
        <v>0</v>
      </c>
      <c r="AB112" s="89">
        <f>IF('P23'!$E108&gt;"",'P23'!$E108&amp;" "&amp;CHAR(10)&amp;'P23'!$F108,'P23'!$E108)</f>
        <v>0</v>
      </c>
      <c r="AC112" s="89">
        <f>IF('P24'!$E108&gt;"",'P24'!$E108&amp;" "&amp;CHAR(10)&amp;'P24'!$F108,'P24'!$E108)</f>
        <v>0</v>
      </c>
      <c r="AD112" s="89">
        <f>IF('P25'!$E108&gt;"",'P25'!$E108&amp;" "&amp;CHAR(10)&amp;'P25'!$F108,'P25'!$E108)</f>
        <v>0</v>
      </c>
      <c r="AE112" s="89">
        <f>IF('P26'!$E108&gt;"",'P26'!$E108&amp;" "&amp;CHAR(10)&amp;'P26'!$F108,'P26'!$E108)</f>
        <v>0</v>
      </c>
      <c r="AF112" s="89">
        <f>IF('P27'!$E108&gt;"",'P27'!$E108&amp;" "&amp;CHAR(10)&amp;'P27'!$F108,'P27'!$E108)</f>
        <v>0</v>
      </c>
      <c r="AG112" s="89">
        <f>IF('P28'!$E108&gt;"",'P28'!$E108&amp;" "&amp;CHAR(10)&amp;'P28'!$F108,'P28'!$E108)</f>
        <v>0</v>
      </c>
      <c r="AH112" s="89">
        <f>IF('P29'!$E108&gt;"",'P29'!$E108&amp;" "&amp;CHAR(10)&amp;'P29'!$F108,'P29'!$E108)</f>
        <v>0</v>
      </c>
      <c r="AI112" s="89">
        <f>IF('P30'!$E108&gt;"",'P30'!$E108&amp;" "&amp;CHAR(10)&amp;'P30'!$F108,'P30'!$E108)</f>
        <v>0</v>
      </c>
      <c r="AJ112" s="89">
        <f>IF('P31'!$E108&gt;"",'P31'!$E108&amp;" "&amp;CHAR(10)&amp;'P31'!$F108,'P31'!$E108)</f>
        <v>0</v>
      </c>
      <c r="AK112" s="89">
        <f>IF('P32'!$E108&gt;"",'P32'!$E108&amp;" "&amp;CHAR(10)&amp;'P32'!$F108,'P32'!$E108)</f>
        <v>0</v>
      </c>
      <c r="AL112" s="89">
        <f>IF('P33'!$E108&gt;"",'P33'!$E108&amp;" "&amp;CHAR(10)&amp;'P33'!$F108,'P33'!$E108)</f>
        <v>0</v>
      </c>
      <c r="AM112" s="89">
        <f>IF('P34'!$E108&gt;"",'P34'!$E108&amp;" "&amp;CHAR(10)&amp;'P34'!$F108,'P34'!$E108)</f>
        <v>0</v>
      </c>
      <c r="AN112" s="89">
        <f>IF('P35'!$E108&gt;"",'P35'!$E108&amp;" "&amp;CHAR(10)&amp;'P35'!$F108,'P35'!$E108)</f>
        <v>0</v>
      </c>
      <c r="AO112" s="89">
        <f>IF('P36'!$E108&gt;"",'P36'!$E108&amp;" "&amp;CHAR(10)&amp;'P36'!$F108,'P36'!$E108)</f>
        <v>0</v>
      </c>
      <c r="AP112" s="89">
        <f>IF('P37'!$E108&gt;"",'P37'!$E108&amp;" "&amp;CHAR(10)&amp;'P37'!$F108,'P37'!$E108)</f>
        <v>0</v>
      </c>
      <c r="AQ112" s="89">
        <f>IF('P38'!$E108&gt;"",'P38'!$E108&amp;" "&amp;CHAR(10)&amp;'P38'!$F108,'P38'!$E108)</f>
        <v>0</v>
      </c>
      <c r="AR112" s="89">
        <f>IF('P39'!$E108&gt;"",'P39'!$E108&amp;" "&amp;CHAR(10)&amp;'P39'!$F108,'P39'!$E108)</f>
        <v>0</v>
      </c>
      <c r="AS112" s="89">
        <f>IF('P40'!$E108&gt;"",'P40'!$E108&amp;" "&amp;CHAR(10)&amp;'P40'!$F108,'P40'!$E108)</f>
        <v>0</v>
      </c>
      <c r="AT112" s="55">
        <f t="shared" si="9"/>
        <v>0</v>
      </c>
      <c r="AU112" s="9">
        <f t="shared" si="10"/>
        <v>0</v>
      </c>
      <c r="AV112" s="55">
        <f t="shared" si="11"/>
        <v>0</v>
      </c>
      <c r="AW112" s="38" t="str">
        <f t="shared" si="12"/>
        <v>NT</v>
      </c>
      <c r="AX112" s="12"/>
      <c r="AY112" s="10"/>
      <c r="AZ112" s="10"/>
      <c r="BA112" s="10" t="str">
        <f>IF('P01'!$G108&lt;&gt;"", 'P01'!$G108, "non")</f>
        <v>non</v>
      </c>
      <c r="BB112" s="10" t="str">
        <f>IF('P02'!$G108&lt;&gt;"", 'P02'!$G108, "non")</f>
        <v>non</v>
      </c>
      <c r="BC112" s="10" t="str">
        <f>IF('P03'!$G108&lt;&gt;"", 'P03'!$G108, "non")</f>
        <v>non</v>
      </c>
      <c r="BD112" s="10" t="str">
        <f>IF('P04'!$G108&lt;&gt;"", 'P04'!$G108, "non")</f>
        <v>non</v>
      </c>
      <c r="BE112" s="10" t="str">
        <f>IF('P05'!$G108&lt;&gt;"", 'P05'!$G108, "non")</f>
        <v>non</v>
      </c>
      <c r="BF112" s="10" t="str">
        <f>IF('P06'!$G108&lt;&gt;"", 'P06'!$G108, "non")</f>
        <v>non</v>
      </c>
      <c r="BG112" s="10" t="str">
        <f>IF('P07'!$G108&lt;&gt;"", 'P07'!$G108, "non")</f>
        <v>non</v>
      </c>
      <c r="BH112" s="10" t="str">
        <f>IF('P08'!$G108&lt;&gt;"", 'P08'!$G108, "non")</f>
        <v>non</v>
      </c>
      <c r="BI112" s="10" t="str">
        <f>IF('P09'!$G108&lt;&gt;"", 'P09'!$G108, "non")</f>
        <v>non</v>
      </c>
      <c r="BJ112" s="10" t="str">
        <f>IF('P10'!$G108&lt;&gt;"", 'P10'!$G108, "non")</f>
        <v>non</v>
      </c>
      <c r="BK112" s="10" t="str">
        <f>IF('P11'!$G108&lt;&gt;"", 'P11'!$G108, "non")</f>
        <v>non</v>
      </c>
      <c r="BL112" s="10" t="str">
        <f>IF('P12'!$G108&lt;&gt;"", 'P12'!$G108, "non")</f>
        <v>non</v>
      </c>
      <c r="BM112" s="10" t="str">
        <f>IF('P13'!$G108&lt;&gt;"", 'P13'!$G108, "non")</f>
        <v>non</v>
      </c>
      <c r="BN112" s="10" t="str">
        <f>IF('P14'!$G108&lt;&gt;"", 'P14'!$G108, "non")</f>
        <v>non</v>
      </c>
      <c r="BO112" s="10" t="str">
        <f>IF('P15'!$G108&lt;&gt;"", 'P15'!$G108, "non")</f>
        <v>non</v>
      </c>
      <c r="BP112" s="10" t="str">
        <f>IF('P16'!$G108&lt;&gt;"", 'P16'!$G108, "non")</f>
        <v>non</v>
      </c>
      <c r="BQ112" s="10" t="str">
        <f>IF('P17'!$G108&lt;&gt;"", 'P17'!$G108, "non")</f>
        <v>non</v>
      </c>
      <c r="BR112" s="10" t="str">
        <f>IF('P18'!$G108&lt;&gt;"", 'P18'!$G108, "non")</f>
        <v>non</v>
      </c>
      <c r="BS112" s="10" t="str">
        <f>IF('P19'!$G108&lt;&gt;"", 'P19'!$G108, "non")</f>
        <v>non</v>
      </c>
      <c r="BT112" s="11" t="str">
        <f>IF('P20'!$G108&lt;&gt;"", 'P20'!$G108, "non")</f>
        <v>non</v>
      </c>
      <c r="BU112" s="10" t="str">
        <f>IF('P21'!$G108&lt;&gt;"", 'P21'!$G108, "non")</f>
        <v>non</v>
      </c>
      <c r="BV112" s="11" t="str">
        <f>IF('P22'!$G108&lt;&gt;"", 'P22'!$G108, "non")</f>
        <v>non</v>
      </c>
      <c r="BW112" s="10" t="str">
        <f>IF('P23'!$G108&lt;&gt;"", 'P23'!$G108, "non")</f>
        <v>non</v>
      </c>
      <c r="BX112" s="11" t="str">
        <f>IF('P24'!$G108&lt;&gt;"", 'P24'!$G108, "non")</f>
        <v>non</v>
      </c>
      <c r="BY112" s="10" t="str">
        <f>IF('P25'!$G108&lt;&gt;"", 'P25'!$G108, "non")</f>
        <v>non</v>
      </c>
      <c r="BZ112" s="11" t="str">
        <f>IF('P26'!$G108&lt;&gt;"", 'P26'!$G108, "non")</f>
        <v>non</v>
      </c>
      <c r="CA112" s="10" t="str">
        <f>IF('P27'!$G108&lt;&gt;"", 'P27'!$G108, "non")</f>
        <v>non</v>
      </c>
      <c r="CB112" s="11" t="str">
        <f>IF('P28'!$G108&lt;&gt;"", 'P28'!$G108, "non")</f>
        <v>non</v>
      </c>
      <c r="CC112" s="10" t="str">
        <f>IF('P29'!$G108&lt;&gt;"", 'P29'!$G108, "non")</f>
        <v>non</v>
      </c>
      <c r="CD112" s="11" t="str">
        <f>IF('P30'!$G108&lt;&gt;"", 'P30'!$G108, "non")</f>
        <v>non</v>
      </c>
      <c r="CE112" s="10" t="str">
        <f>IF('P31'!$G108&lt;&gt;"", 'P31'!$G108, "non")</f>
        <v>non</v>
      </c>
      <c r="CF112" s="11" t="str">
        <f>IF('P32'!$G108&lt;&gt;"", 'P32'!$G108, "non")</f>
        <v>non</v>
      </c>
      <c r="CG112" s="10" t="str">
        <f>IF('P33'!$G108&lt;&gt;"", 'P33'!$G108, "non")</f>
        <v>non</v>
      </c>
      <c r="CH112" s="10" t="str">
        <f>IF('P34'!$G108&lt;&gt;"", 'P34'!$G108, "non")</f>
        <v>non</v>
      </c>
      <c r="CI112" s="11" t="str">
        <f>IF('P35'!$G108&lt;&gt;"", 'P35'!$G108, "non")</f>
        <v>non</v>
      </c>
      <c r="CJ112" s="10" t="str">
        <f>IF('P36'!$G108&lt;&gt;"", 'P36'!$G108, "non")</f>
        <v>non</v>
      </c>
      <c r="CK112" s="11" t="str">
        <f>IF('P37'!$G108&lt;&gt;"", 'P37'!$G108, "non")</f>
        <v>non</v>
      </c>
      <c r="CL112" s="10" t="str">
        <f>IF('P38'!$G108&lt;&gt;"", 'P38'!$G108, "non")</f>
        <v>non</v>
      </c>
      <c r="CM112" s="11" t="str">
        <f>IF('P39'!$G108&lt;&gt;"", 'P39'!$G108, "non")</f>
        <v>non</v>
      </c>
      <c r="CN112" s="10" t="str">
        <f>IF('P40'!$G108&lt;&gt;"", 'P40'!$G108, "non")</f>
        <v>non</v>
      </c>
    </row>
    <row r="113" spans="1:92" ht="39.75" customHeight="1">
      <c r="A113" s="122" t="str">
        <f>'Critères et tests'!B108</f>
        <v>CONSULTATION</v>
      </c>
      <c r="B113" s="125" t="str">
        <f>'Critères et tests'!$A108</f>
        <v>13.12</v>
      </c>
      <c r="C113" s="192" t="str">
        <f>VLOOKUP(B113,'Critères et tests'!$1:$1048576,5,FALSE)</f>
        <v>Dans chaque page web, les fonctionnalités qui impliquent un mouvement de l’appareil ou vers l’appareil peuvent-elles être satisfaites de manière alternative (hors cas particuliers) ?</v>
      </c>
      <c r="D113" s="125" t="str">
        <f>'Critères et tests'!$C108</f>
        <v>A</v>
      </c>
      <c r="E113" s="156" t="s">
        <v>460</v>
      </c>
      <c r="F113" s="118">
        <f>IF('P01'!$E109&gt;"",'P01'!$E109&amp;" "&amp;CHAR(10)&amp;'P01'!$F109,'P01'!$E109)</f>
        <v>0</v>
      </c>
      <c r="G113" s="119">
        <f>IF('P02'!$E109&gt;"",'P02'!$E109&amp;" "&amp;CHAR(10)&amp;'P02'!$F109,'P02'!$E109)</f>
        <v>0</v>
      </c>
      <c r="H113" s="119">
        <f>IF('P03'!$E109&gt;"",'P03'!$E109&amp;" "&amp;CHAR(10)&amp;'P03'!$F109,'P03'!$E109)</f>
        <v>0</v>
      </c>
      <c r="I113" s="119">
        <f>IF('P04'!$E109&gt;"",'P04'!$E109&amp;" "&amp;CHAR(10)&amp;'P04'!$F109,'P04'!$E109)</f>
        <v>0</v>
      </c>
      <c r="J113" s="119">
        <f>IF('P05'!$E109&gt;"",'P05'!$E109&amp;" "&amp;CHAR(10)&amp;'P05'!$F109,'P05'!$E109)</f>
        <v>0</v>
      </c>
      <c r="K113" s="119">
        <f>IF('P06'!$E109&gt;"",'P06'!$E109&amp;" "&amp;CHAR(10)&amp;'P06'!$F109,'P06'!$E109)</f>
        <v>0</v>
      </c>
      <c r="L113" s="119">
        <f>IF('P07'!$E109&gt;"",'P07'!$E109&amp;" "&amp;CHAR(10)&amp;'P07'!$F109,'P07'!$E109)</f>
        <v>0</v>
      </c>
      <c r="M113" s="119">
        <f>IF('P08'!$E109&gt;"",'P08'!$E109&amp;" "&amp;CHAR(10)&amp;'P08'!$F109,'P08'!$E109)</f>
        <v>0</v>
      </c>
      <c r="N113" s="119">
        <f>IF('P09'!$E109&gt;"",'P09'!$E109&amp;" "&amp;CHAR(10)&amp;'P09'!$F109,'P09'!$E109)</f>
        <v>0</v>
      </c>
      <c r="O113" s="119">
        <f>IF('P10'!$E109&gt;"",'P10'!$E109&amp;" "&amp;CHAR(10)&amp;'P10'!$F109,'P10'!$E109)</f>
        <v>0</v>
      </c>
      <c r="P113" s="119">
        <f>IF('P11'!$E109&gt;"",'P11'!$E109&amp;" "&amp;CHAR(10)&amp;'P11'!$F109,'P11'!$E109)</f>
        <v>0</v>
      </c>
      <c r="Q113" s="119">
        <f>IF('P12'!$E109&gt;"",'P12'!$E109&amp;" "&amp;CHAR(10)&amp;'P12'!$F109,'P12'!$E109)</f>
        <v>0</v>
      </c>
      <c r="R113" s="119">
        <f>IF('P13'!$E109&gt;"",'P13'!$E109&amp;" "&amp;CHAR(10)&amp;'P13'!$F109,'P13'!$E109)</f>
        <v>0</v>
      </c>
      <c r="S113" s="119">
        <f>IF('P14'!$E109&gt;"",'P14'!$E109&amp;" "&amp;CHAR(10)&amp;'P14'!$F109,'P14'!$E109)</f>
        <v>0</v>
      </c>
      <c r="T113" s="119">
        <f>IF('P15'!$E109&gt;"",'P15'!$E109&amp;" "&amp;CHAR(10)&amp;'P15'!$F109,'P15'!$E109)</f>
        <v>0</v>
      </c>
      <c r="U113" s="119">
        <f>IF('P16'!$E109&gt;"",'P16'!$E109&amp;" "&amp;CHAR(10)&amp;'P16'!$F109,'P16'!$E109)</f>
        <v>0</v>
      </c>
      <c r="V113" s="119">
        <f>IF('P17'!$E109&gt;"",'P17'!$E109&amp;" "&amp;CHAR(10)&amp;'P17'!$F109,'P17'!$E109)</f>
        <v>0</v>
      </c>
      <c r="W113" s="119">
        <f>IF('P18'!$E109&gt;"",'P18'!$E109&amp;" "&amp;CHAR(10)&amp;'P18'!$F109,'P18'!$E109)</f>
        <v>0</v>
      </c>
      <c r="X113" s="119">
        <f>IF('P19'!$E109&gt;"",'P19'!$E109&amp;" "&amp;CHAR(10)&amp;'P19'!$F109,'P19'!$E109)</f>
        <v>0</v>
      </c>
      <c r="Y113" s="119">
        <f>IF('P20'!$E109&gt;"",'P20'!$E109&amp;" "&amp;CHAR(10)&amp;'P20'!$F109,'P20'!$E109)</f>
        <v>0</v>
      </c>
      <c r="Z113" s="119">
        <f>IF('P21'!$E109&gt;"",'P21'!$E109&amp;" "&amp;CHAR(10)&amp;'P21'!$F109,'P21'!$E109)</f>
        <v>0</v>
      </c>
      <c r="AA113" s="119">
        <f>IF('P22'!$E109&gt;"",'P22'!$E109&amp;" "&amp;CHAR(10)&amp;'P22'!$F109,'P22'!$E109)</f>
        <v>0</v>
      </c>
      <c r="AB113" s="119">
        <f>IF('P23'!$E109&gt;"",'P23'!$E109&amp;" "&amp;CHAR(10)&amp;'P23'!$F109,'P23'!$E109)</f>
        <v>0</v>
      </c>
      <c r="AC113" s="119">
        <f>IF('P24'!$E109&gt;"",'P24'!$E109&amp;" "&amp;CHAR(10)&amp;'P24'!$F109,'P24'!$E109)</f>
        <v>0</v>
      </c>
      <c r="AD113" s="119">
        <f>IF('P25'!$E109&gt;"",'P25'!$E109&amp;" "&amp;CHAR(10)&amp;'P25'!$F109,'P25'!$E109)</f>
        <v>0</v>
      </c>
      <c r="AE113" s="119">
        <f>IF('P26'!$E109&gt;"",'P26'!$E109&amp;" "&amp;CHAR(10)&amp;'P26'!$F109,'P26'!$E109)</f>
        <v>0</v>
      </c>
      <c r="AF113" s="119">
        <f>IF('P27'!$E109&gt;"",'P27'!$E109&amp;" "&amp;CHAR(10)&amp;'P27'!$F109,'P27'!$E109)</f>
        <v>0</v>
      </c>
      <c r="AG113" s="119">
        <f>IF('P28'!$E109&gt;"",'P28'!$E109&amp;" "&amp;CHAR(10)&amp;'P28'!$F109,'P28'!$E109)</f>
        <v>0</v>
      </c>
      <c r="AH113" s="119">
        <f>IF('P29'!$E109&gt;"",'P29'!$E109&amp;" "&amp;CHAR(10)&amp;'P29'!$F109,'P29'!$E109)</f>
        <v>0</v>
      </c>
      <c r="AI113" s="119">
        <f>IF('P30'!$E109&gt;"",'P30'!$E109&amp;" "&amp;CHAR(10)&amp;'P30'!$F109,'P30'!$E109)</f>
        <v>0</v>
      </c>
      <c r="AJ113" s="119">
        <f>IF('P31'!$E109&gt;"",'P31'!$E109&amp;" "&amp;CHAR(10)&amp;'P31'!$F109,'P31'!$E109)</f>
        <v>0</v>
      </c>
      <c r="AK113" s="119">
        <f>IF('P32'!$E109&gt;"",'P32'!$E109&amp;" "&amp;CHAR(10)&amp;'P32'!$F109,'P32'!$E109)</f>
        <v>0</v>
      </c>
      <c r="AL113" s="119">
        <f>IF('P33'!$E109&gt;"",'P33'!$E109&amp;" "&amp;CHAR(10)&amp;'P33'!$F109,'P33'!$E109)</f>
        <v>0</v>
      </c>
      <c r="AM113" s="119">
        <f>IF('P34'!$E109&gt;"",'P34'!$E109&amp;" "&amp;CHAR(10)&amp;'P34'!$F109,'P34'!$E109)</f>
        <v>0</v>
      </c>
      <c r="AN113" s="119">
        <f>IF('P35'!$E109&gt;"",'P35'!$E109&amp;" "&amp;CHAR(10)&amp;'P35'!$F109,'P35'!$E109)</f>
        <v>0</v>
      </c>
      <c r="AO113" s="119">
        <f>IF('P36'!$E109&gt;"",'P36'!$E109&amp;" "&amp;CHAR(10)&amp;'P36'!$F109,'P36'!$E109)</f>
        <v>0</v>
      </c>
      <c r="AP113" s="119">
        <f>IF('P37'!$E109&gt;"",'P37'!$E109&amp;" "&amp;CHAR(10)&amp;'P37'!$F109,'P37'!$E109)</f>
        <v>0</v>
      </c>
      <c r="AQ113" s="119">
        <f>IF('P38'!$E109&gt;"",'P38'!$E109&amp;" "&amp;CHAR(10)&amp;'P38'!$F109,'P38'!$E109)</f>
        <v>0</v>
      </c>
      <c r="AR113" s="119">
        <f>IF('P39'!$E109&gt;"",'P39'!$E109&amp;" "&amp;CHAR(10)&amp;'P39'!$F109,'P39'!$E109)</f>
        <v>0</v>
      </c>
      <c r="AS113" s="119">
        <f>IF('P40'!$E109&gt;"",'P40'!$E109&amp;" "&amp;CHAR(10)&amp;'P40'!$F109,'P40'!$E109)</f>
        <v>0</v>
      </c>
      <c r="AT113" s="55">
        <f t="shared" si="9"/>
        <v>0</v>
      </c>
      <c r="AU113" s="9">
        <f t="shared" si="10"/>
        <v>0</v>
      </c>
      <c r="AV113" s="55">
        <f t="shared" si="11"/>
        <v>0</v>
      </c>
      <c r="AW113" s="38" t="str">
        <f t="shared" si="12"/>
        <v>NT</v>
      </c>
      <c r="AX113" s="12"/>
      <c r="AY113" s="10"/>
      <c r="AZ113" s="10"/>
      <c r="BA113" s="10" t="str">
        <f>IF('P01'!$G109&lt;&gt;"", 'P01'!$G109, "non")</f>
        <v>non</v>
      </c>
      <c r="BB113" s="10" t="str">
        <f>IF('P02'!$G109&lt;&gt;"", 'P02'!$G109, "non")</f>
        <v>non</v>
      </c>
      <c r="BC113" s="10" t="str">
        <f>IF('P03'!$G109&lt;&gt;"", 'P03'!$G109, "non")</f>
        <v>non</v>
      </c>
      <c r="BD113" s="10" t="str">
        <f>IF('P04'!$G109&lt;&gt;"", 'P04'!$G109, "non")</f>
        <v>non</v>
      </c>
      <c r="BE113" s="10" t="str">
        <f>IF('P05'!$G109&lt;&gt;"", 'P05'!$G109, "non")</f>
        <v>non</v>
      </c>
      <c r="BF113" s="10" t="str">
        <f>IF('P06'!$G109&lt;&gt;"", 'P06'!$G109, "non")</f>
        <v>non</v>
      </c>
      <c r="BG113" s="10" t="str">
        <f>IF('P07'!$G109&lt;&gt;"", 'P07'!$G109, "non")</f>
        <v>non</v>
      </c>
      <c r="BH113" s="10" t="str">
        <f>IF('P08'!$G109&lt;&gt;"", 'P08'!$G109, "non")</f>
        <v>non</v>
      </c>
      <c r="BI113" s="10" t="str">
        <f>IF('P09'!$G109&lt;&gt;"", 'P09'!$G109, "non")</f>
        <v>non</v>
      </c>
      <c r="BJ113" s="10" t="str">
        <f>IF('P10'!$G109&lt;&gt;"", 'P10'!$G109, "non")</f>
        <v>non</v>
      </c>
      <c r="BK113" s="10" t="str">
        <f>IF('P11'!$G109&lt;&gt;"", 'P11'!$G109, "non")</f>
        <v>non</v>
      </c>
      <c r="BL113" s="10" t="str">
        <f>IF('P12'!$G109&lt;&gt;"", 'P12'!$G109, "non")</f>
        <v>non</v>
      </c>
      <c r="BM113" s="10" t="str">
        <f>IF('P13'!$G109&lt;&gt;"", 'P13'!$G109, "non")</f>
        <v>non</v>
      </c>
      <c r="BN113" s="10" t="str">
        <f>IF('P14'!$G109&lt;&gt;"", 'P14'!$G109, "non")</f>
        <v>non</v>
      </c>
      <c r="BO113" s="10" t="str">
        <f>IF('P15'!$G109&lt;&gt;"", 'P15'!$G109, "non")</f>
        <v>non</v>
      </c>
      <c r="BP113" s="10" t="str">
        <f>IF('P16'!$G109&lt;&gt;"", 'P16'!$G109, "non")</f>
        <v>non</v>
      </c>
      <c r="BQ113" s="10" t="str">
        <f>IF('P17'!$G109&lt;&gt;"", 'P17'!$G109, "non")</f>
        <v>non</v>
      </c>
      <c r="BR113" s="10" t="str">
        <f>IF('P18'!$G109&lt;&gt;"", 'P18'!$G109, "non")</f>
        <v>non</v>
      </c>
      <c r="BS113" s="10" t="str">
        <f>IF('P19'!$G109&lt;&gt;"", 'P19'!$G109, "non")</f>
        <v>non</v>
      </c>
      <c r="BT113" s="11" t="str">
        <f>IF('P20'!$G109&lt;&gt;"", 'P20'!$G109, "non")</f>
        <v>non</v>
      </c>
      <c r="BU113" s="10" t="str">
        <f>IF('P21'!$G109&lt;&gt;"", 'P21'!$G109, "non")</f>
        <v>non</v>
      </c>
      <c r="BV113" s="11" t="str">
        <f>IF('P22'!$G109&lt;&gt;"", 'P22'!$G109, "non")</f>
        <v>non</v>
      </c>
      <c r="BW113" s="10" t="str">
        <f>IF('P23'!$G109&lt;&gt;"", 'P23'!$G109, "non")</f>
        <v>non</v>
      </c>
      <c r="BX113" s="11" t="str">
        <f>IF('P24'!$G109&lt;&gt;"", 'P24'!$G109, "non")</f>
        <v>non</v>
      </c>
      <c r="BY113" s="10" t="str">
        <f>IF('P25'!$G109&lt;&gt;"", 'P25'!$G109, "non")</f>
        <v>non</v>
      </c>
      <c r="BZ113" s="11" t="str">
        <f>IF('P26'!$G109&lt;&gt;"", 'P26'!$G109, "non")</f>
        <v>non</v>
      </c>
      <c r="CA113" s="10" t="str">
        <f>IF('P27'!$G109&lt;&gt;"", 'P27'!$G109, "non")</f>
        <v>non</v>
      </c>
      <c r="CB113" s="11" t="str">
        <f>IF('P28'!$G109&lt;&gt;"", 'P28'!$G109, "non")</f>
        <v>non</v>
      </c>
      <c r="CC113" s="10" t="str">
        <f>IF('P29'!$G109&lt;&gt;"", 'P29'!$G109, "non")</f>
        <v>non</v>
      </c>
      <c r="CD113" s="11" t="str">
        <f>IF('P30'!$G109&lt;&gt;"", 'P30'!$G109, "non")</f>
        <v>non</v>
      </c>
      <c r="CE113" s="10" t="str">
        <f>IF('P31'!$G109&lt;&gt;"", 'P31'!$G109, "non")</f>
        <v>non</v>
      </c>
      <c r="CF113" s="11" t="str">
        <f>IF('P32'!$G109&lt;&gt;"", 'P32'!$G109, "non")</f>
        <v>non</v>
      </c>
      <c r="CG113" s="10" t="str">
        <f>IF('P33'!$G109&lt;&gt;"", 'P33'!$G109, "non")</f>
        <v>non</v>
      </c>
      <c r="CH113" s="10" t="str">
        <f>IF('P34'!$G109&lt;&gt;"", 'P34'!$G109, "non")</f>
        <v>non</v>
      </c>
      <c r="CI113" s="11" t="str">
        <f>IF('P35'!$G109&lt;&gt;"", 'P35'!$G109, "non")</f>
        <v>non</v>
      </c>
      <c r="CJ113" s="10" t="str">
        <f>IF('P36'!$G109&lt;&gt;"", 'P36'!$G109, "non")</f>
        <v>non</v>
      </c>
      <c r="CK113" s="11" t="str">
        <f>IF('P37'!$G109&lt;&gt;"", 'P37'!$G109, "non")</f>
        <v>non</v>
      </c>
      <c r="CL113" s="10" t="str">
        <f>IF('P38'!$G109&lt;&gt;"", 'P38'!$G109, "non")</f>
        <v>non</v>
      </c>
      <c r="CM113" s="11" t="str">
        <f>IF('P39'!$G109&lt;&gt;"", 'P39'!$G109, "non")</f>
        <v>non</v>
      </c>
      <c r="CN113" s="10" t="str">
        <f>IF('P40'!$G109&lt;&gt;"", 'P40'!$G109, "non")</f>
        <v>non</v>
      </c>
    </row>
  </sheetData>
  <autoFilter ref="A7:CN7" xr:uid="{A90D3532-8B61-4704-BA42-F290C403E95A}"/>
  <mergeCells count="9">
    <mergeCell ref="A6:D6"/>
    <mergeCell ref="AT6:AV6"/>
    <mergeCell ref="BA2:CN2"/>
    <mergeCell ref="AT3:AV3"/>
    <mergeCell ref="AT4:AV4"/>
    <mergeCell ref="AT5:AV5"/>
    <mergeCell ref="A3:D5"/>
    <mergeCell ref="F2:AS2"/>
    <mergeCell ref="AT2:AW2"/>
  </mergeCells>
  <phoneticPr fontId="1" type="noConversion"/>
  <hyperlinks>
    <hyperlink ref="F7" location="'P01'!A1" display="P01" xr:uid="{99D63292-1802-487A-A664-C473B5299CA9}"/>
    <hyperlink ref="G7" location="'P02'!A1" display="P02" xr:uid="{9D6287B6-AA40-4BE8-8A73-48D07E4013A2}"/>
    <hyperlink ref="H7" location="'P03'!A1" display="P03" xr:uid="{41A0D324-E93C-49F1-93EE-E555BCFF6C26}"/>
    <hyperlink ref="I7" location="'P04'!A1" display="P04" xr:uid="{140E598B-CD0D-4E91-9E90-B24ECCAD850C}"/>
    <hyperlink ref="J7" location="'P05'!A1" display="P05" xr:uid="{7CB69A38-92D0-4F53-8CEA-BA6CB1A7A09D}"/>
    <hyperlink ref="K7" location="'P06'!A1" display="P06" xr:uid="{BB2FA087-EEC3-4950-9E56-A5B7132AED3A}"/>
    <hyperlink ref="L7" location="'P07'!A1" display="P07" xr:uid="{A39B67CF-621D-4B97-AFD8-AA1709073998}"/>
    <hyperlink ref="M7" location="'P08'!A1" display="P08" xr:uid="{88E1FEB3-CDC3-4BF4-A238-48FD7519F8BE}"/>
    <hyperlink ref="N7" location="'P09'!A1" display="P09" xr:uid="{9FD3FA9A-BBAD-44AC-ADB1-7C2F2B28AF1F}"/>
    <hyperlink ref="O7" location="'P10'!A1" display="P10" xr:uid="{425ED544-7670-40E7-8EF0-FA28F24AE287}"/>
    <hyperlink ref="P7" location="'P11'!A1" display="P11" xr:uid="{5DAAAAF6-387B-4125-B44C-9D88D56E94BC}"/>
    <hyperlink ref="Q7" location="'P12'!A1" display="P12" xr:uid="{06554C3C-42BB-4E02-81ED-922002FE96B4}"/>
    <hyperlink ref="R7" location="'P13'!A1" display="P13" xr:uid="{E41F69E0-062B-4C74-A686-460C38FC36DD}"/>
    <hyperlink ref="S7" location="'P14'!A1" display="P14" xr:uid="{388ED48B-8DBF-4E9D-867E-2A0632799BBC}"/>
    <hyperlink ref="T7" location="'P15'!A1" display="P15" xr:uid="{C7D021A1-33E3-4762-97FE-2964ED228D47}"/>
    <hyperlink ref="U7" location="'P16'!A1" display="P16" xr:uid="{A4C348A7-87EB-487A-8AF5-01AC99F6A440}"/>
    <hyperlink ref="V7" location="'P17'!A1" display="P17" xr:uid="{9E781806-42F0-4734-ACCA-A41C8A19C4A8}"/>
    <hyperlink ref="W7" location="'P18'!A1" display="P18" xr:uid="{F4FC1BF7-EE15-408F-AD35-F9649E4947FD}"/>
    <hyperlink ref="X7" location="'P19'!A1" display="P19" xr:uid="{19F42275-AF05-40DC-932C-E4A2862CEF04}"/>
    <hyperlink ref="Y7" location="'P20'!A1" display="P20" xr:uid="{755EA9EB-843C-4B68-AC6F-39DB588C6E1C}"/>
    <hyperlink ref="BB7" location="'P02'!A1" display="P02" xr:uid="{5D4E8BB5-55CB-4485-9CBF-1C7EC9A86911}"/>
    <hyperlink ref="BC7" location="'P03'!A1" display="P03" xr:uid="{2FD3F991-BCB8-43BA-84AA-7775114DBE16}"/>
    <hyperlink ref="BD7" location="'P04'!A1" display="P04" xr:uid="{619EBA1F-E12F-46DF-9B92-9E2B247145D6}"/>
    <hyperlink ref="BE7" location="'P05'!A1" display="P05" xr:uid="{80AEF734-120D-4946-A004-C92233678DFC}"/>
    <hyperlink ref="BF7" location="'P06'!A1" display="P06" xr:uid="{F50C1F2E-D9F0-4B91-AD03-168D89BF2EB7}"/>
    <hyperlink ref="BG7" location="'P07'!A1" display="P07" xr:uid="{0ED10EEC-796C-4EF7-B9FD-B303A9C415DE}"/>
    <hyperlink ref="BH7" location="'P08'!A1" display="P08" xr:uid="{6C647087-638E-43D6-9AEE-81D71343B83D}"/>
    <hyperlink ref="BI7" location="'P09'!A1" display="P09" xr:uid="{FE619ABA-B4D8-40F0-940E-F7AFA4CBF952}"/>
    <hyperlink ref="BJ7" location="'P10'!A1" display="P10" xr:uid="{74A81746-5C22-4F86-AC49-A69F083534D6}"/>
    <hyperlink ref="BK7" location="'P11'!A1" display="P11" xr:uid="{6FF9773F-D555-4081-A50A-42B2214199CC}"/>
    <hyperlink ref="BL7" location="'P12'!A1" display="P12" xr:uid="{8003012C-F8C0-42A5-AE5F-B240A254D753}"/>
    <hyperlink ref="BM7" location="'P13'!A1" display="P13" xr:uid="{A44D603B-7CE9-4A65-AEFC-292FC3BE790B}"/>
    <hyperlink ref="BN7" location="'P14'!A1" display="P14" xr:uid="{2051C586-1886-4660-864F-87915CE6E5BC}"/>
    <hyperlink ref="BO7" location="'P15'!A1" display="P15" xr:uid="{2B2B9CA9-C0F3-4614-9764-10C9D484DA11}"/>
    <hyperlink ref="BP7" location="'P16'!A1" display="P16" xr:uid="{4F02C4CF-AF24-4AEF-9B39-12AD52B487BC}"/>
    <hyperlink ref="BQ7" location="'P17'!A1" display="P17" xr:uid="{8DD593BB-BADA-4089-A804-A779687ABFB9}"/>
    <hyperlink ref="BR7" location="'P18'!A1" display="P18" xr:uid="{7CF34407-20E4-489D-9EB5-42044E98448B}"/>
    <hyperlink ref="BS7" location="'P19'!A1" display="P19" xr:uid="{050AD6B6-3372-4998-8F86-5C550CC3E327}"/>
    <hyperlink ref="BT7" location="'P20'!A1" display="P20" xr:uid="{EE5B2BA0-40E8-4A2E-A58D-964B1757C6BF}"/>
    <hyperlink ref="BU7:CG7" location="'P20'!A1" display="P20" xr:uid="{2BC2E8EB-155A-450C-A57A-9EC8F36639AF}"/>
    <hyperlink ref="CH7:CN7" location="'P20'!A1" display="P20" xr:uid="{5B89B0C5-07EA-40DC-8370-2DB24F1E68D5}"/>
    <hyperlink ref="BA7" location="'P01'!A1" display="P01" xr:uid="{96B99A84-B0CD-471A-AC97-0DDBBCC4A97D}"/>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76A38-0255-463D-9950-A77B15E0FD81}">
  <sheetPr codeName="Feuil1"/>
  <dimension ref="A1:L109"/>
  <sheetViews>
    <sheetView zoomScale="55" zoomScaleNormal="55" workbookViewId="0">
      <selection activeCell="D46" sqref="D46"/>
    </sheetView>
  </sheetViews>
  <sheetFormatPr baseColWidth="10" defaultColWidth="11.42578125" defaultRowHeight="30" customHeight="1"/>
  <cols>
    <col min="1" max="1" width="23.7109375" style="3" customWidth="1"/>
    <col min="2" max="2" width="5.85546875" style="3" customWidth="1"/>
    <col min="3" max="3" width="6.5703125" style="3" customWidth="1"/>
    <col min="4" max="4" width="75.140625" style="3" customWidth="1"/>
    <col min="5" max="5" width="11.42578125" style="3" customWidth="1"/>
    <col min="6" max="6" width="0.5703125" style="3" hidden="1" customWidth="1"/>
    <col min="7" max="7" width="12.42578125" style="3" customWidth="1"/>
    <col min="8" max="8" width="81.85546875" style="131" customWidth="1"/>
    <col min="9" max="9" width="46.42578125" style="3" customWidth="1"/>
    <col min="10" max="10" width="29" style="3" customWidth="1"/>
    <col min="11" max="11" width="30.7109375" style="3" customWidth="1"/>
    <col min="12" max="16384" width="11.42578125" style="3"/>
  </cols>
  <sheetData>
    <row r="1" spans="1:12" ht="40.5" customHeight="1">
      <c r="A1" s="117" t="str">
        <f>Échantillon!$A$1</f>
        <v>Capgemini ♠</v>
      </c>
      <c r="B1" s="93" t="s">
        <v>437</v>
      </c>
      <c r="C1" s="150"/>
      <c r="D1" s="93"/>
      <c r="E1" s="37"/>
      <c r="F1" s="37"/>
      <c r="G1" s="37"/>
      <c r="H1" s="59"/>
      <c r="I1" s="37"/>
      <c r="J1" s="37"/>
      <c r="K1" s="37"/>
    </row>
    <row r="2" spans="1:12" ht="30" customHeight="1">
      <c r="A2" s="98" t="s">
        <v>455</v>
      </c>
      <c r="B2" s="248">
        <f>Échantillon!B10</f>
        <v>0</v>
      </c>
      <c r="C2" s="249"/>
      <c r="D2" s="250"/>
      <c r="E2" s="148"/>
      <c r="F2" s="148"/>
      <c r="G2" s="98"/>
      <c r="H2" s="98"/>
      <c r="I2" s="146"/>
      <c r="J2" s="146"/>
      <c r="K2" s="146"/>
    </row>
    <row r="3" spans="1:12" ht="77.25" customHeight="1">
      <c r="A3" s="51" t="str">
        <f>'Critères et tests'!B2</f>
        <v>Thématique</v>
      </c>
      <c r="B3" s="17" t="str">
        <f>'Critères et tests'!$A2</f>
        <v>n°critères</v>
      </c>
      <c r="C3" s="17" t="str">
        <f>'Critères et tests'!$C2</f>
        <v>Niveau WCAG</v>
      </c>
      <c r="D3" s="18" t="str">
        <f>'Critères et tests'!$E2</f>
        <v>Intitulé des critères</v>
      </c>
      <c r="E3" s="24" t="s">
        <v>440</v>
      </c>
      <c r="F3" s="24"/>
      <c r="G3" s="24" t="s">
        <v>442</v>
      </c>
      <c r="H3" s="30" t="s">
        <v>454</v>
      </c>
      <c r="I3" s="30" t="str">
        <f>'Critères et tests'!$H2</f>
        <v>Planification des correctifs</v>
      </c>
      <c r="J3" s="18" t="s">
        <v>443</v>
      </c>
      <c r="K3" s="151" t="s">
        <v>444</v>
      </c>
    </row>
    <row r="4" spans="1:12" ht="63.75" customHeight="1">
      <c r="A4" s="51" t="str">
        <f>'Critères et tests'!B3</f>
        <v>IMAGES</v>
      </c>
      <c r="B4" s="28" t="str">
        <f>'Critères et tests'!$A3</f>
        <v>1.1</v>
      </c>
      <c r="C4" s="28" t="str">
        <f>'Critères et tests'!$C3</f>
        <v>A</v>
      </c>
      <c r="D4" s="32" t="str">
        <f>'Critères et tests'!$E3</f>
        <v>Chaque image porteuse d’information a-t-elle une alternative textuelle ?</v>
      </c>
      <c r="E4" s="149"/>
      <c r="F4" s="149"/>
      <c r="G4" s="145"/>
      <c r="H4" s="47"/>
      <c r="I4" s="32" t="str">
        <f>'Critères et tests'!$H3</f>
        <v>Principale</v>
      </c>
      <c r="J4" s="29"/>
      <c r="K4" s="29"/>
      <c r="L4" s="157"/>
    </row>
    <row r="5" spans="1:12" ht="61.5" customHeight="1">
      <c r="A5" s="51" t="str">
        <f>'Critères et tests'!B4</f>
        <v>IMAGES</v>
      </c>
      <c r="B5" s="28" t="str">
        <f>'Critères et tests'!$A4</f>
        <v>1.2</v>
      </c>
      <c r="C5" s="28" t="str">
        <f>'Critères et tests'!$C4</f>
        <v>A</v>
      </c>
      <c r="D5" s="32" t="str">
        <f>'Critères et tests'!$E4</f>
        <v>Chaque image de décoration est-elle correctement ignorée par les technologies d’assistance ?</v>
      </c>
      <c r="E5" s="149"/>
      <c r="F5" s="149"/>
      <c r="G5" s="145"/>
      <c r="H5" s="47"/>
      <c r="I5" s="32" t="str">
        <f>'Critères et tests'!$H4</f>
        <v>Faible à important</v>
      </c>
      <c r="J5" s="29"/>
      <c r="K5" s="29"/>
      <c r="L5" s="157"/>
    </row>
    <row r="6" spans="1:12" ht="85.5" customHeight="1">
      <c r="A6" s="51" t="str">
        <f>'Critères et tests'!B5</f>
        <v>IMAGES</v>
      </c>
      <c r="B6" s="28" t="str">
        <f>'Critères et tests'!$A5</f>
        <v>1.3</v>
      </c>
      <c r="C6" s="28" t="str">
        <f>'Critères et tests'!$C5</f>
        <v>A</v>
      </c>
      <c r="D6" s="32" t="str">
        <f>'Critères et tests'!$E5</f>
        <v>Pour chaque image porteuse d'information ayant une alternative textuelle, cette alternative est-elle pertinente (hors cas particuliers) ?</v>
      </c>
      <c r="E6" s="149"/>
      <c r="F6" s="149"/>
      <c r="G6" s="145"/>
      <c r="H6" s="47"/>
      <c r="I6" s="32" t="str">
        <f>'Critères et tests'!$H5</f>
        <v>Principale</v>
      </c>
      <c r="J6" s="29"/>
      <c r="K6" s="29"/>
      <c r="L6" s="157"/>
    </row>
    <row r="7" spans="1:12" ht="77.25" customHeight="1">
      <c r="A7" s="51" t="str">
        <f>'Critères et tests'!B6</f>
        <v>IMAGES</v>
      </c>
      <c r="B7" s="28"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9"/>
      <c r="F7" s="149"/>
      <c r="G7" s="145"/>
      <c r="H7" s="47"/>
      <c r="I7" s="32" t="str">
        <f>'Critères et tests'!$H6</f>
        <v>Principale</v>
      </c>
      <c r="J7" s="29"/>
      <c r="K7" s="29"/>
      <c r="L7" s="157"/>
    </row>
    <row r="8" spans="1:12" ht="62.25" customHeight="1">
      <c r="A8" s="51" t="str">
        <f>'Critères et tests'!B7</f>
        <v>IMAGES</v>
      </c>
      <c r="B8" s="28" t="str">
        <f>'Critères et tests'!$A7</f>
        <v>1.5</v>
      </c>
      <c r="C8" s="28" t="str">
        <f>'Critères et tests'!$C7</f>
        <v>A</v>
      </c>
      <c r="D8" s="32" t="str">
        <f>'Critères et tests'!$E7</f>
        <v>Pour chaque image utilisée comme CAPTCHA, une solution d’accès alternatif au contenu ou à la fonction du CAPTCHA est-elle présente ?</v>
      </c>
      <c r="E8" s="149"/>
      <c r="F8" s="149"/>
      <c r="G8" s="145"/>
      <c r="H8" s="47"/>
      <c r="I8" s="32" t="str">
        <f>'Critères et tests'!$H7</f>
        <v>Principale</v>
      </c>
      <c r="J8" s="29"/>
      <c r="K8" s="29"/>
      <c r="L8" s="157"/>
    </row>
    <row r="9" spans="1:12" ht="62.25" customHeight="1">
      <c r="A9" s="51" t="str">
        <f>'Critères et tests'!B8</f>
        <v>IMAGES</v>
      </c>
      <c r="B9" s="28" t="str">
        <f>'Critères et tests'!$A8</f>
        <v>1.6</v>
      </c>
      <c r="C9" s="28" t="str">
        <f>'Critères et tests'!$C8</f>
        <v>A</v>
      </c>
      <c r="D9" s="32" t="str">
        <f>'Critères et tests'!$E8</f>
        <v>Chaque image porteuse d’information a-t-elle, si nécessaire, une description détaillée ?</v>
      </c>
      <c r="E9" s="149"/>
      <c r="F9" s="149"/>
      <c r="G9" s="145"/>
      <c r="H9" s="47"/>
      <c r="I9" s="32" t="str">
        <f>'Critères et tests'!$H8</f>
        <v>Principale</v>
      </c>
      <c r="J9" s="29"/>
      <c r="K9" s="29"/>
      <c r="L9" s="157"/>
    </row>
    <row r="10" spans="1:12" ht="62.25" customHeight="1">
      <c r="A10" s="51" t="str">
        <f>'Critères et tests'!B9</f>
        <v>IMAGES</v>
      </c>
      <c r="B10" s="28" t="str">
        <f>'Critères et tests'!$A9</f>
        <v>1.7</v>
      </c>
      <c r="C10" s="28" t="str">
        <f>'Critères et tests'!$C9</f>
        <v>A</v>
      </c>
      <c r="D10" s="32" t="str">
        <f>'Critères et tests'!$E9</f>
        <v>Pour chaque image porteuse d’information ayant une description détaillée, cette description est-elle pertinente ?</v>
      </c>
      <c r="E10" s="149"/>
      <c r="F10" s="149"/>
      <c r="G10" s="145"/>
      <c r="H10" s="47"/>
      <c r="I10" s="32" t="str">
        <f>'Critères et tests'!$H9</f>
        <v>Principale</v>
      </c>
      <c r="J10" s="29"/>
      <c r="K10" s="29"/>
      <c r="L10" s="157"/>
    </row>
    <row r="11" spans="1:12" ht="62.25" customHeight="1">
      <c r="A11" s="51" t="str">
        <f>'Critères et tests'!B10</f>
        <v>IMAGES</v>
      </c>
      <c r="B11" s="28"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9"/>
      <c r="F11" s="149"/>
      <c r="G11" s="145"/>
      <c r="H11" s="47"/>
      <c r="I11" s="32" t="str">
        <f>'Critères et tests'!$H10</f>
        <v>Moyen à important</v>
      </c>
      <c r="J11" s="29"/>
      <c r="K11" s="29"/>
      <c r="L11" s="157"/>
    </row>
    <row r="12" spans="1:12" ht="62.25" customHeight="1">
      <c r="A12" s="51" t="str">
        <f>'Critères et tests'!B11</f>
        <v>IMAGES</v>
      </c>
      <c r="B12" s="28" t="str">
        <f>'Critères et tests'!$A11</f>
        <v>1.9</v>
      </c>
      <c r="C12" s="28" t="str">
        <f>'Critères et tests'!$C11</f>
        <v>A</v>
      </c>
      <c r="D12" s="32" t="str">
        <f>'Critères et tests'!$E11</f>
        <v>Chaque légende d’image est-elle, si nécessaire, correctement reliée à l’image correspondante ?</v>
      </c>
      <c r="E12" s="149"/>
      <c r="F12" s="149"/>
      <c r="G12" s="145"/>
      <c r="H12" s="47"/>
      <c r="I12" s="32" t="str">
        <f>'Critères et tests'!$H11</f>
        <v>Important à principale</v>
      </c>
      <c r="J12" s="29"/>
      <c r="K12" s="29"/>
      <c r="L12" s="157"/>
    </row>
    <row r="13" spans="1:12" ht="62.25" customHeight="1">
      <c r="A13" s="51" t="str">
        <f>'Critères et tests'!B12</f>
        <v>CADRE</v>
      </c>
      <c r="B13" s="28" t="str">
        <f>'Critères et tests'!$A12</f>
        <v>2.1</v>
      </c>
      <c r="C13" s="28" t="str">
        <f>'Critères et tests'!$C12</f>
        <v>A</v>
      </c>
      <c r="D13" s="32" t="str">
        <f>'Critères et tests'!$E12</f>
        <v>Chaque cadre a-t-il un titre de cadre ?</v>
      </c>
      <c r="E13" s="149"/>
      <c r="F13" s="149"/>
      <c r="G13" s="145"/>
      <c r="H13" s="47"/>
      <c r="I13" s="32" t="str">
        <f>'Critères et tests'!$H12</f>
        <v>Important à principale</v>
      </c>
      <c r="J13" s="29"/>
      <c r="K13" s="29"/>
      <c r="L13" s="157"/>
    </row>
    <row r="14" spans="1:12" ht="49.5" customHeight="1">
      <c r="A14" s="51" t="str">
        <f>'Critères et tests'!B13</f>
        <v>CADRE</v>
      </c>
      <c r="B14" s="28" t="str">
        <f>'Critères et tests'!$A13</f>
        <v>2.2</v>
      </c>
      <c r="C14" s="28" t="str">
        <f>'Critères et tests'!$C13</f>
        <v>A</v>
      </c>
      <c r="D14" s="32" t="str">
        <f>'Critères et tests'!$E13</f>
        <v>Pour chaque cadre ayant un titre de cadre, ce titre de cadre est-il pertinent ?</v>
      </c>
      <c r="E14" s="149"/>
      <c r="F14" s="149"/>
      <c r="G14" s="145"/>
      <c r="H14" s="47"/>
      <c r="I14" s="32" t="str">
        <f>'Critères et tests'!$H13</f>
        <v>Faible à important</v>
      </c>
      <c r="J14" s="29"/>
      <c r="K14" s="29"/>
      <c r="L14" s="157"/>
    </row>
    <row r="15" spans="1:12" ht="62.25" customHeight="1">
      <c r="A15" s="51" t="str">
        <f>'Critères et tests'!B14</f>
        <v>COULEURS</v>
      </c>
      <c r="B15" s="28" t="str">
        <f>'Critères et tests'!$A14</f>
        <v>3.1</v>
      </c>
      <c r="C15" s="28" t="str">
        <f>'Critères et tests'!$C14</f>
        <v>A</v>
      </c>
      <c r="D15" s="32" t="str">
        <f>'Critères et tests'!$E14</f>
        <v>Dans chaque page web, l’information ne doit pas être donnée uniquement par la couleur. Cette règle est-elle respectée ?</v>
      </c>
      <c r="E15" s="149"/>
      <c r="F15" s="149"/>
      <c r="G15" s="145"/>
      <c r="H15" s="47"/>
      <c r="I15" s="32" t="str">
        <f>'Critères et tests'!$H14</f>
        <v>Faible à important</v>
      </c>
      <c r="J15" s="29"/>
      <c r="K15" s="29"/>
      <c r="L15" s="157"/>
    </row>
    <row r="16" spans="1:12" ht="62.25" customHeight="1">
      <c r="A16" s="51" t="str">
        <f>'Critères et tests'!B15</f>
        <v>COULEURS</v>
      </c>
      <c r="B16" s="28"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9"/>
      <c r="F16" s="149"/>
      <c r="G16" s="145"/>
      <c r="H16" s="47"/>
      <c r="I16" s="32" t="str">
        <f>'Critères et tests'!$H15</f>
        <v>Important à principale</v>
      </c>
      <c r="J16" s="29"/>
      <c r="K16" s="29"/>
      <c r="L16" s="157"/>
    </row>
    <row r="17" spans="1:12" ht="62.25" customHeight="1">
      <c r="A17" s="51" t="str">
        <f>'Critères et tests'!B16</f>
        <v>COULEURS</v>
      </c>
      <c r="B17" s="28"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9"/>
      <c r="F17" s="149"/>
      <c r="G17" s="145"/>
      <c r="H17" s="47"/>
      <c r="I17" s="32" t="str">
        <f>'Critères et tests'!$H16</f>
        <v>Important à principale</v>
      </c>
      <c r="J17" s="29"/>
      <c r="K17" s="29"/>
      <c r="L17" s="157"/>
    </row>
    <row r="18" spans="1:12" ht="62.25" customHeight="1">
      <c r="A18" s="51" t="str">
        <f>'Critères et tests'!B17</f>
        <v>MULTIMÉDIA</v>
      </c>
      <c r="B18" s="28" t="str">
        <f>'Critères et tests'!$A17</f>
        <v>4.1</v>
      </c>
      <c r="C18" s="28" t="str">
        <f>'Critères et tests'!$C17</f>
        <v>A</v>
      </c>
      <c r="D18" s="32" t="str">
        <f>'Critères et tests'!$E17</f>
        <v>Chaque média temporel préenregistré a-t-il, si nécessaire, une transcription textuelle ou une audiodescription (hors cas particuliers) ?</v>
      </c>
      <c r="E18" s="149"/>
      <c r="F18" s="149"/>
      <c r="G18" s="145"/>
      <c r="H18" s="47"/>
      <c r="I18" s="32" t="str">
        <f>'Critères et tests'!$H17</f>
        <v>Important à principale</v>
      </c>
      <c r="J18" s="29"/>
      <c r="K18" s="29"/>
      <c r="L18" s="157"/>
    </row>
    <row r="19" spans="1:12" ht="62.25" customHeight="1">
      <c r="A19" s="51" t="str">
        <f>'Critères et tests'!B18</f>
        <v>MULTIMÉDIA</v>
      </c>
      <c r="B19" s="28"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9"/>
      <c r="F19" s="149"/>
      <c r="G19" s="145"/>
      <c r="H19" s="47"/>
      <c r="I19" s="32" t="str">
        <f>'Critères et tests'!$H18</f>
        <v>Important à principale</v>
      </c>
      <c r="J19" s="29"/>
      <c r="K19" s="29"/>
      <c r="L19" s="157"/>
    </row>
    <row r="20" spans="1:12" ht="62.25" customHeight="1">
      <c r="A20" s="51" t="str">
        <f>'Critères et tests'!B19</f>
        <v>MULTIMÉDIA</v>
      </c>
      <c r="B20" s="28" t="str">
        <f>'Critères et tests'!$A19</f>
        <v>4.3</v>
      </c>
      <c r="C20" s="28" t="str">
        <f>'Critères et tests'!$C19</f>
        <v>A</v>
      </c>
      <c r="D20" s="32" t="str">
        <f>'Critères et tests'!$E19</f>
        <v>Chaque média temporel synchronisé préenregistré a-t-il, si nécessaire, des sous-titres synchronisés (hors cas particuliers) ?</v>
      </c>
      <c r="E20" s="149"/>
      <c r="F20" s="149"/>
      <c r="G20" s="145"/>
      <c r="H20" s="47"/>
      <c r="I20" s="32" t="str">
        <f>'Critères et tests'!$H19</f>
        <v>Principale</v>
      </c>
      <c r="J20" s="29"/>
      <c r="K20" s="29"/>
      <c r="L20" s="157"/>
    </row>
    <row r="21" spans="1:12" ht="62.25" customHeight="1">
      <c r="A21" s="51" t="str">
        <f>'Critères et tests'!B20</f>
        <v>MULTIMÉDIA</v>
      </c>
      <c r="B21" s="28" t="str">
        <f>'Critères et tests'!$A20</f>
        <v>4.4</v>
      </c>
      <c r="C21" s="28" t="str">
        <f>'Critères et tests'!$C20</f>
        <v>A</v>
      </c>
      <c r="D21" s="32" t="str">
        <f>'Critères et tests'!$E20</f>
        <v>Pour chaque média temporel synchronisé préenregistré ayant des sous-titres synchronisés, ces sous-titres sont-ils pertinents ?</v>
      </c>
      <c r="E21" s="149"/>
      <c r="F21" s="149"/>
      <c r="G21" s="145"/>
      <c r="H21" s="47"/>
      <c r="I21" s="32" t="str">
        <f>'Critères et tests'!$H20</f>
        <v>Principale</v>
      </c>
      <c r="J21" s="29"/>
      <c r="K21" s="29"/>
      <c r="L21" s="157"/>
    </row>
    <row r="22" spans="1:12" ht="62.25" customHeight="1">
      <c r="A22" s="51" t="str">
        <f>'Critères et tests'!B21</f>
        <v>MULTIMÉDIA</v>
      </c>
      <c r="B22" s="28" t="str">
        <f>'Critères et tests'!$A21</f>
        <v>4.5</v>
      </c>
      <c r="C22" s="28" t="str">
        <f>'Critères et tests'!$C21</f>
        <v>AA</v>
      </c>
      <c r="D22" s="32" t="str">
        <f>'Critères et tests'!$E21</f>
        <v>Chaque média temporel préenregistré a-t-il, si nécessaire, une audiodescription synchronisée (hors cas particuliers) ?</v>
      </c>
      <c r="E22" s="149"/>
      <c r="F22" s="149"/>
      <c r="G22" s="145"/>
      <c r="H22" s="47"/>
      <c r="I22" s="32" t="str">
        <f>'Critères et tests'!$H21</f>
        <v>Moyen à important</v>
      </c>
      <c r="J22" s="29"/>
      <c r="K22" s="29"/>
      <c r="L22" s="157"/>
    </row>
    <row r="23" spans="1:12" ht="62.25" customHeight="1">
      <c r="A23" s="51" t="str">
        <f>'Critères et tests'!B22</f>
        <v>MULTIMÉDIA</v>
      </c>
      <c r="B23" s="28" t="str">
        <f>'Critères et tests'!$A22</f>
        <v>4.6</v>
      </c>
      <c r="C23" s="28" t="str">
        <f>'Critères et tests'!$C22</f>
        <v>AA</v>
      </c>
      <c r="D23" s="32" t="str">
        <f>'Critères et tests'!$E22</f>
        <v>Pour chaque média temporel préenregistré ayant une audiodescription synchronisée, celle-ci est-elle pertinente ?</v>
      </c>
      <c r="E23" s="149"/>
      <c r="F23" s="149"/>
      <c r="G23" s="145"/>
      <c r="H23" s="47"/>
      <c r="I23" s="32" t="str">
        <f>'Critères et tests'!$H22</f>
        <v>Moyen à important</v>
      </c>
      <c r="J23" s="29"/>
      <c r="K23" s="29"/>
      <c r="L23" s="157"/>
    </row>
    <row r="24" spans="1:12" ht="62.25" customHeight="1">
      <c r="A24" s="51" t="str">
        <f>'Critères et tests'!B23</f>
        <v>MULTIMÉDIA</v>
      </c>
      <c r="B24" s="28" t="str">
        <f>'Critères et tests'!$A23</f>
        <v>4.7</v>
      </c>
      <c r="C24" s="28" t="str">
        <f>'Critères et tests'!$C23</f>
        <v>A</v>
      </c>
      <c r="D24" s="32" t="str">
        <f>'Critères et tests'!$E23</f>
        <v>Chaque média temporel est-il clairement identifiable (hors cas particuliers) ?</v>
      </c>
      <c r="E24" s="149"/>
      <c r="F24" s="149"/>
      <c r="G24" s="145"/>
      <c r="H24" s="47"/>
      <c r="I24" s="32" t="str">
        <f>'Critères et tests'!$H23</f>
        <v>Important</v>
      </c>
      <c r="J24" s="29"/>
      <c r="K24" s="29"/>
      <c r="L24" s="157"/>
    </row>
    <row r="25" spans="1:12" ht="62.25" customHeight="1">
      <c r="A25" s="51" t="str">
        <f>'Critères et tests'!B24</f>
        <v>MULTIMÉDIA</v>
      </c>
      <c r="B25" s="28" t="str">
        <f>'Critères et tests'!$A24</f>
        <v>4.8</v>
      </c>
      <c r="C25" s="28" t="str">
        <f>'Critères et tests'!$C24</f>
        <v>A</v>
      </c>
      <c r="D25" s="32" t="str">
        <f>'Critères et tests'!$E24</f>
        <v>Chaque média non temporel a-t-il, si nécessaire, une alternative (hors cas particuliers) ?</v>
      </c>
      <c r="E25" s="149"/>
      <c r="F25" s="149"/>
      <c r="G25" s="145"/>
      <c r="H25" s="47"/>
      <c r="I25" s="32" t="str">
        <f>'Critères et tests'!$H24</f>
        <v>Important</v>
      </c>
      <c r="J25" s="29"/>
      <c r="K25" s="29"/>
      <c r="L25" s="157"/>
    </row>
    <row r="26" spans="1:12" ht="62.25" customHeight="1">
      <c r="A26" s="51" t="str">
        <f>'Critères et tests'!B25</f>
        <v>MULTIMÉDIA</v>
      </c>
      <c r="B26" s="28" t="str">
        <f>'Critères et tests'!$A25</f>
        <v>4.9</v>
      </c>
      <c r="C26" s="28" t="str">
        <f>'Critères et tests'!$C25</f>
        <v>A</v>
      </c>
      <c r="D26" s="32" t="str">
        <f>'Critères et tests'!$E25</f>
        <v>Pour chaque média non temporel ayant une alternative, cette alternative est-elle pertinente ?</v>
      </c>
      <c r="E26" s="149"/>
      <c r="F26" s="149"/>
      <c r="G26" s="145"/>
      <c r="H26" s="47"/>
      <c r="I26" s="32" t="str">
        <f>'Critères et tests'!$H25</f>
        <v>Moyen</v>
      </c>
      <c r="J26" s="29"/>
      <c r="K26" s="29"/>
      <c r="L26" s="157"/>
    </row>
    <row r="27" spans="1:12" ht="62.25" customHeight="1">
      <c r="A27" s="51" t="str">
        <f>'Critères et tests'!B26</f>
        <v>MULTIMÉDIA</v>
      </c>
      <c r="B27" s="28" t="str">
        <f>'Critères et tests'!$A26</f>
        <v>4.10</v>
      </c>
      <c r="C27" s="28" t="str">
        <f>'Critères et tests'!$C26</f>
        <v>A</v>
      </c>
      <c r="D27" s="32" t="str">
        <f>'Critères et tests'!$E26</f>
        <v>Chaque son déclenché automatiquement est-il contrôlable par l’utilisateur ?</v>
      </c>
      <c r="E27" s="149"/>
      <c r="F27" s="149"/>
      <c r="G27" s="145"/>
      <c r="H27" s="47"/>
      <c r="I27" s="32" t="str">
        <f>'Critères et tests'!$H26</f>
        <v>Important à principale</v>
      </c>
      <c r="J27" s="29"/>
      <c r="K27" s="29"/>
      <c r="L27" s="157"/>
    </row>
    <row r="28" spans="1:12" ht="62.25" customHeight="1">
      <c r="A28" s="51" t="str">
        <f>'Critères et tests'!B27</f>
        <v>MULTIMÉDIA</v>
      </c>
      <c r="B28" s="28" t="str">
        <f>'Critères et tests'!$A27</f>
        <v>4.11</v>
      </c>
      <c r="C28" s="28" t="str">
        <f>'Critères et tests'!$C27</f>
        <v>A</v>
      </c>
      <c r="D28" s="32" t="str">
        <f>'Critères et tests'!$E27</f>
        <v>La consultation de chaque média temporel est-elle, si nécessaire, contrôlable par le clavier et tout dispositif de pointage ?</v>
      </c>
      <c r="E28" s="149"/>
      <c r="F28" s="149"/>
      <c r="G28" s="145"/>
      <c r="H28" s="47"/>
      <c r="I28" s="32" t="str">
        <f>'Critères et tests'!$H27</f>
        <v>Important à principale</v>
      </c>
      <c r="J28" s="29"/>
      <c r="K28" s="29"/>
      <c r="L28" s="157"/>
    </row>
    <row r="29" spans="1:12" ht="62.25" customHeight="1">
      <c r="A29" s="51" t="str">
        <f>'Critères et tests'!B28</f>
        <v>MULTIMÉDIA</v>
      </c>
      <c r="B29" s="28" t="str">
        <f>'Critères et tests'!$A28</f>
        <v>4.12</v>
      </c>
      <c r="C29" s="28" t="str">
        <f>'Critères et tests'!$C28</f>
        <v>A</v>
      </c>
      <c r="D29" s="32" t="str">
        <f>'Critères et tests'!$E28</f>
        <v>La consultation de chaque média non temporel est-elle contrôlable par le clavier et tout dispositif de pointage ?</v>
      </c>
      <c r="E29" s="149"/>
      <c r="F29" s="149"/>
      <c r="G29" s="145"/>
      <c r="H29" s="47"/>
      <c r="I29" s="32" t="str">
        <f>'Critères et tests'!$H28</f>
        <v>Important à principale</v>
      </c>
      <c r="J29" s="29"/>
      <c r="K29" s="29"/>
      <c r="L29" s="157"/>
    </row>
    <row r="30" spans="1:12" ht="62.25" customHeight="1">
      <c r="A30" s="51" t="str">
        <f>'Critères et tests'!B29</f>
        <v>MULTIMÉDIA</v>
      </c>
      <c r="B30" s="28" t="str">
        <f>'Critères et tests'!$A29</f>
        <v>4.13</v>
      </c>
      <c r="C30" s="28" t="str">
        <f>'Critères et tests'!$C29</f>
        <v>A</v>
      </c>
      <c r="D30" s="32" t="str">
        <f>'Critères et tests'!$E29</f>
        <v>Chaque média temporel et non temporel est-il compatible avec les technologies d’assistance (hors cas particuliers) ?</v>
      </c>
      <c r="E30" s="149"/>
      <c r="F30" s="149"/>
      <c r="G30" s="145"/>
      <c r="H30" s="47"/>
      <c r="I30" s="32" t="str">
        <f>'Critères et tests'!$H29</f>
        <v>Principale</v>
      </c>
      <c r="J30" s="29"/>
      <c r="K30" s="29"/>
      <c r="L30" s="157"/>
    </row>
    <row r="31" spans="1:12" ht="62.25" customHeight="1">
      <c r="A31" s="51" t="str">
        <f>'Critères et tests'!B30</f>
        <v>TABLEAUX</v>
      </c>
      <c r="B31" s="28" t="str">
        <f>'Critères et tests'!$A30</f>
        <v>5.1</v>
      </c>
      <c r="C31" s="28" t="str">
        <f>'Critères et tests'!$C30</f>
        <v>A</v>
      </c>
      <c r="D31" s="32" t="str">
        <f>'Critères et tests'!$E30</f>
        <v>Chaque tableau de données complexe a-t-il un résumé ?</v>
      </c>
      <c r="E31" s="149"/>
      <c r="F31" s="149"/>
      <c r="G31" s="145"/>
      <c r="H31" s="47"/>
      <c r="I31" s="32" t="str">
        <f>'Critères et tests'!$H30</f>
        <v>Principale</v>
      </c>
      <c r="J31" s="29"/>
      <c r="K31" s="29"/>
      <c r="L31" s="157"/>
    </row>
    <row r="32" spans="1:12" ht="62.25" customHeight="1">
      <c r="A32" s="51" t="str">
        <f>'Critères et tests'!B31</f>
        <v>TABLEAUX</v>
      </c>
      <c r="B32" s="28" t="str">
        <f>'Critères et tests'!$A31</f>
        <v>5.2</v>
      </c>
      <c r="C32" s="28" t="str">
        <f>'Critères et tests'!$C31</f>
        <v>A</v>
      </c>
      <c r="D32" s="32" t="str">
        <f>'Critères et tests'!$E31</f>
        <v>Pour chaque tableau de données complexe ayant un résumé, celui-ci est-il pertinent ?</v>
      </c>
      <c r="E32" s="149"/>
      <c r="F32" s="149"/>
      <c r="G32" s="145"/>
      <c r="H32" s="47"/>
      <c r="I32" s="32" t="str">
        <f>'Critères et tests'!$H31</f>
        <v>Principale</v>
      </c>
      <c r="J32" s="29"/>
      <c r="K32" s="29"/>
      <c r="L32" s="157"/>
    </row>
    <row r="33" spans="1:12" ht="62.25" customHeight="1">
      <c r="A33" s="51" t="str">
        <f>'Critères et tests'!B32</f>
        <v>TABLEAUX</v>
      </c>
      <c r="B33" s="28" t="str">
        <f>'Critères et tests'!$A32</f>
        <v>5.3</v>
      </c>
      <c r="C33" s="28" t="str">
        <f>'Critères et tests'!$C32</f>
        <v>A</v>
      </c>
      <c r="D33" s="32" t="str">
        <f>'Critères et tests'!$E32</f>
        <v>Pour chaque tableau de mise en forme, le contenu linéarisé reste-t-il compréhensible ?</v>
      </c>
      <c r="E33" s="149"/>
      <c r="F33" s="149"/>
      <c r="G33" s="145"/>
      <c r="H33" s="47"/>
      <c r="I33" s="32" t="str">
        <f>'Critères et tests'!$H32</f>
        <v>Principale</v>
      </c>
      <c r="J33" s="29"/>
      <c r="K33" s="29"/>
      <c r="L33" s="157"/>
    </row>
    <row r="34" spans="1:12" ht="62.25" customHeight="1">
      <c r="A34" s="51" t="str">
        <f>'Critères et tests'!B33</f>
        <v>TABLEAUX</v>
      </c>
      <c r="B34" s="28" t="str">
        <f>'Critères et tests'!$A33</f>
        <v>5.4</v>
      </c>
      <c r="C34" s="28" t="str">
        <f>'Critères et tests'!$C33</f>
        <v>A</v>
      </c>
      <c r="D34" s="32" t="str">
        <f>'Critères et tests'!$E33</f>
        <v>Pour chaque tableau de données ayant un titre, le titre est-il correctement associé au tableau de données ?</v>
      </c>
      <c r="E34" s="149"/>
      <c r="F34" s="149"/>
      <c r="G34" s="145"/>
      <c r="H34" s="47"/>
      <c r="I34" s="32" t="str">
        <f>'Critères et tests'!$H33</f>
        <v>Principale</v>
      </c>
      <c r="J34" s="29"/>
      <c r="K34" s="29"/>
      <c r="L34" s="157"/>
    </row>
    <row r="35" spans="1:12" ht="62.25" customHeight="1">
      <c r="A35" s="51" t="str">
        <f>'Critères et tests'!B34</f>
        <v>TABLEAUX</v>
      </c>
      <c r="B35" s="28" t="str">
        <f>'Critères et tests'!$A34</f>
        <v>5.5</v>
      </c>
      <c r="C35" s="28" t="str">
        <f>'Critères et tests'!$C34</f>
        <v>A</v>
      </c>
      <c r="D35" s="32" t="str">
        <f>'Critères et tests'!$E34</f>
        <v>Pour chaque tableau de données ayant un titre, celui-ci est-il pertinent ?</v>
      </c>
      <c r="E35" s="149"/>
      <c r="F35" s="149"/>
      <c r="G35" s="145"/>
      <c r="H35" s="47"/>
      <c r="I35" s="32" t="str">
        <f>'Critères et tests'!$H34</f>
        <v>Principale</v>
      </c>
      <c r="J35" s="29"/>
      <c r="K35" s="29"/>
      <c r="L35" s="157"/>
    </row>
    <row r="36" spans="1:12" ht="62.25" customHeight="1">
      <c r="A36" s="51" t="str">
        <f>'Critères et tests'!B35</f>
        <v>TABLEAUX</v>
      </c>
      <c r="B36" s="28" t="str">
        <f>'Critères et tests'!$A35</f>
        <v>5.6</v>
      </c>
      <c r="C36" s="28" t="str">
        <f>'Critères et tests'!$C35</f>
        <v>A</v>
      </c>
      <c r="D36" s="32" t="str">
        <f>'Critères et tests'!$E35</f>
        <v>Pour chaque tableau de données, chaque en-tête de colonnes et chaque en-tête de lignes sont-ils correctement déclarés ?</v>
      </c>
      <c r="E36" s="149"/>
      <c r="F36" s="149"/>
      <c r="G36" s="145"/>
      <c r="H36" s="47"/>
      <c r="I36" s="32" t="str">
        <f>'Critères et tests'!$H35</f>
        <v>Principale</v>
      </c>
      <c r="J36" s="29"/>
      <c r="K36" s="29"/>
      <c r="L36" s="157"/>
    </row>
    <row r="37" spans="1:12" ht="62.25" customHeight="1">
      <c r="A37" s="51" t="str">
        <f>'Critères et tests'!B36</f>
        <v>TABLEAUX</v>
      </c>
      <c r="B37" s="28"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9"/>
      <c r="F37" s="149"/>
      <c r="G37" s="145"/>
      <c r="H37" s="47"/>
      <c r="I37" s="32" t="str">
        <f>'Critères et tests'!$H36</f>
        <v>Principale</v>
      </c>
      <c r="J37" s="29"/>
      <c r="K37" s="29"/>
      <c r="L37" s="157"/>
    </row>
    <row r="38" spans="1:12" ht="62.25" customHeight="1">
      <c r="A38" s="51" t="str">
        <f>'Critères et tests'!B37</f>
        <v>TABLEAUX</v>
      </c>
      <c r="B38" s="28" t="str">
        <f>'Critères et tests'!$A37</f>
        <v>5.8</v>
      </c>
      <c r="C38" s="28" t="str">
        <f>'Critères et tests'!$C37</f>
        <v>A</v>
      </c>
      <c r="D38" s="32" t="str">
        <f>'Critères et tests'!$E37</f>
        <v>Chaque tableau de mise en forme ne doit pas utiliser d’éléments propres aux tableaux de données. Cette règle est-elle respectée ?</v>
      </c>
      <c r="E38" s="149"/>
      <c r="F38" s="149"/>
      <c r="G38" s="145"/>
      <c r="H38" s="47"/>
      <c r="I38" s="32" t="str">
        <f>'Critères et tests'!$H37</f>
        <v>Principale</v>
      </c>
      <c r="J38" s="29"/>
      <c r="K38" s="29"/>
      <c r="L38" s="157"/>
    </row>
    <row r="39" spans="1:12" ht="62.25" customHeight="1">
      <c r="A39" s="51" t="str">
        <f>'Critères et tests'!B38</f>
        <v>LIENS</v>
      </c>
      <c r="B39" s="28" t="str">
        <f>'Critères et tests'!$A38</f>
        <v>6.1</v>
      </c>
      <c r="C39" s="28" t="str">
        <f>'Critères et tests'!$C38</f>
        <v>A</v>
      </c>
      <c r="D39" s="32" t="str">
        <f>'Critères et tests'!$E38</f>
        <v>Chaque lien est-il explicite (hors cas particuliers) ?</v>
      </c>
      <c r="E39" s="149"/>
      <c r="F39" s="149"/>
      <c r="G39" s="145"/>
      <c r="H39" s="47"/>
      <c r="I39" s="32" t="str">
        <f>'Critères et tests'!$H38</f>
        <v>Principale</v>
      </c>
      <c r="J39" s="29"/>
      <c r="K39" s="29"/>
      <c r="L39" s="157"/>
    </row>
    <row r="40" spans="1:12" ht="62.25" customHeight="1">
      <c r="A40" s="51" t="str">
        <f>'Critères et tests'!B39</f>
        <v>LIENS</v>
      </c>
      <c r="B40" s="28" t="str">
        <f>'Critères et tests'!$A39</f>
        <v>6.2</v>
      </c>
      <c r="C40" s="28" t="str">
        <f>'Critères et tests'!$C39</f>
        <v>A</v>
      </c>
      <c r="D40" s="32" t="str">
        <f>'Critères et tests'!$E39</f>
        <v>Dans chaque page web, chaque lien a-t-il un intitulé ?</v>
      </c>
      <c r="E40" s="149"/>
      <c r="F40" s="149"/>
      <c r="G40" s="145"/>
      <c r="H40" s="47"/>
      <c r="I40" s="32" t="str">
        <f>'Critères et tests'!$H39</f>
        <v>Important à principale</v>
      </c>
      <c r="J40" s="29"/>
      <c r="K40" s="29"/>
      <c r="L40" s="157"/>
    </row>
    <row r="41" spans="1:12" ht="62.25" customHeight="1">
      <c r="A41" s="51" t="str">
        <f>'Critères et tests'!B40</f>
        <v>SCRIPTS</v>
      </c>
      <c r="B41" s="28" t="str">
        <f>'Critères et tests'!$A40</f>
        <v>7.1</v>
      </c>
      <c r="C41" s="28" t="str">
        <f>'Critères et tests'!$C40</f>
        <v>A</v>
      </c>
      <c r="D41" s="32" t="str">
        <f>'Critères et tests'!$E40</f>
        <v>Chaque script est-il, si nécessaire, compatible avec les technologies d’assistance ?</v>
      </c>
      <c r="E41" s="149"/>
      <c r="F41" s="149"/>
      <c r="G41" s="145"/>
      <c r="H41" s="47"/>
      <c r="I41" s="32" t="str">
        <f>'Critères et tests'!$H40</f>
        <v>Important à principale</v>
      </c>
      <c r="J41" s="29"/>
      <c r="K41" s="29"/>
      <c r="L41" s="157"/>
    </row>
    <row r="42" spans="1:12" ht="62.25" customHeight="1">
      <c r="A42" s="51" t="str">
        <f>'Critères et tests'!B41</f>
        <v>SCRIPTS</v>
      </c>
      <c r="B42" s="28" t="str">
        <f>'Critères et tests'!$A41</f>
        <v>7.2</v>
      </c>
      <c r="C42" s="28" t="str">
        <f>'Critères et tests'!$C41</f>
        <v>A</v>
      </c>
      <c r="D42" s="32" t="str">
        <f>'Critères et tests'!$E41</f>
        <v>Pour chaque script ayant une alternative, cette alternative est-elle pertinente ?</v>
      </c>
      <c r="E42" s="149"/>
      <c r="F42" s="149"/>
      <c r="G42" s="145"/>
      <c r="H42" s="47"/>
      <c r="I42" s="32" t="str">
        <f>'Critères et tests'!$H41</f>
        <v>Principale</v>
      </c>
      <c r="J42" s="29"/>
      <c r="K42" s="29"/>
      <c r="L42" s="157"/>
    </row>
    <row r="43" spans="1:12" ht="62.25" customHeight="1">
      <c r="A43" s="51" t="str">
        <f>'Critères et tests'!B42</f>
        <v>SCRIPTS</v>
      </c>
      <c r="B43" s="28" t="str">
        <f>'Critères et tests'!$A42</f>
        <v>7.3</v>
      </c>
      <c r="C43" s="28" t="str">
        <f>'Critères et tests'!$C42</f>
        <v>A</v>
      </c>
      <c r="D43" s="32" t="str">
        <f>'Critères et tests'!$E42</f>
        <v>Chaque script est-il contrôlable par le clavier et par tout dispositif de pointage (hors cas particuliers) ?</v>
      </c>
      <c r="E43" s="149"/>
      <c r="F43" s="149"/>
      <c r="G43" s="145"/>
      <c r="H43" s="47"/>
      <c r="I43" s="32" t="str">
        <f>'Critères et tests'!$H42</f>
        <v>Important</v>
      </c>
      <c r="J43" s="29"/>
      <c r="K43" s="29"/>
      <c r="L43" s="157"/>
    </row>
    <row r="44" spans="1:12" ht="62.25" customHeight="1">
      <c r="A44" s="51" t="str">
        <f>'Critères et tests'!B43</f>
        <v>SCRIPTS</v>
      </c>
      <c r="B44" s="28" t="str">
        <f>'Critères et tests'!$A43</f>
        <v>7.4</v>
      </c>
      <c r="C44" s="28" t="str">
        <f>'Critères et tests'!$C43</f>
        <v>A</v>
      </c>
      <c r="D44" s="32" t="str">
        <f>'Critères et tests'!$E43</f>
        <v>Pour chaque script qui initie un changement de contexte, l’utilisateur est-il averti ou en a-t-il le contrôle ?</v>
      </c>
      <c r="E44" s="149"/>
      <c r="F44" s="149"/>
      <c r="G44" s="145"/>
      <c r="H44" s="47"/>
      <c r="I44" s="32" t="str">
        <f>'Critères et tests'!$H43</f>
        <v>Important</v>
      </c>
      <c r="J44" s="29"/>
      <c r="K44" s="29"/>
      <c r="L44" s="157"/>
    </row>
    <row r="45" spans="1:12" ht="62.25" customHeight="1">
      <c r="A45" s="51" t="str">
        <f>'Critères et tests'!B44</f>
        <v>SCRIPTS</v>
      </c>
      <c r="B45" s="28" t="str">
        <f>'Critères et tests'!$A44</f>
        <v>7.5</v>
      </c>
      <c r="C45" s="28" t="str">
        <f>'Critères et tests'!$C44</f>
        <v>AA</v>
      </c>
      <c r="D45" s="32" t="str">
        <f>'Critères et tests'!$E44</f>
        <v>Dans chaque page web, les messages de statut sont-ils correctement restitués par les technologies d’assistance ?</v>
      </c>
      <c r="E45" s="149"/>
      <c r="F45" s="149"/>
      <c r="G45" s="145"/>
      <c r="H45" s="47"/>
      <c r="I45" s="32" t="str">
        <f>'Critères et tests'!$H44</f>
        <v>Principale</v>
      </c>
      <c r="J45" s="29"/>
      <c r="K45" s="29"/>
      <c r="L45" s="157"/>
    </row>
    <row r="46" spans="1:12" ht="62.25" customHeight="1">
      <c r="A46" s="51" t="str">
        <f>'Critères et tests'!B45</f>
        <v>ÉLÉMENTS OBLIGATOIRES</v>
      </c>
      <c r="B46" s="28" t="str">
        <f>'Critères et tests'!$A45</f>
        <v>8.1</v>
      </c>
      <c r="C46" s="28" t="str">
        <f>'Critères et tests'!$C45</f>
        <v>A</v>
      </c>
      <c r="D46" s="32" t="str">
        <f>'Critères et tests'!$E45</f>
        <v>Chaque page web est-elle définie par un type de document ?</v>
      </c>
      <c r="E46" s="149"/>
      <c r="F46" s="149"/>
      <c r="G46" s="145"/>
      <c r="H46" s="47"/>
      <c r="I46" s="32" t="str">
        <f>'Critères et tests'!$H45</f>
        <v>Normal</v>
      </c>
      <c r="J46" s="29"/>
      <c r="K46" s="29"/>
      <c r="L46" s="157"/>
    </row>
    <row r="47" spans="1:12" ht="62.25" customHeight="1">
      <c r="A47" s="51" t="str">
        <f>'Critères et tests'!B46</f>
        <v>ÉLÉMENTS OBLIGATOIRES</v>
      </c>
      <c r="B47" s="28" t="str">
        <f>'Critères et tests'!$A46</f>
        <v>8.2</v>
      </c>
      <c r="C47" s="28" t="str">
        <f>'Critères et tests'!$C46</f>
        <v>A</v>
      </c>
      <c r="D47" s="32" t="str">
        <f>'Critères et tests'!$E46</f>
        <v>Pour chaque page web, le code source généré est-il valide selon le type de document spécifié (hors cas particuliers) ?</v>
      </c>
      <c r="E47" s="149"/>
      <c r="F47" s="149"/>
      <c r="G47" s="145"/>
      <c r="H47" s="47"/>
      <c r="I47" s="32" t="str">
        <f>'Critères et tests'!$H46</f>
        <v>Normal</v>
      </c>
      <c r="J47" s="29"/>
      <c r="K47" s="29"/>
      <c r="L47" s="157"/>
    </row>
    <row r="48" spans="1:12" ht="62.25" customHeight="1">
      <c r="A48" s="51" t="str">
        <f>'Critères et tests'!B47</f>
        <v>ÉLÉMENTS OBLIGATOIRES</v>
      </c>
      <c r="B48" s="28" t="str">
        <f>'Critères et tests'!$A47</f>
        <v>8.3</v>
      </c>
      <c r="C48" s="28" t="str">
        <f>'Critères et tests'!$C47</f>
        <v>A</v>
      </c>
      <c r="D48" s="32" t="str">
        <f>'Critères et tests'!$E47</f>
        <v>Dans chaque page web, la langue par défaut est-elle présente ?</v>
      </c>
      <c r="E48" s="149"/>
      <c r="F48" s="149"/>
      <c r="G48" s="145"/>
      <c r="H48" s="47"/>
      <c r="I48" s="32" t="str">
        <f>'Critères et tests'!$H47</f>
        <v>Principale</v>
      </c>
      <c r="J48" s="29"/>
      <c r="K48" s="29"/>
      <c r="L48" s="157"/>
    </row>
    <row r="49" spans="1:12" ht="62.25" customHeight="1">
      <c r="A49" s="51" t="str">
        <f>'Critères et tests'!B48</f>
        <v>ÉLÉMENTS OBLIGATOIRES</v>
      </c>
      <c r="B49" s="28" t="str">
        <f>'Critères et tests'!$A48</f>
        <v>8.4</v>
      </c>
      <c r="C49" s="28" t="str">
        <f>'Critères et tests'!$C48</f>
        <v>A</v>
      </c>
      <c r="D49" s="32" t="str">
        <f>'Critères et tests'!$E48</f>
        <v>Pour chaque page web ayant une langue par défaut, le code de langue est-il pertinent ?</v>
      </c>
      <c r="E49" s="149"/>
      <c r="F49" s="149"/>
      <c r="G49" s="145"/>
      <c r="H49" s="47"/>
      <c r="I49" s="32" t="str">
        <f>'Critères et tests'!$H48</f>
        <v>Principale</v>
      </c>
      <c r="J49" s="29"/>
      <c r="K49" s="29"/>
      <c r="L49" s="157"/>
    </row>
    <row r="50" spans="1:12" ht="62.25" customHeight="1">
      <c r="A50" s="51" t="str">
        <f>'Critères et tests'!B49</f>
        <v>ÉLÉMENTS OBLIGATOIRES</v>
      </c>
      <c r="B50" s="28" t="str">
        <f>'Critères et tests'!$A49</f>
        <v>8.5</v>
      </c>
      <c r="C50" s="28" t="str">
        <f>'Critères et tests'!$C49</f>
        <v>A</v>
      </c>
      <c r="D50" s="32" t="str">
        <f>'Critères et tests'!$E49</f>
        <v>Chaque page web a-t-elle un titre de page ?</v>
      </c>
      <c r="E50" s="149"/>
      <c r="F50" s="149"/>
      <c r="G50" s="145"/>
      <c r="H50" s="47"/>
      <c r="I50" s="32" t="str">
        <f>'Critères et tests'!$H49</f>
        <v>Principale</v>
      </c>
      <c r="J50" s="29"/>
      <c r="K50" s="29"/>
      <c r="L50" s="157"/>
    </row>
    <row r="51" spans="1:12" ht="62.25" customHeight="1">
      <c r="A51" s="51" t="str">
        <f>'Critères et tests'!B50</f>
        <v>ÉLÉMENTS OBLIGATOIRES</v>
      </c>
      <c r="B51" s="28" t="str">
        <f>'Critères et tests'!$A50</f>
        <v>8.6</v>
      </c>
      <c r="C51" s="28" t="str">
        <f>'Critères et tests'!$C50</f>
        <v>A</v>
      </c>
      <c r="D51" s="32" t="str">
        <f>'Critères et tests'!$E50</f>
        <v>Pour chaque page web ayant un titre de page, ce titre est-il pertinent ?</v>
      </c>
      <c r="E51" s="149"/>
      <c r="F51" s="149"/>
      <c r="G51" s="145"/>
      <c r="H51" s="47"/>
      <c r="I51" s="32" t="str">
        <f>'Critères et tests'!$H50</f>
        <v>Important à principale</v>
      </c>
      <c r="J51" s="29"/>
      <c r="K51" s="29"/>
      <c r="L51" s="157"/>
    </row>
    <row r="52" spans="1:12" ht="62.25" customHeight="1">
      <c r="A52" s="51" t="str">
        <f>'Critères et tests'!B51</f>
        <v>ÉLÉMENTS OBLIGATOIRES</v>
      </c>
      <c r="B52" s="28" t="str">
        <f>'Critères et tests'!$A51</f>
        <v>8.7</v>
      </c>
      <c r="C52" s="28" t="str">
        <f>'Critères et tests'!$C51</f>
        <v>AA</v>
      </c>
      <c r="D52" s="32" t="str">
        <f>'Critères et tests'!$E51</f>
        <v>Dans chaque page web, chaque changement de langue est-il indiqué dans le code source (hors cas particuliers) ?</v>
      </c>
      <c r="E52" s="149"/>
      <c r="F52" s="149"/>
      <c r="G52" s="145"/>
      <c r="H52" s="47"/>
      <c r="I52" s="32" t="str">
        <f>'Critères et tests'!$H51</f>
        <v>Important à principale</v>
      </c>
      <c r="J52" s="29"/>
      <c r="K52" s="29"/>
      <c r="L52" s="157"/>
    </row>
    <row r="53" spans="1:12" ht="62.25" customHeight="1">
      <c r="A53" s="51" t="str">
        <f>'Critères et tests'!B52</f>
        <v>ÉLÉMENTS OBLIGATOIRES</v>
      </c>
      <c r="B53" s="28" t="str">
        <f>'Critères et tests'!$A52</f>
        <v>8.8</v>
      </c>
      <c r="C53" s="28" t="str">
        <f>'Critères et tests'!$C52</f>
        <v>AA</v>
      </c>
      <c r="D53" s="32" t="str">
        <f>'Critères et tests'!$E52</f>
        <v>Dans chaque page web, le code de langue de chaque changement de langue est-il valide et pertinent ?</v>
      </c>
      <c r="E53" s="149"/>
      <c r="F53" s="149"/>
      <c r="G53" s="145"/>
      <c r="H53" s="47"/>
      <c r="I53" s="32" t="str">
        <f>'Critères et tests'!$H52</f>
        <v>Important à principale</v>
      </c>
      <c r="J53" s="29"/>
      <c r="K53" s="29"/>
      <c r="L53" s="157"/>
    </row>
    <row r="54" spans="1:12" ht="62.25" customHeight="1">
      <c r="A54" s="51" t="str">
        <f>'Critères et tests'!B53</f>
        <v>ÉLÉMENTS OBLIGATOIRES</v>
      </c>
      <c r="B54" s="28" t="str">
        <f>'Critères et tests'!$A53</f>
        <v>8.9</v>
      </c>
      <c r="C54" s="28" t="str">
        <f>'Critères et tests'!$C53</f>
        <v>A</v>
      </c>
      <c r="D54" s="32" t="str">
        <f>'Critères et tests'!$E53</f>
        <v>Dans chaque page web, les balises ne doivent pas être utilisées uniquement à des fins de présentation. Cette règle est-elle respectée ?</v>
      </c>
      <c r="E54" s="149"/>
      <c r="F54" s="149"/>
      <c r="G54" s="145"/>
      <c r="H54" s="47"/>
      <c r="I54" s="32" t="str">
        <f>'Critères et tests'!$H53</f>
        <v>Important</v>
      </c>
      <c r="J54" s="29"/>
      <c r="K54" s="29"/>
      <c r="L54" s="157"/>
    </row>
    <row r="55" spans="1:12" ht="62.25" customHeight="1">
      <c r="A55" s="51" t="str">
        <f>'Critères et tests'!B54</f>
        <v>ÉLÉMENTS OBLIGATOIRES</v>
      </c>
      <c r="B55" s="28" t="str">
        <f>'Critères et tests'!$A54</f>
        <v>8.10</v>
      </c>
      <c r="C55" s="28" t="str">
        <f>'Critères et tests'!$C54</f>
        <v>A</v>
      </c>
      <c r="D55" s="32" t="str">
        <f>'Critères et tests'!$E54</f>
        <v>Dans chaque page web, les changements du sens de lecture sont-ils signalés ?</v>
      </c>
      <c r="E55" s="149"/>
      <c r="F55" s="149"/>
      <c r="G55" s="145"/>
      <c r="H55" s="47"/>
      <c r="I55" s="32" t="str">
        <f>'Critères et tests'!$H54</f>
        <v>Important à principale</v>
      </c>
      <c r="J55" s="29"/>
      <c r="K55" s="29"/>
      <c r="L55" s="157"/>
    </row>
    <row r="56" spans="1:12" ht="62.25" customHeight="1">
      <c r="A56" s="51" t="str">
        <f>'Critères et tests'!B55</f>
        <v>STRUCTURATION</v>
      </c>
      <c r="B56" s="28" t="str">
        <f>'Critères et tests'!$A55</f>
        <v>9.1</v>
      </c>
      <c r="C56" s="28" t="str">
        <f>'Critères et tests'!$C55</f>
        <v>A</v>
      </c>
      <c r="D56" s="32" t="str">
        <f>'Critères et tests'!$E55</f>
        <v>Dans chaque page web, l’information est-elle structurée par l’utilisation appropriée de titres ?</v>
      </c>
      <c r="E56" s="149"/>
      <c r="F56" s="149"/>
      <c r="G56" s="145"/>
      <c r="H56" s="47"/>
      <c r="I56" s="32" t="str">
        <f>'Critères et tests'!$H55</f>
        <v>Important à principale</v>
      </c>
      <c r="J56" s="29"/>
      <c r="K56" s="29"/>
      <c r="L56" s="157"/>
    </row>
    <row r="57" spans="1:12" ht="62.25" customHeight="1">
      <c r="A57" s="51" t="str">
        <f>'Critères et tests'!B56</f>
        <v>STRUCTURATION</v>
      </c>
      <c r="B57" s="28" t="str">
        <f>'Critères et tests'!$A56</f>
        <v>9.2</v>
      </c>
      <c r="C57" s="28" t="str">
        <f>'Critères et tests'!$C56</f>
        <v>A</v>
      </c>
      <c r="D57" s="32" t="str">
        <f>'Critères et tests'!$E56</f>
        <v>Dans chaque page web, la structure du document est-elle cohérente (hors cas particuliers) ?</v>
      </c>
      <c r="E57" s="149"/>
      <c r="F57" s="149"/>
      <c r="G57" s="145"/>
      <c r="H57" s="47"/>
      <c r="I57" s="32" t="str">
        <f>'Critères et tests'!$H56</f>
        <v>Faible à modéré</v>
      </c>
      <c r="J57" s="29"/>
      <c r="K57" s="29"/>
      <c r="L57" s="157"/>
    </row>
    <row r="58" spans="1:12" ht="62.25" customHeight="1">
      <c r="A58" s="51" t="str">
        <f>'Critères et tests'!B57</f>
        <v>STRUCTURATION</v>
      </c>
      <c r="B58" s="28" t="str">
        <f>'Critères et tests'!$A57</f>
        <v>9.3</v>
      </c>
      <c r="C58" s="28" t="str">
        <f>'Critères et tests'!$C57</f>
        <v>A</v>
      </c>
      <c r="D58" s="32" t="str">
        <f>'Critères et tests'!$E57</f>
        <v>Dans chaque page web, chaque liste est-elle correctement structurée ?</v>
      </c>
      <c r="E58" s="149"/>
      <c r="F58" s="149"/>
      <c r="G58" s="145"/>
      <c r="H58" s="47"/>
      <c r="I58" s="32" t="str">
        <f>'Critères et tests'!$H57</f>
        <v>Faible à modéré</v>
      </c>
      <c r="J58" s="29"/>
      <c r="K58" s="29"/>
      <c r="L58" s="157"/>
    </row>
    <row r="59" spans="1:12" ht="62.25" customHeight="1">
      <c r="A59" s="51" t="str">
        <f>'Critères et tests'!B58</f>
        <v>STRUCTURATION</v>
      </c>
      <c r="B59" s="28" t="str">
        <f>'Critères et tests'!$A58</f>
        <v>9.4</v>
      </c>
      <c r="C59" s="28" t="str">
        <f>'Critères et tests'!$C58</f>
        <v>A</v>
      </c>
      <c r="D59" s="32" t="str">
        <f>'Critères et tests'!$E58</f>
        <v>Dans chaque page web, chaque citation est-elle correctement indiquée ?</v>
      </c>
      <c r="E59" s="149"/>
      <c r="F59" s="149"/>
      <c r="G59" s="145"/>
      <c r="H59" s="47"/>
      <c r="I59" s="32" t="str">
        <f>'Critères et tests'!$H58</f>
        <v>Important</v>
      </c>
      <c r="J59" s="29"/>
      <c r="K59" s="29"/>
      <c r="L59" s="157"/>
    </row>
    <row r="60" spans="1:12" ht="62.25" customHeight="1">
      <c r="A60" s="51" t="str">
        <f>'Critères et tests'!B59</f>
        <v>PRÉSENTATION</v>
      </c>
      <c r="B60" s="28" t="str">
        <f>'Critères et tests'!$A59</f>
        <v>10.1</v>
      </c>
      <c r="C60" s="28" t="str">
        <f>'Critères et tests'!$C59</f>
        <v>A</v>
      </c>
      <c r="D60" s="32" t="str">
        <f>'Critères et tests'!$E59</f>
        <v>Dans le site web, des feuilles de styles sont-elles utilisées pour contrôler la présentation de l’information ?</v>
      </c>
      <c r="E60" s="149"/>
      <c r="F60" s="149"/>
      <c r="G60" s="145"/>
      <c r="H60" s="47"/>
      <c r="I60" s="32" t="str">
        <f>'Critères et tests'!$H59</f>
        <v>Important</v>
      </c>
      <c r="J60" s="29"/>
      <c r="K60" s="29"/>
      <c r="L60" s="157"/>
    </row>
    <row r="61" spans="1:12" ht="62.25" customHeight="1">
      <c r="A61" s="51" t="str">
        <f>'Critères et tests'!B60</f>
        <v>PRÉSENTATION</v>
      </c>
      <c r="B61" s="28" t="str">
        <f>'Critères et tests'!$A60</f>
        <v>10.2</v>
      </c>
      <c r="C61" s="28" t="str">
        <f>'Critères et tests'!$C60</f>
        <v>A</v>
      </c>
      <c r="D61" s="32" t="str">
        <f>'Critères et tests'!$E60</f>
        <v>Dans chaque page web, le contenu visible porteur d’information reste-t-il présent lorsque les feuilles de styles sont désactivées ?</v>
      </c>
      <c r="E61" s="149"/>
      <c r="F61" s="149"/>
      <c r="G61" s="145"/>
      <c r="H61" s="47"/>
      <c r="I61" s="32" t="str">
        <f>'Critères et tests'!$H60</f>
        <v>Important à principale</v>
      </c>
      <c r="J61" s="29"/>
      <c r="K61" s="29"/>
      <c r="L61" s="157"/>
    </row>
    <row r="62" spans="1:12" ht="62.25" customHeight="1">
      <c r="A62" s="51" t="str">
        <f>'Critères et tests'!B61</f>
        <v>PRÉSENTATION</v>
      </c>
      <c r="B62" s="28" t="str">
        <f>'Critères et tests'!$A61</f>
        <v>10.3</v>
      </c>
      <c r="C62" s="28" t="str">
        <f>'Critères et tests'!$C61</f>
        <v>A</v>
      </c>
      <c r="D62" s="32" t="str">
        <f>'Critères et tests'!$E61</f>
        <v>Dans chaque page web, l’information reste-t-elle compréhensible lorsque les feuilles de styles sont désactivées ?</v>
      </c>
      <c r="E62" s="149"/>
      <c r="F62" s="149"/>
      <c r="G62" s="145"/>
      <c r="H62" s="47"/>
      <c r="I62" s="32" t="str">
        <f>'Critères et tests'!$H61</f>
        <v>Important à principale</v>
      </c>
      <c r="J62" s="29"/>
      <c r="K62" s="29"/>
      <c r="L62" s="157"/>
    </row>
    <row r="63" spans="1:12" ht="62.25" customHeight="1">
      <c r="A63" s="51" t="str">
        <f>'Critères et tests'!B62</f>
        <v>PRÉSENTATION</v>
      </c>
      <c r="B63" s="28" t="str">
        <f>'Critères et tests'!$A62</f>
        <v>10.4</v>
      </c>
      <c r="C63" s="28" t="str">
        <f>'Critères et tests'!$C62</f>
        <v>AA</v>
      </c>
      <c r="D63" s="32" t="str">
        <f>'Critères et tests'!$E62</f>
        <v>Dans chaque page web, le texte reste-t-il lisible lorsque la taille des caractères est augmentée jusqu’à 200%, au moins (hors cas particuliers) ?</v>
      </c>
      <c r="E63" s="149"/>
      <c r="F63" s="149"/>
      <c r="G63" s="145"/>
      <c r="H63" s="47"/>
      <c r="I63" s="32" t="str">
        <f>'Critères et tests'!$H62</f>
        <v>Important</v>
      </c>
      <c r="J63" s="29"/>
      <c r="K63" s="29"/>
      <c r="L63" s="157"/>
    </row>
    <row r="64" spans="1:12" ht="62.25" customHeight="1">
      <c r="A64" s="51" t="str">
        <f>'Critères et tests'!B63</f>
        <v>PRÉSENTATION</v>
      </c>
      <c r="B64" s="28" t="str">
        <f>'Critères et tests'!$A63</f>
        <v>10.5</v>
      </c>
      <c r="C64" s="28" t="str">
        <f>'Critères et tests'!$C63</f>
        <v>AA</v>
      </c>
      <c r="D64" s="32" t="str">
        <f>'Critères et tests'!$E63</f>
        <v>Dans chaque page web, les déclarations CSS de couleurs de fond d’élément et de police sont-elles correctement utilisées ?</v>
      </c>
      <c r="E64" s="149"/>
      <c r="F64" s="149"/>
      <c r="G64" s="145"/>
      <c r="H64" s="47"/>
      <c r="I64" s="32" t="str">
        <f>'Critères et tests'!$H63</f>
        <v>Important</v>
      </c>
      <c r="J64" s="29"/>
      <c r="K64" s="29"/>
      <c r="L64" s="157"/>
    </row>
    <row r="65" spans="1:12" ht="62.25" customHeight="1">
      <c r="A65" s="51" t="str">
        <f>'Critères et tests'!B64</f>
        <v>PRÉSENTATION</v>
      </c>
      <c r="B65" s="28" t="str">
        <f>'Critères et tests'!$A64</f>
        <v>10.6</v>
      </c>
      <c r="C65" s="28" t="str">
        <f>'Critères et tests'!$C64</f>
        <v>A</v>
      </c>
      <c r="D65" s="32" t="str">
        <f>'Critères et tests'!$E64</f>
        <v>Dans chaque page web, chaque lien dont la nature n’est pas évidente est-il visible par rapport au texte environnant ?</v>
      </c>
      <c r="E65" s="149"/>
      <c r="F65" s="149"/>
      <c r="G65" s="145"/>
      <c r="H65" s="47"/>
      <c r="I65" s="32" t="str">
        <f>'Critères et tests'!$H64</f>
        <v>Faible à majeur</v>
      </c>
      <c r="J65" s="29"/>
      <c r="K65" s="29"/>
      <c r="L65" s="157"/>
    </row>
    <row r="66" spans="1:12" ht="62.25" customHeight="1">
      <c r="A66" s="51" t="str">
        <f>'Critères et tests'!B65</f>
        <v>PRÉSENTATION</v>
      </c>
      <c r="B66" s="28" t="str">
        <f>'Critères et tests'!$A65</f>
        <v>10.7</v>
      </c>
      <c r="C66" s="28" t="str">
        <f>'Critères et tests'!$C65</f>
        <v>A</v>
      </c>
      <c r="D66" s="32" t="str">
        <f>'Critères et tests'!$E65</f>
        <v>Dans chaque page web, pour chaque élément recevant le focus, la prise de focus est-elle visible ?</v>
      </c>
      <c r="E66" s="149"/>
      <c r="F66" s="149"/>
      <c r="G66" s="145"/>
      <c r="H66" s="47"/>
      <c r="I66" s="32" t="str">
        <f>'Critères et tests'!$H65</f>
        <v>Important</v>
      </c>
      <c r="J66" s="29"/>
      <c r="K66" s="29"/>
      <c r="L66" s="157"/>
    </row>
    <row r="67" spans="1:12" ht="62.25" customHeight="1">
      <c r="A67" s="51" t="str">
        <f>'Critères et tests'!B66</f>
        <v>PRÉSENTATION</v>
      </c>
      <c r="B67" s="28" t="str">
        <f>'Critères et tests'!$A66</f>
        <v>10.8</v>
      </c>
      <c r="C67" s="28" t="str">
        <f>'Critères et tests'!$C66</f>
        <v>A</v>
      </c>
      <c r="D67" s="32" t="str">
        <f>'Critères et tests'!$E66</f>
        <v>Pour chaque page web, les contenus cachés ont-ils vocation à être ignorés par les technologies d’assistance ?</v>
      </c>
      <c r="E67" s="149"/>
      <c r="F67" s="149"/>
      <c r="G67" s="145"/>
      <c r="H67" s="47"/>
      <c r="I67" s="32" t="str">
        <f>'Critères et tests'!$H66</f>
        <v>Moyen à important</v>
      </c>
      <c r="J67" s="29"/>
      <c r="K67" s="29"/>
      <c r="L67" s="157"/>
    </row>
    <row r="68" spans="1:12" ht="62.25" customHeight="1">
      <c r="A68" s="51" t="str">
        <f>'Critères et tests'!B67</f>
        <v>PRÉSENTATION</v>
      </c>
      <c r="B68" s="28" t="str">
        <f>'Critères et tests'!$A67</f>
        <v>10.9</v>
      </c>
      <c r="C68" s="28" t="str">
        <f>'Critères et tests'!$C67</f>
        <v>A</v>
      </c>
      <c r="D68" s="32" t="str">
        <f>'Critères et tests'!$E67</f>
        <v>Dans chaque page web, l’information ne doit pas être donnée uniquement par la forme, taille ou position. Cette règle est-elle respectée ?</v>
      </c>
      <c r="E68" s="149"/>
      <c r="F68" s="149"/>
      <c r="G68" s="145"/>
      <c r="H68" s="47"/>
      <c r="I68" s="32" t="str">
        <f>'Critères et tests'!$H67</f>
        <v>Moyen à important</v>
      </c>
      <c r="J68" s="29"/>
      <c r="K68" s="29"/>
      <c r="L68" s="157"/>
    </row>
    <row r="69" spans="1:12" ht="62.25" customHeight="1">
      <c r="A69" s="51" t="str">
        <f>'Critères et tests'!B68</f>
        <v>PRÉSENTATION</v>
      </c>
      <c r="B69" s="28"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9"/>
      <c r="F69" s="149"/>
      <c r="G69" s="145"/>
      <c r="H69" s="47"/>
      <c r="I69" s="32" t="str">
        <f>'Critères et tests'!$H68</f>
        <v>Moyen à important</v>
      </c>
      <c r="J69" s="29"/>
      <c r="K69" s="29"/>
      <c r="L69" s="157"/>
    </row>
    <row r="70" spans="1:12" ht="62.25" customHeight="1">
      <c r="A70" s="51" t="str">
        <f>'Critères et tests'!B69</f>
        <v>PRÉSENTATION</v>
      </c>
      <c r="B70" s="28"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9"/>
      <c r="F70" s="149"/>
      <c r="G70" s="145"/>
      <c r="H70" s="47"/>
      <c r="I70" s="32" t="str">
        <f>'Critères et tests'!$H69</f>
        <v>Faible à important</v>
      </c>
      <c r="J70" s="29"/>
      <c r="K70" s="29"/>
      <c r="L70" s="157"/>
    </row>
    <row r="71" spans="1:12" ht="62.25" customHeight="1">
      <c r="A71" s="51" t="str">
        <f>'Critères et tests'!B70</f>
        <v>PRÉSENTATION</v>
      </c>
      <c r="B71" s="28"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9"/>
      <c r="F71" s="149"/>
      <c r="G71" s="145"/>
      <c r="H71" s="47"/>
      <c r="I71" s="32" t="str">
        <f>'Critères et tests'!$H70</f>
        <v>Moyen</v>
      </c>
      <c r="J71" s="29"/>
      <c r="K71" s="29"/>
      <c r="L71" s="157"/>
    </row>
    <row r="72" spans="1:12" ht="62.25" customHeight="1">
      <c r="A72" s="51" t="str">
        <f>'Critères et tests'!B71</f>
        <v>PRÉSENTATION</v>
      </c>
      <c r="B72" s="28"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9"/>
      <c r="F72" s="149"/>
      <c r="G72" s="145"/>
      <c r="H72" s="47"/>
      <c r="I72" s="32" t="str">
        <f>'Critères et tests'!$H71</f>
        <v>Moyen</v>
      </c>
      <c r="J72" s="29"/>
      <c r="K72" s="29"/>
      <c r="L72" s="157"/>
    </row>
    <row r="73" spans="1:12" ht="62.25" customHeight="1">
      <c r="A73" s="51" t="str">
        <f>'Critères et tests'!B72</f>
        <v>PRÉSENTATION</v>
      </c>
      <c r="B73" s="28"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9"/>
      <c r="F73" s="149"/>
      <c r="G73" s="145"/>
      <c r="H73" s="47"/>
      <c r="I73" s="32" t="str">
        <f>'Critères et tests'!$H72</f>
        <v>Important à principale</v>
      </c>
      <c r="J73" s="29"/>
      <c r="K73" s="29"/>
      <c r="L73" s="157"/>
    </row>
    <row r="74" spans="1:12" ht="62.25" customHeight="1">
      <c r="A74" s="51" t="str">
        <f>'Critères et tests'!B73</f>
        <v>FORMULAIRES</v>
      </c>
      <c r="B74" s="28" t="str">
        <f>'Critères et tests'!$A73</f>
        <v>11.1</v>
      </c>
      <c r="C74" s="28" t="str">
        <f>'Critères et tests'!$C73</f>
        <v>A</v>
      </c>
      <c r="D74" s="32" t="str">
        <f>'Critères et tests'!$E73</f>
        <v>Chaque champ de formulaire a-t-il une étiquette ?</v>
      </c>
      <c r="E74" s="149"/>
      <c r="F74" s="149"/>
      <c r="G74" s="145"/>
      <c r="H74" s="47"/>
      <c r="I74" s="32" t="str">
        <f>'Critères et tests'!$H73</f>
        <v>Important à principale</v>
      </c>
      <c r="J74" s="29"/>
      <c r="K74" s="29"/>
      <c r="L74" s="157"/>
    </row>
    <row r="75" spans="1:12" ht="62.25" customHeight="1">
      <c r="A75" s="51" t="str">
        <f>'Critères et tests'!B74</f>
        <v>FORMULAIRES</v>
      </c>
      <c r="B75" s="28" t="str">
        <f>'Critères et tests'!$A74</f>
        <v>11.2</v>
      </c>
      <c r="C75" s="28" t="str">
        <f>'Critères et tests'!$C74</f>
        <v>A</v>
      </c>
      <c r="D75" s="32" t="str">
        <f>'Critères et tests'!$E74</f>
        <v>Chaque étiquette associée à un champ de formulaire est-elle pertinente (hors cas particuliers) ?</v>
      </c>
      <c r="E75" s="149"/>
      <c r="F75" s="149"/>
      <c r="G75" s="145"/>
      <c r="H75" s="47"/>
      <c r="I75" s="32" t="str">
        <f>'Critères et tests'!$H74</f>
        <v>Important à principale</v>
      </c>
      <c r="J75" s="29"/>
      <c r="K75" s="29"/>
      <c r="L75" s="157"/>
    </row>
    <row r="76" spans="1:12" ht="62.25" customHeight="1">
      <c r="A76" s="51" t="str">
        <f>'Critères et tests'!B75</f>
        <v>FORMULAIRES</v>
      </c>
      <c r="B76" s="28"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9"/>
      <c r="F76" s="149"/>
      <c r="G76" s="145"/>
      <c r="H76" s="47"/>
      <c r="I76" s="32" t="str">
        <f>'Critères et tests'!$H75</f>
        <v>Important à principale</v>
      </c>
      <c r="J76" s="29"/>
      <c r="K76" s="29"/>
      <c r="L76" s="157"/>
    </row>
    <row r="77" spans="1:12" ht="62.25" customHeight="1">
      <c r="A77" s="51" t="str">
        <f>'Critères et tests'!B76</f>
        <v>FORMULAIRES</v>
      </c>
      <c r="B77" s="28" t="str">
        <f>'Critères et tests'!$A76</f>
        <v>11.4</v>
      </c>
      <c r="C77" s="28" t="str">
        <f>'Critères et tests'!$C76</f>
        <v>A</v>
      </c>
      <c r="D77" s="32" t="str">
        <f>'Critères et tests'!$E76</f>
        <v>Dans chaque formulaire, chaque étiquette de champ et son champ associé sont-ils accolés (hors cas particuliers) ?</v>
      </c>
      <c r="E77" s="149"/>
      <c r="F77" s="149"/>
      <c r="G77" s="145"/>
      <c r="H77" s="47"/>
      <c r="I77" s="32" t="str">
        <f>'Critères et tests'!$H76</f>
        <v>Important à principale</v>
      </c>
      <c r="J77" s="29"/>
      <c r="K77" s="29"/>
      <c r="L77" s="157"/>
    </row>
    <row r="78" spans="1:12" ht="62.25" customHeight="1">
      <c r="A78" s="51" t="str">
        <f>'Critères et tests'!B77</f>
        <v>FORMULAIRES</v>
      </c>
      <c r="B78" s="28" t="str">
        <f>'Critères et tests'!$A77</f>
        <v>11.5</v>
      </c>
      <c r="C78" s="28" t="str">
        <f>'Critères et tests'!$C77</f>
        <v>A</v>
      </c>
      <c r="D78" s="32" t="str">
        <f>'Critères et tests'!$E77</f>
        <v>Dans chaque formulaire, les champs de même nature sont-ils regroupés, si nécessaire ?</v>
      </c>
      <c r="E78" s="149"/>
      <c r="F78" s="149"/>
      <c r="G78" s="145"/>
      <c r="H78" s="47"/>
      <c r="I78" s="32" t="str">
        <f>'Critères et tests'!$H77</f>
        <v>Important</v>
      </c>
      <c r="J78" s="29"/>
      <c r="K78" s="29"/>
      <c r="L78" s="157"/>
    </row>
    <row r="79" spans="1:12" ht="62.25" customHeight="1">
      <c r="A79" s="51" t="str">
        <f>'Critères et tests'!B78</f>
        <v>FORMULAIRES</v>
      </c>
      <c r="B79" s="28" t="str">
        <f>'Critères et tests'!$A78</f>
        <v>11.6</v>
      </c>
      <c r="C79" s="28" t="str">
        <f>'Critères et tests'!$C78</f>
        <v>A</v>
      </c>
      <c r="D79" s="32" t="str">
        <f>'Critères et tests'!$E78</f>
        <v>Dans chaque formulaire, chaque regroupement de champs de même nature a-t-il une légende ?</v>
      </c>
      <c r="E79" s="149"/>
      <c r="F79" s="149"/>
      <c r="G79" s="145"/>
      <c r="H79" s="47"/>
      <c r="I79" s="32" t="str">
        <f>'Critères et tests'!$H78</f>
        <v>Important à principale</v>
      </c>
      <c r="J79" s="29"/>
      <c r="K79" s="29"/>
      <c r="L79" s="157"/>
    </row>
    <row r="80" spans="1:12" ht="62.25" customHeight="1">
      <c r="A80" s="51" t="str">
        <f>'Critères et tests'!B79</f>
        <v>FORMULAIRES</v>
      </c>
      <c r="B80" s="28" t="str">
        <f>'Critères et tests'!$A79</f>
        <v>11.7</v>
      </c>
      <c r="C80" s="28" t="str">
        <f>'Critères et tests'!$C79</f>
        <v>A</v>
      </c>
      <c r="D80" s="32" t="str">
        <f>'Critères et tests'!$E79</f>
        <v>Dans chaque formulaire, chaque légende associée à un regroupement de champs de même nature est-elle pertinente ?</v>
      </c>
      <c r="E80" s="149"/>
      <c r="F80" s="149"/>
      <c r="G80" s="145"/>
      <c r="H80" s="47"/>
      <c r="I80" s="32" t="str">
        <f>'Critères et tests'!$H79</f>
        <v>Principale</v>
      </c>
      <c r="J80" s="29"/>
      <c r="K80" s="29"/>
      <c r="L80" s="157"/>
    </row>
    <row r="81" spans="1:12" ht="62.25" customHeight="1">
      <c r="A81" s="51" t="str">
        <f>'Critères et tests'!B80</f>
        <v>FORMULAIRES</v>
      </c>
      <c r="B81" s="28" t="str">
        <f>'Critères et tests'!$A80</f>
        <v>11.8</v>
      </c>
      <c r="C81" s="28" t="str">
        <f>'Critères et tests'!$C80</f>
        <v>A</v>
      </c>
      <c r="D81" s="32" t="str">
        <f>'Critères et tests'!$E80</f>
        <v>Dans chaque formulaire, les items de même nature d’une liste de choix sont-ils regroupés de manière pertinente ?</v>
      </c>
      <c r="E81" s="149"/>
      <c r="F81" s="149"/>
      <c r="G81" s="145"/>
      <c r="H81" s="47"/>
      <c r="I81" s="32" t="str">
        <f>'Critères et tests'!$H80</f>
        <v>Principale</v>
      </c>
      <c r="J81" s="29"/>
      <c r="K81" s="29"/>
      <c r="L81" s="157"/>
    </row>
    <row r="82" spans="1:12" ht="62.25" customHeight="1">
      <c r="A82" s="51" t="str">
        <f>'Critères et tests'!B81</f>
        <v>FORMULAIRES</v>
      </c>
      <c r="B82" s="28" t="str">
        <f>'Critères et tests'!$A81</f>
        <v>11.9</v>
      </c>
      <c r="C82" s="28" t="str">
        <f>'Critères et tests'!$C81</f>
        <v>A</v>
      </c>
      <c r="D82" s="32" t="str">
        <f>'Critères et tests'!$E81</f>
        <v>Dans chaque formulaire, l’intitulé de chaque bouton est-il pertinent (hors cas particuliers) ?</v>
      </c>
      <c r="E82" s="149"/>
      <c r="F82" s="149"/>
      <c r="G82" s="145"/>
      <c r="H82" s="47"/>
      <c r="I82" s="32" t="str">
        <f>'Critères et tests'!$H81</f>
        <v>Principale</v>
      </c>
      <c r="J82" s="29"/>
      <c r="K82" s="29"/>
      <c r="L82" s="157"/>
    </row>
    <row r="83" spans="1:12" ht="62.25" customHeight="1">
      <c r="A83" s="51" t="str">
        <f>'Critères et tests'!B82</f>
        <v>FORMULAIRES</v>
      </c>
      <c r="B83" s="28" t="str">
        <f>'Critères et tests'!$A82</f>
        <v>11.10</v>
      </c>
      <c r="C83" s="28" t="str">
        <f>'Critères et tests'!$C82</f>
        <v>A</v>
      </c>
      <c r="D83" s="32" t="str">
        <f>'Critères et tests'!$E82</f>
        <v>Dans chaque formulaire, le contrôle de saisie est-il utilisé de manière pertinente (hors cas particuliers) ?</v>
      </c>
      <c r="E83" s="149"/>
      <c r="F83" s="149"/>
      <c r="G83" s="145"/>
      <c r="H83" s="47"/>
      <c r="I83" s="32" t="str">
        <f>'Critères et tests'!$H82</f>
        <v>Important à principale</v>
      </c>
      <c r="J83" s="29"/>
      <c r="K83" s="29"/>
      <c r="L83" s="157"/>
    </row>
    <row r="84" spans="1:12" ht="62.25" customHeight="1">
      <c r="A84" s="51" t="str">
        <f>'Critères et tests'!B83</f>
        <v>FORMULAIRES</v>
      </c>
      <c r="B84" s="28"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9"/>
      <c r="F84" s="149"/>
      <c r="G84" s="145"/>
      <c r="H84" s="47"/>
      <c r="I84" s="32" t="str">
        <f>'Critères et tests'!$H83</f>
        <v>Important à principale</v>
      </c>
      <c r="J84" s="29"/>
      <c r="K84" s="29"/>
      <c r="L84" s="157"/>
    </row>
    <row r="85" spans="1:12" ht="62.25" customHeight="1">
      <c r="A85" s="51" t="str">
        <f>'Critères et tests'!B84</f>
        <v>FORMULAIRES</v>
      </c>
      <c r="B85" s="28"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9"/>
      <c r="F85" s="149"/>
      <c r="G85" s="145"/>
      <c r="H85" s="47"/>
      <c r="I85" s="32" t="str">
        <f>'Critères et tests'!$H84</f>
        <v>Important à principale</v>
      </c>
      <c r="J85" s="29"/>
      <c r="K85" s="29"/>
      <c r="L85" s="157"/>
    </row>
    <row r="86" spans="1:12" ht="62.25" customHeight="1">
      <c r="A86" s="51" t="str">
        <f>'Critères et tests'!B85</f>
        <v>FORMULAIRES</v>
      </c>
      <c r="B86" s="28"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9"/>
      <c r="F86" s="149"/>
      <c r="G86" s="145"/>
      <c r="H86" s="47"/>
      <c r="I86" s="32" t="str">
        <f>'Critères et tests'!$H85</f>
        <v>Important à principale</v>
      </c>
      <c r="J86" s="29"/>
      <c r="K86" s="29"/>
      <c r="L86" s="157"/>
    </row>
    <row r="87" spans="1:12" ht="62.25" customHeight="1">
      <c r="A87" s="51" t="str">
        <f>'Critères et tests'!B86</f>
        <v>NAVIGATION</v>
      </c>
      <c r="B87" s="28" t="str">
        <f>'Critères et tests'!$A86</f>
        <v>12.1</v>
      </c>
      <c r="C87" s="28" t="str">
        <f>'Critères et tests'!$C86</f>
        <v>AA</v>
      </c>
      <c r="D87" s="32" t="str">
        <f>'Critères et tests'!$E86</f>
        <v>Chaque ensemble de pages dispose-t-il de deux systèmes de navigation différents, au moins (hors cas particuliers) ?</v>
      </c>
      <c r="E87" s="149"/>
      <c r="F87" s="149"/>
      <c r="G87" s="145"/>
      <c r="H87" s="47"/>
      <c r="I87" s="32" t="str">
        <f>'Critères et tests'!$H86</f>
        <v>Important</v>
      </c>
      <c r="J87" s="29"/>
      <c r="K87" s="29"/>
      <c r="L87" s="157"/>
    </row>
    <row r="88" spans="1:12" ht="62.25" customHeight="1">
      <c r="A88" s="51" t="str">
        <f>'Critères et tests'!B87</f>
        <v>NAVIGATION</v>
      </c>
      <c r="B88" s="28" t="str">
        <f>'Critères et tests'!$A87</f>
        <v>12.2</v>
      </c>
      <c r="C88" s="28" t="str">
        <f>'Critères et tests'!$C87</f>
        <v>AA</v>
      </c>
      <c r="D88" s="32" t="str">
        <f>'Critères et tests'!$E87</f>
        <v>Dans chaque ensemble de pages, le menu et les barres de navigation sont-ils toujours à la même place (hors cas particuliers) ?</v>
      </c>
      <c r="E88" s="149"/>
      <c r="F88" s="149"/>
      <c r="G88" s="145"/>
      <c r="H88" s="47"/>
      <c r="I88" s="32" t="str">
        <f>'Critères et tests'!$H87</f>
        <v>Important</v>
      </c>
      <c r="J88" s="29"/>
      <c r="K88" s="29"/>
      <c r="L88" s="157"/>
    </row>
    <row r="89" spans="1:12" ht="62.25" customHeight="1">
      <c r="A89" s="51" t="str">
        <f>'Critères et tests'!B88</f>
        <v>NAVIGATION</v>
      </c>
      <c r="B89" s="28" t="str">
        <f>'Critères et tests'!$A88</f>
        <v>12.3</v>
      </c>
      <c r="C89" s="28" t="str">
        <f>'Critères et tests'!$C88</f>
        <v>AA</v>
      </c>
      <c r="D89" s="32" t="str">
        <f>'Critères et tests'!$E88</f>
        <v>La page « plan du site » est-elle pertinente ?</v>
      </c>
      <c r="E89" s="149"/>
      <c r="F89" s="149"/>
      <c r="G89" s="145"/>
      <c r="H89" s="47"/>
      <c r="I89" s="32" t="str">
        <f>'Critères et tests'!$H88</f>
        <v>Important</v>
      </c>
      <c r="J89" s="29"/>
      <c r="K89" s="29"/>
      <c r="L89" s="157"/>
    </row>
    <row r="90" spans="1:12" ht="62.25" customHeight="1">
      <c r="A90" s="51" t="str">
        <f>'Critères et tests'!B89</f>
        <v>NAVIGATION</v>
      </c>
      <c r="B90" s="28" t="str">
        <f>'Critères et tests'!$A89</f>
        <v>12.4</v>
      </c>
      <c r="C90" s="28" t="str">
        <f>'Critères et tests'!$C89</f>
        <v>AA</v>
      </c>
      <c r="D90" s="32" t="str">
        <f>'Critères et tests'!$E89</f>
        <v>Dans chaque ensemble de pages, la page « plan du site » est-elle atteignable de manière identique ?</v>
      </c>
      <c r="E90" s="149"/>
      <c r="F90" s="149"/>
      <c r="G90" s="145"/>
      <c r="H90" s="47"/>
      <c r="I90" s="32" t="str">
        <f>'Critères et tests'!$H89</f>
        <v>Important</v>
      </c>
      <c r="J90" s="29"/>
      <c r="K90" s="29"/>
      <c r="L90" s="157"/>
    </row>
    <row r="91" spans="1:12" ht="62.25" customHeight="1">
      <c r="A91" s="51" t="str">
        <f>'Critères et tests'!B90</f>
        <v>NAVIGATION</v>
      </c>
      <c r="B91" s="28" t="str">
        <f>'Critères et tests'!$A90</f>
        <v>12.5</v>
      </c>
      <c r="C91" s="28" t="str">
        <f>'Critères et tests'!$C90</f>
        <v>AA</v>
      </c>
      <c r="D91" s="32" t="str">
        <f>'Critères et tests'!$E90</f>
        <v>Dans chaque ensemble de pages, le moteur de recherche est-il atteignable de manière identique ?</v>
      </c>
      <c r="E91" s="149"/>
      <c r="F91" s="149"/>
      <c r="G91" s="145"/>
      <c r="H91" s="47"/>
      <c r="I91" s="32" t="str">
        <f>'Critères et tests'!$H90</f>
        <v>Important</v>
      </c>
      <c r="J91" s="29"/>
      <c r="K91" s="29"/>
      <c r="L91" s="157"/>
    </row>
    <row r="92" spans="1:12" ht="62.25" customHeight="1">
      <c r="A92" s="51" t="str">
        <f>'Critères et tests'!B91</f>
        <v>NAVIGATION</v>
      </c>
      <c r="B92" s="28"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9"/>
      <c r="F92" s="149"/>
      <c r="G92" s="145"/>
      <c r="H92" s="47"/>
      <c r="I92" s="32" t="str">
        <f>'Critères et tests'!$H91</f>
        <v>Important à principale</v>
      </c>
      <c r="J92" s="29"/>
      <c r="K92" s="29"/>
      <c r="L92" s="157"/>
    </row>
    <row r="93" spans="1:12" ht="62.25" customHeight="1">
      <c r="A93" s="51" t="str">
        <f>'Critères et tests'!B92</f>
        <v>NAVIGATION</v>
      </c>
      <c r="B93" s="28" t="str">
        <f>'Critères et tests'!$A92</f>
        <v>12.7</v>
      </c>
      <c r="C93" s="28" t="str">
        <f>'Critères et tests'!$C92</f>
        <v>A</v>
      </c>
      <c r="D93" s="32" t="str">
        <f>'Critères et tests'!$E92</f>
        <v>Dans chaque page web, un lien d’évitement ou d’accès rapide à la zone de contenu principal est-il présent (hors cas particuliers) ?</v>
      </c>
      <c r="E93" s="149"/>
      <c r="F93" s="149"/>
      <c r="G93" s="145"/>
      <c r="H93" s="47"/>
      <c r="I93" s="32" t="str">
        <f>'Critères et tests'!$H92</f>
        <v>Important à principale</v>
      </c>
      <c r="J93" s="29"/>
      <c r="K93" s="29"/>
      <c r="L93" s="157"/>
    </row>
    <row r="94" spans="1:12" ht="62.25" customHeight="1">
      <c r="A94" s="51" t="str">
        <f>'Critères et tests'!B93</f>
        <v>NAVIGATION</v>
      </c>
      <c r="B94" s="28" t="str">
        <f>'Critères et tests'!$A93</f>
        <v>12.8</v>
      </c>
      <c r="C94" s="28" t="str">
        <f>'Critères et tests'!$C93</f>
        <v>A</v>
      </c>
      <c r="D94" s="32" t="str">
        <f>'Critères et tests'!$E93</f>
        <v>Dans chaque page web, l’ordre de tabulation est-il cohérent ?</v>
      </c>
      <c r="E94" s="149"/>
      <c r="F94" s="149"/>
      <c r="G94" s="145"/>
      <c r="H94" s="47"/>
      <c r="I94" s="32" t="str">
        <f>'Critères et tests'!$H93</f>
        <v>Important à principale</v>
      </c>
      <c r="J94" s="29"/>
      <c r="K94" s="29"/>
      <c r="L94" s="157"/>
    </row>
    <row r="95" spans="1:12" ht="62.25" customHeight="1">
      <c r="A95" s="51" t="str">
        <f>'Critères et tests'!B94</f>
        <v>NAVIGATION</v>
      </c>
      <c r="B95" s="28" t="str">
        <f>'Critères et tests'!$A94</f>
        <v>12.9</v>
      </c>
      <c r="C95" s="28" t="str">
        <f>'Critères et tests'!$C94</f>
        <v>A</v>
      </c>
      <c r="D95" s="32" t="str">
        <f>'Critères et tests'!$E94</f>
        <v>Dans chaque page web, la navigation ne doit pas contenir de piège au clavier. Cette règle est-elle respectée ?</v>
      </c>
      <c r="E95" s="149"/>
      <c r="F95" s="149"/>
      <c r="G95" s="145"/>
      <c r="H95" s="47"/>
      <c r="I95" s="32" t="str">
        <f>'Critères et tests'!$H94</f>
        <v>Moyen à important</v>
      </c>
      <c r="J95" s="29"/>
      <c r="K95" s="29"/>
      <c r="L95" s="157"/>
    </row>
    <row r="96" spans="1:12" ht="62.25" customHeight="1">
      <c r="A96" s="51" t="str">
        <f>'Critères et tests'!B95</f>
        <v>NAVIGATION</v>
      </c>
      <c r="B96" s="28"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9"/>
      <c r="F96" s="149"/>
      <c r="G96" s="145"/>
      <c r="H96" s="47"/>
      <c r="I96" s="32" t="str">
        <f>'Critères et tests'!$H95</f>
        <v>Important à principale</v>
      </c>
      <c r="J96" s="29"/>
      <c r="K96" s="29"/>
      <c r="L96" s="157"/>
    </row>
    <row r="97" spans="1:12" ht="62.25" customHeight="1">
      <c r="A97" s="51" t="str">
        <f>'Critères et tests'!B96</f>
        <v>NAVIGATION</v>
      </c>
      <c r="B97" s="28"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9"/>
      <c r="F97" s="149"/>
      <c r="G97" s="145"/>
      <c r="H97" s="47"/>
      <c r="I97" s="32" t="str">
        <f>'Critères et tests'!$H96</f>
        <v>Important à principale</v>
      </c>
      <c r="J97" s="29"/>
      <c r="K97" s="29"/>
      <c r="L97" s="157"/>
    </row>
    <row r="98" spans="1:12" ht="62.25" customHeight="1">
      <c r="A98" s="51" t="str">
        <f>'Critères et tests'!B97</f>
        <v>CONSULTATION</v>
      </c>
      <c r="B98" s="28" t="str">
        <f>'Critères et tests'!$A97</f>
        <v>13.1</v>
      </c>
      <c r="C98" s="28" t="str">
        <f>'Critères et tests'!$C97</f>
        <v>A</v>
      </c>
      <c r="D98" s="32" t="str">
        <f>'Critères et tests'!$E97</f>
        <v>Pour chaque page web, l’utilisateur a-t-il le contrôle de chaque limite de temps modifiant le contenu (hors cas particuliers) ?</v>
      </c>
      <c r="E98" s="149"/>
      <c r="F98" s="149"/>
      <c r="G98" s="145"/>
      <c r="H98" s="47"/>
      <c r="I98" s="32" t="str">
        <f>'Critères et tests'!$H97</f>
        <v>Important à principale</v>
      </c>
      <c r="J98" s="29"/>
      <c r="K98" s="29"/>
      <c r="L98" s="157"/>
    </row>
    <row r="99" spans="1:12" ht="62.25" customHeight="1">
      <c r="A99" s="51" t="str">
        <f>'Critères et tests'!B98</f>
        <v>CONSULTATION</v>
      </c>
      <c r="B99" s="28"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9"/>
      <c r="F99" s="149"/>
      <c r="G99" s="145"/>
      <c r="H99" s="47"/>
      <c r="I99" s="32" t="str">
        <f>'Critères et tests'!$H98</f>
        <v>Important à principale</v>
      </c>
      <c r="J99" s="29"/>
      <c r="K99" s="29"/>
      <c r="L99" s="157"/>
    </row>
    <row r="100" spans="1:12" ht="62.25" customHeight="1">
      <c r="A100" s="51" t="str">
        <f>'Critères et tests'!B99</f>
        <v>CONSULTATION</v>
      </c>
      <c r="B100" s="28"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9"/>
      <c r="F100" s="149"/>
      <c r="G100" s="145"/>
      <c r="H100" s="47"/>
      <c r="I100" s="32" t="str">
        <f>'Critères et tests'!$H99</f>
        <v>Important à principale</v>
      </c>
      <c r="J100" s="29"/>
      <c r="K100" s="29"/>
      <c r="L100" s="157"/>
    </row>
    <row r="101" spans="1:12" ht="62.25" customHeight="1">
      <c r="A101" s="51" t="str">
        <f>'Critères et tests'!B100</f>
        <v>CONSULTATION</v>
      </c>
      <c r="B101" s="28" t="str">
        <f>'Critères et tests'!$A100</f>
        <v>13.4</v>
      </c>
      <c r="C101" s="28" t="str">
        <f>'Critères et tests'!$C100</f>
        <v>A</v>
      </c>
      <c r="D101" s="32" t="str">
        <f>'Critères et tests'!$E100</f>
        <v>Pour chaque document bureautique ayant une version accessible, cette version offre-t-elle la même information ?</v>
      </c>
      <c r="E101" s="149"/>
      <c r="F101" s="149"/>
      <c r="G101" s="145"/>
      <c r="H101" s="47"/>
      <c r="I101" s="32" t="str">
        <f>'Critères et tests'!$H100</f>
        <v>Important à principale</v>
      </c>
      <c r="J101" s="29"/>
      <c r="K101" s="29"/>
      <c r="L101" s="157"/>
    </row>
    <row r="102" spans="1:12" ht="62.25" customHeight="1">
      <c r="A102" s="51" t="str">
        <f>'Critères et tests'!B101</f>
        <v>CONSULTATION</v>
      </c>
      <c r="B102" s="28" t="str">
        <f>'Critères et tests'!$A101</f>
        <v>13.5</v>
      </c>
      <c r="C102" s="28" t="str">
        <f>'Critères et tests'!$C101</f>
        <v>A</v>
      </c>
      <c r="D102" s="32" t="str">
        <f>'Critères et tests'!$E101</f>
        <v>Dans chaque page web, chaque contenu cryptique (art ASCII, émoticon, syntaxe cryptique) a-t-il une alternative ?</v>
      </c>
      <c r="E102" s="149"/>
      <c r="F102" s="149"/>
      <c r="G102" s="145"/>
      <c r="H102" s="47"/>
      <c r="I102" s="32" t="str">
        <f>'Critères et tests'!$H101</f>
        <v>Important à principale</v>
      </c>
      <c r="J102" s="29"/>
      <c r="K102" s="29"/>
      <c r="L102" s="157"/>
    </row>
    <row r="103" spans="1:12" ht="62.25" customHeight="1">
      <c r="A103" s="51" t="str">
        <f>'Critères et tests'!B102</f>
        <v>CONSULTATION</v>
      </c>
      <c r="B103" s="28"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9"/>
      <c r="F103" s="149"/>
      <c r="G103" s="145"/>
      <c r="H103" s="47"/>
      <c r="I103" s="32" t="str">
        <f>'Critères et tests'!$H102</f>
        <v>Important à principale</v>
      </c>
      <c r="J103" s="29"/>
      <c r="K103" s="29"/>
      <c r="L103" s="157"/>
    </row>
    <row r="104" spans="1:12" ht="62.25" customHeight="1">
      <c r="A104" s="51" t="str">
        <f>'Critères et tests'!B103</f>
        <v>CONSULTATION</v>
      </c>
      <c r="B104" s="28" t="str">
        <f>'Critères et tests'!$A103</f>
        <v>13.7</v>
      </c>
      <c r="C104" s="28" t="str">
        <f>'Critères et tests'!$C103</f>
        <v>A</v>
      </c>
      <c r="D104" s="32" t="str">
        <f>'Critères et tests'!$E103</f>
        <v>Dans chaque page web, les changements brusques de luminosité ou les effets de flash sont-ils correctement utilisés ?</v>
      </c>
      <c r="E104" s="149"/>
      <c r="F104" s="149"/>
      <c r="G104" s="145"/>
      <c r="H104" s="47"/>
      <c r="I104" s="32" t="str">
        <f>'Critères et tests'!$H103</f>
        <v>Important à principale</v>
      </c>
      <c r="J104" s="29"/>
      <c r="K104" s="29"/>
      <c r="L104" s="157"/>
    </row>
    <row r="105" spans="1:12" ht="62.25" customHeight="1">
      <c r="A105" s="51" t="str">
        <f>'Critères et tests'!B104</f>
        <v>CONSULTATION</v>
      </c>
      <c r="B105" s="28" t="str">
        <f>'Critères et tests'!$A104</f>
        <v>13.8</v>
      </c>
      <c r="C105" s="28" t="str">
        <f>'Critères et tests'!$C104</f>
        <v>A</v>
      </c>
      <c r="D105" s="32" t="str">
        <f>'Critères et tests'!$E104</f>
        <v>Dans chaque page web, chaque contenu en mouvement ou clignotant est-il contrôlable par l’utilisateur ?</v>
      </c>
      <c r="E105" s="149"/>
      <c r="F105" s="149"/>
      <c r="G105" s="145"/>
      <c r="H105" s="47"/>
      <c r="I105" s="32" t="str">
        <f>'Critères et tests'!$H104</f>
        <v>Important à principale</v>
      </c>
      <c r="J105" s="29"/>
      <c r="K105" s="29"/>
      <c r="L105" s="157"/>
    </row>
    <row r="106" spans="1:12" ht="62.25" customHeight="1">
      <c r="A106" s="51" t="str">
        <f>'Critères et tests'!B105</f>
        <v>CONSULTATION</v>
      </c>
      <c r="B106" s="28"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9"/>
      <c r="F106" s="149"/>
      <c r="G106" s="145"/>
      <c r="H106" s="47"/>
      <c r="I106" s="32" t="str">
        <f>'Critères et tests'!$H105</f>
        <v>Important à principale</v>
      </c>
      <c r="J106" s="29"/>
      <c r="K106" s="29"/>
      <c r="L106" s="157"/>
    </row>
    <row r="107" spans="1:12" ht="62.25" customHeight="1">
      <c r="A107" s="51" t="str">
        <f>'Critères et tests'!B106</f>
        <v>CONSULTATION</v>
      </c>
      <c r="B107" s="28"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9"/>
      <c r="F107" s="149"/>
      <c r="G107" s="145"/>
      <c r="H107" s="47"/>
      <c r="I107" s="32" t="str">
        <f>'Critères et tests'!$H106</f>
        <v>Important à principale</v>
      </c>
      <c r="J107" s="29"/>
      <c r="K107" s="29"/>
      <c r="L107" s="157"/>
    </row>
    <row r="108" spans="1:12" ht="62.25" customHeight="1">
      <c r="A108" s="51" t="str">
        <f>'Critères et tests'!B107</f>
        <v>CONSULTATION</v>
      </c>
      <c r="B108" s="28"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9"/>
      <c r="F108" s="149"/>
      <c r="G108" s="145"/>
      <c r="H108" s="47"/>
      <c r="I108" s="32" t="str">
        <f>'Critères et tests'!$H107</f>
        <v>Moyen à important</v>
      </c>
      <c r="J108" s="29"/>
      <c r="K108" s="29"/>
      <c r="L108" s="157"/>
    </row>
    <row r="109" spans="1:12" ht="62.25" customHeight="1">
      <c r="A109" s="51" t="str">
        <f>'Critères et tests'!B108</f>
        <v>CONSULTATION</v>
      </c>
      <c r="B109" s="28"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9"/>
      <c r="F109" s="149"/>
      <c r="G109" s="145"/>
      <c r="H109" s="47"/>
      <c r="I109" s="32" t="str">
        <f>'Critères et tests'!$H108</f>
        <v>Moyen à important</v>
      </c>
      <c r="J109" s="29"/>
      <c r="K109" s="29"/>
      <c r="L109" s="157"/>
    </row>
  </sheetData>
  <mergeCells count="1">
    <mergeCell ref="B2:D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3786-B0EC-4EDB-9714-95095274514D}">
  <sheetPr codeName="Feuil8"/>
  <dimension ref="A1:L112"/>
  <sheetViews>
    <sheetView zoomScale="70" zoomScaleNormal="70" workbookViewId="0">
      <selection activeCell="A4" sqref="A4"/>
    </sheetView>
  </sheetViews>
  <sheetFormatPr baseColWidth="10" defaultColWidth="11.42578125" defaultRowHeight="30" customHeight="1"/>
  <cols>
    <col min="1" max="1" width="23.7109375" style="3" customWidth="1"/>
    <col min="2" max="2" width="5.85546875" style="3" customWidth="1"/>
    <col min="3" max="3" width="6.5703125" style="3" customWidth="1"/>
    <col min="4" max="4" width="75.140625" style="3" customWidth="1"/>
    <col min="5" max="5" width="11.42578125" style="3"/>
    <col min="6" max="6" width="12.42578125" style="3" hidden="1" customWidth="1"/>
    <col min="7" max="7" width="12.42578125" style="3" customWidth="1"/>
    <col min="8" max="8" width="81.85546875" style="131" customWidth="1"/>
    <col min="9" max="9" width="46.42578125" style="3" customWidth="1"/>
    <col min="10" max="10" width="33.42578125" style="3" bestFit="1" customWidth="1"/>
    <col min="11" max="11" width="30.7109375" style="3" customWidth="1"/>
    <col min="12" max="16384" width="11.42578125" style="3"/>
  </cols>
  <sheetData>
    <row r="1" spans="1:12" ht="40.5" customHeight="1">
      <c r="A1" s="117" t="str">
        <f>Échantillon!$A$1</f>
        <v>Capgemini ♠</v>
      </c>
      <c r="B1" s="93" t="str">
        <f>Échantillon!B1</f>
        <v>Grille RGAA 4.1.2</v>
      </c>
      <c r="C1" s="83"/>
      <c r="D1" s="93"/>
      <c r="E1" s="37"/>
      <c r="F1" s="37"/>
      <c r="G1" s="71"/>
      <c r="H1" s="59"/>
      <c r="I1" s="71"/>
      <c r="J1" s="71"/>
      <c r="K1" s="71"/>
    </row>
    <row r="2" spans="1:12" ht="30" customHeight="1">
      <c r="A2" s="43"/>
      <c r="B2" s="44"/>
      <c r="C2" s="44" t="s">
        <v>450</v>
      </c>
      <c r="D2" s="98">
        <f>Échantillon!$B$12</f>
        <v>0</v>
      </c>
      <c r="E2" s="146"/>
      <c r="F2" s="146"/>
      <c r="G2" s="44" t="s">
        <v>438</v>
      </c>
      <c r="H2" s="99">
        <f>Échantillon!$C$12</f>
        <v>0</v>
      </c>
      <c r="I2" s="72"/>
      <c r="J2" s="68" t="s">
        <v>439</v>
      </c>
      <c r="K2" s="67" t="str">
        <f>IFERROR(E110/(E110+E111), "0,00%")</f>
        <v>0,00%</v>
      </c>
    </row>
    <row r="3" spans="1:12" ht="77.25" customHeight="1">
      <c r="A3" s="194" t="str">
        <f>'Critères et tests'!B2</f>
        <v>Thématique</v>
      </c>
      <c r="B3" s="17" t="str">
        <f>'Critères et tests'!$A2</f>
        <v>n°critères</v>
      </c>
      <c r="C3" s="17" t="str">
        <f>'Critères et tests'!$C2</f>
        <v>Niveau WCAG</v>
      </c>
      <c r="D3" s="18" t="str">
        <f>'Critères et tests'!$E2</f>
        <v>Intitulé des critères</v>
      </c>
      <c r="E3" s="24" t="s">
        <v>440</v>
      </c>
      <c r="F3" s="26" t="s">
        <v>441</v>
      </c>
      <c r="G3" s="24" t="s">
        <v>442</v>
      </c>
      <c r="H3" s="30" t="s">
        <v>454</v>
      </c>
      <c r="I3" s="30" t="str">
        <f>'Critères et tests'!$H2</f>
        <v>Planification des correctifs</v>
      </c>
      <c r="J3" s="18" t="s">
        <v>443</v>
      </c>
      <c r="K3" s="85" t="s">
        <v>444</v>
      </c>
    </row>
    <row r="4" spans="1:12" ht="63.75" customHeight="1">
      <c r="A4" s="194" t="str">
        <f>'Critères et tests'!B3</f>
        <v>IMAGES</v>
      </c>
      <c r="B4" s="28"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29"/>
      <c r="L4" s="157"/>
    </row>
    <row r="5" spans="1:12" ht="61.5" customHeight="1">
      <c r="A5" s="194" t="str">
        <f>'Critères et tests'!B4</f>
        <v>IMAGES</v>
      </c>
      <c r="B5" s="28"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29"/>
      <c r="L5" s="157"/>
    </row>
    <row r="6" spans="1:12" ht="85.5" customHeight="1">
      <c r="A6" s="194" t="str">
        <f>'Critères et tests'!B5</f>
        <v>IMAGES</v>
      </c>
      <c r="B6" s="28"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29"/>
      <c r="L6" s="157"/>
    </row>
    <row r="7" spans="1:12" ht="77.25" customHeight="1">
      <c r="A7" s="194" t="str">
        <f>'Critères et tests'!B6</f>
        <v>IMAGES</v>
      </c>
      <c r="B7" s="28"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29"/>
      <c r="L7" s="157"/>
    </row>
    <row r="8" spans="1:12" ht="62.25" customHeight="1">
      <c r="A8" s="194" t="str">
        <f>'Critères et tests'!B7</f>
        <v>IMAGES</v>
      </c>
      <c r="B8" s="28"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29"/>
      <c r="L8" s="157"/>
    </row>
    <row r="9" spans="1:12" ht="62.25" customHeight="1">
      <c r="A9" s="194" t="str">
        <f>'Critères et tests'!B8</f>
        <v>IMAGES</v>
      </c>
      <c r="B9" s="28"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29"/>
      <c r="L9" s="157"/>
    </row>
    <row r="10" spans="1:12" ht="62.25" customHeight="1">
      <c r="A10" s="194" t="str">
        <f>'Critères et tests'!B9</f>
        <v>IMAGES</v>
      </c>
      <c r="B10" s="28"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29"/>
      <c r="L10" s="157"/>
    </row>
    <row r="11" spans="1:12" ht="62.25" customHeight="1">
      <c r="A11" s="194" t="str">
        <f>'Critères et tests'!B10</f>
        <v>IMAGES</v>
      </c>
      <c r="B11" s="28"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29"/>
      <c r="L11" s="157"/>
    </row>
    <row r="12" spans="1:12" ht="62.25" customHeight="1">
      <c r="A12" s="194" t="str">
        <f>'Critères et tests'!B11</f>
        <v>IMAGES</v>
      </c>
      <c r="B12" s="28"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29"/>
      <c r="L12" s="157"/>
    </row>
    <row r="13" spans="1:12" ht="62.25" customHeight="1">
      <c r="A13" s="194" t="str">
        <f>'Critères et tests'!B12</f>
        <v>CADRE</v>
      </c>
      <c r="B13" s="28"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29"/>
      <c r="L13" s="157"/>
    </row>
    <row r="14" spans="1:12" ht="49.5" customHeight="1">
      <c r="A14" s="194" t="str">
        <f>'Critères et tests'!B13</f>
        <v>CADRE</v>
      </c>
      <c r="B14" s="28"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29"/>
      <c r="L14" s="157"/>
    </row>
    <row r="15" spans="1:12" ht="62.25" customHeight="1">
      <c r="A15" s="194" t="str">
        <f>'Critères et tests'!B14</f>
        <v>COULEURS</v>
      </c>
      <c r="B15" s="28"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29"/>
      <c r="L15" s="157"/>
    </row>
    <row r="16" spans="1:12" ht="62.25" customHeight="1">
      <c r="A16" s="194" t="str">
        <f>'Critères et tests'!B15</f>
        <v>COULEURS</v>
      </c>
      <c r="B16" s="28"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29"/>
      <c r="L16" s="157"/>
    </row>
    <row r="17" spans="1:12" ht="62.25" customHeight="1">
      <c r="A17" s="194" t="str">
        <f>'Critères et tests'!B16</f>
        <v>COULEURS</v>
      </c>
      <c r="B17" s="28"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29"/>
      <c r="L17" s="157"/>
    </row>
    <row r="18" spans="1:12" ht="62.25" customHeight="1">
      <c r="A18" s="194" t="str">
        <f>'Critères et tests'!B17</f>
        <v>MULTIMÉDIA</v>
      </c>
      <c r="B18" s="28"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29"/>
      <c r="L18" s="157"/>
    </row>
    <row r="19" spans="1:12" ht="62.25" customHeight="1">
      <c r="A19" s="194" t="str">
        <f>'Critères et tests'!B18</f>
        <v>MULTIMÉDIA</v>
      </c>
      <c r="B19" s="28"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29"/>
      <c r="L19" s="157"/>
    </row>
    <row r="20" spans="1:12" ht="62.25" customHeight="1">
      <c r="A20" s="194" t="str">
        <f>'Critères et tests'!B19</f>
        <v>MULTIMÉDIA</v>
      </c>
      <c r="B20" s="28"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29"/>
      <c r="L20" s="157"/>
    </row>
    <row r="21" spans="1:12" ht="62.25" customHeight="1">
      <c r="A21" s="194" t="str">
        <f>'Critères et tests'!B20</f>
        <v>MULTIMÉDIA</v>
      </c>
      <c r="B21" s="28"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29"/>
      <c r="L21" s="157"/>
    </row>
    <row r="22" spans="1:12" ht="62.25" customHeight="1">
      <c r="A22" s="194" t="str">
        <f>'Critères et tests'!B21</f>
        <v>MULTIMÉDIA</v>
      </c>
      <c r="B22" s="28"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29"/>
      <c r="L22" s="157"/>
    </row>
    <row r="23" spans="1:12" ht="62.25" customHeight="1">
      <c r="A23" s="194" t="str">
        <f>'Critères et tests'!B22</f>
        <v>MULTIMÉDIA</v>
      </c>
      <c r="B23" s="28"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29"/>
      <c r="L23" s="157"/>
    </row>
    <row r="24" spans="1:12" ht="62.25" customHeight="1">
      <c r="A24" s="194" t="str">
        <f>'Critères et tests'!B23</f>
        <v>MULTIMÉDIA</v>
      </c>
      <c r="B24" s="28"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29"/>
      <c r="L24" s="157"/>
    </row>
    <row r="25" spans="1:12" ht="62.25" customHeight="1">
      <c r="A25" s="194" t="str">
        <f>'Critères et tests'!B24</f>
        <v>MULTIMÉDIA</v>
      </c>
      <c r="B25" s="28"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29"/>
      <c r="L25" s="157"/>
    </row>
    <row r="26" spans="1:12" ht="62.25" customHeight="1">
      <c r="A26" s="194" t="str">
        <f>'Critères et tests'!B25</f>
        <v>MULTIMÉDIA</v>
      </c>
      <c r="B26" s="28"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29"/>
      <c r="L26" s="157"/>
    </row>
    <row r="27" spans="1:12" ht="62.25" customHeight="1">
      <c r="A27" s="194" t="str">
        <f>'Critères et tests'!B26</f>
        <v>MULTIMÉDIA</v>
      </c>
      <c r="B27" s="28"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29"/>
      <c r="L27" s="157"/>
    </row>
    <row r="28" spans="1:12" ht="62.25" customHeight="1">
      <c r="A28" s="194" t="str">
        <f>'Critères et tests'!B27</f>
        <v>MULTIMÉDIA</v>
      </c>
      <c r="B28" s="28"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29"/>
      <c r="L28" s="157"/>
    </row>
    <row r="29" spans="1:12" ht="62.25" customHeight="1">
      <c r="A29" s="194" t="str">
        <f>'Critères et tests'!B28</f>
        <v>MULTIMÉDIA</v>
      </c>
      <c r="B29" s="28"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29"/>
      <c r="L29" s="157"/>
    </row>
    <row r="30" spans="1:12" ht="62.25" customHeight="1">
      <c r="A30" s="194" t="str">
        <f>'Critères et tests'!B29</f>
        <v>MULTIMÉDIA</v>
      </c>
      <c r="B30" s="28"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29"/>
      <c r="L30" s="157"/>
    </row>
    <row r="31" spans="1:12" ht="62.25" customHeight="1">
      <c r="A31" s="194" t="str">
        <f>'Critères et tests'!B30</f>
        <v>TABLEAUX</v>
      </c>
      <c r="B31" s="28"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29"/>
      <c r="L31" s="157"/>
    </row>
    <row r="32" spans="1:12" ht="62.25" customHeight="1">
      <c r="A32" s="194" t="str">
        <f>'Critères et tests'!B31</f>
        <v>TABLEAUX</v>
      </c>
      <c r="B32" s="28"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29"/>
      <c r="L32" s="157"/>
    </row>
    <row r="33" spans="1:12" ht="62.25" customHeight="1">
      <c r="A33" s="194" t="str">
        <f>'Critères et tests'!B32</f>
        <v>TABLEAUX</v>
      </c>
      <c r="B33" s="28"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29"/>
      <c r="L33" s="157"/>
    </row>
    <row r="34" spans="1:12" ht="62.25" customHeight="1">
      <c r="A34" s="194" t="str">
        <f>'Critères et tests'!B33</f>
        <v>TABLEAUX</v>
      </c>
      <c r="B34" s="28"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29"/>
      <c r="L34" s="157"/>
    </row>
    <row r="35" spans="1:12" ht="62.25" customHeight="1">
      <c r="A35" s="194" t="str">
        <f>'Critères et tests'!B34</f>
        <v>TABLEAUX</v>
      </c>
      <c r="B35" s="28"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29"/>
      <c r="L35" s="157"/>
    </row>
    <row r="36" spans="1:12" ht="62.25" customHeight="1">
      <c r="A36" s="194" t="str">
        <f>'Critères et tests'!B35</f>
        <v>TABLEAUX</v>
      </c>
      <c r="B36" s="28"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29"/>
      <c r="L36" s="157"/>
    </row>
    <row r="37" spans="1:12" ht="62.25" customHeight="1">
      <c r="A37" s="194" t="str">
        <f>'Critères et tests'!B36</f>
        <v>TABLEAUX</v>
      </c>
      <c r="B37" s="28"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29"/>
      <c r="L37" s="157"/>
    </row>
    <row r="38" spans="1:12" ht="62.25" customHeight="1">
      <c r="A38" s="194" t="str">
        <f>'Critères et tests'!B37</f>
        <v>TABLEAUX</v>
      </c>
      <c r="B38" s="28"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29"/>
      <c r="L38" s="157"/>
    </row>
    <row r="39" spans="1:12" ht="62.25" customHeight="1">
      <c r="A39" s="194" t="str">
        <f>'Critères et tests'!B38</f>
        <v>LIENS</v>
      </c>
      <c r="B39" s="28"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29"/>
      <c r="L39" s="157"/>
    </row>
    <row r="40" spans="1:12" ht="62.25" customHeight="1">
      <c r="A40" s="194" t="str">
        <f>'Critères et tests'!B39</f>
        <v>LIENS</v>
      </c>
      <c r="B40" s="28"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29"/>
      <c r="L40" s="157"/>
    </row>
    <row r="41" spans="1:12" ht="62.25" customHeight="1">
      <c r="A41" s="194" t="str">
        <f>'Critères et tests'!B40</f>
        <v>SCRIPTS</v>
      </c>
      <c r="B41" s="28"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29"/>
      <c r="L41" s="157"/>
    </row>
    <row r="42" spans="1:12" ht="62.25" customHeight="1">
      <c r="A42" s="194" t="str">
        <f>'Critères et tests'!B41</f>
        <v>SCRIPTS</v>
      </c>
      <c r="B42" s="28"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29"/>
      <c r="L42" s="157"/>
    </row>
    <row r="43" spans="1:12" ht="62.25" customHeight="1">
      <c r="A43" s="194" t="str">
        <f>'Critères et tests'!B42</f>
        <v>SCRIPTS</v>
      </c>
      <c r="B43" s="28"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29"/>
      <c r="L43" s="157"/>
    </row>
    <row r="44" spans="1:12" ht="62.25" customHeight="1">
      <c r="A44" s="194" t="str">
        <f>'Critères et tests'!B43</f>
        <v>SCRIPTS</v>
      </c>
      <c r="B44" s="28"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29"/>
      <c r="L44" s="157"/>
    </row>
    <row r="45" spans="1:12" ht="62.25" customHeight="1">
      <c r="A45" s="194" t="str">
        <f>'Critères et tests'!B44</f>
        <v>SCRIPTS</v>
      </c>
      <c r="B45" s="28"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29"/>
      <c r="L45" s="157"/>
    </row>
    <row r="46" spans="1:12" ht="62.25" customHeight="1">
      <c r="A46" s="194" t="str">
        <f>'Critères et tests'!B45</f>
        <v>ÉLÉMENTS OBLIGATOIRES</v>
      </c>
      <c r="B46" s="28"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29"/>
      <c r="L46" s="157"/>
    </row>
    <row r="47" spans="1:12" ht="62.25" customHeight="1">
      <c r="A47" s="194" t="str">
        <f>'Critères et tests'!B46</f>
        <v>ÉLÉMENTS OBLIGATOIRES</v>
      </c>
      <c r="B47" s="28"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29"/>
      <c r="L47" s="157"/>
    </row>
    <row r="48" spans="1:12" ht="62.25" customHeight="1">
      <c r="A48" s="194" t="str">
        <f>'Critères et tests'!B47</f>
        <v>ÉLÉMENTS OBLIGATOIRES</v>
      </c>
      <c r="B48" s="28"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29"/>
      <c r="L48" s="157"/>
    </row>
    <row r="49" spans="1:12" ht="62.25" customHeight="1">
      <c r="A49" s="194" t="str">
        <f>'Critères et tests'!B48</f>
        <v>ÉLÉMENTS OBLIGATOIRES</v>
      </c>
      <c r="B49" s="28"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29"/>
      <c r="L49" s="157"/>
    </row>
    <row r="50" spans="1:12" ht="62.25" customHeight="1">
      <c r="A50" s="194" t="str">
        <f>'Critères et tests'!B49</f>
        <v>ÉLÉMENTS OBLIGATOIRES</v>
      </c>
      <c r="B50" s="28"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29"/>
      <c r="L50" s="157"/>
    </row>
    <row r="51" spans="1:12" ht="62.25" customHeight="1">
      <c r="A51" s="194" t="str">
        <f>'Critères et tests'!B50</f>
        <v>ÉLÉMENTS OBLIGATOIRES</v>
      </c>
      <c r="B51" s="28"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29"/>
      <c r="L51" s="157"/>
    </row>
    <row r="52" spans="1:12" ht="62.25" customHeight="1">
      <c r="A52" s="194" t="str">
        <f>'Critères et tests'!B51</f>
        <v>ÉLÉMENTS OBLIGATOIRES</v>
      </c>
      <c r="B52" s="28"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29"/>
      <c r="L52" s="157"/>
    </row>
    <row r="53" spans="1:12" ht="62.25" customHeight="1">
      <c r="A53" s="194" t="str">
        <f>'Critères et tests'!B52</f>
        <v>ÉLÉMENTS OBLIGATOIRES</v>
      </c>
      <c r="B53" s="28"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29"/>
      <c r="L53" s="157"/>
    </row>
    <row r="54" spans="1:12" ht="62.25" customHeight="1">
      <c r="A54" s="194" t="str">
        <f>'Critères et tests'!B53</f>
        <v>ÉLÉMENTS OBLIGATOIRES</v>
      </c>
      <c r="B54" s="28"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29"/>
      <c r="L54" s="157"/>
    </row>
    <row r="55" spans="1:12" ht="62.25" customHeight="1">
      <c r="A55" s="194" t="str">
        <f>'Critères et tests'!B54</f>
        <v>ÉLÉMENTS OBLIGATOIRES</v>
      </c>
      <c r="B55" s="28"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29"/>
      <c r="L55" s="157"/>
    </row>
    <row r="56" spans="1:12" ht="62.25" customHeight="1">
      <c r="A56" s="194" t="str">
        <f>'Critères et tests'!B55</f>
        <v>STRUCTURATION</v>
      </c>
      <c r="B56" s="28"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29"/>
      <c r="L56" s="157"/>
    </row>
    <row r="57" spans="1:12" ht="62.25" customHeight="1">
      <c r="A57" s="194" t="str">
        <f>'Critères et tests'!B56</f>
        <v>STRUCTURATION</v>
      </c>
      <c r="B57" s="28"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29"/>
      <c r="L57" s="157"/>
    </row>
    <row r="58" spans="1:12" ht="62.25" customHeight="1">
      <c r="A58" s="194" t="str">
        <f>'Critères et tests'!B57</f>
        <v>STRUCTURATION</v>
      </c>
      <c r="B58" s="28"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29"/>
      <c r="L58" s="157"/>
    </row>
    <row r="59" spans="1:12" ht="62.25" customHeight="1">
      <c r="A59" s="194" t="str">
        <f>'Critères et tests'!B58</f>
        <v>STRUCTURATION</v>
      </c>
      <c r="B59" s="28"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29"/>
      <c r="L59" s="157"/>
    </row>
    <row r="60" spans="1:12" ht="62.25" customHeight="1">
      <c r="A60" s="194" t="str">
        <f>'Critères et tests'!B59</f>
        <v>PRÉSENTATION</v>
      </c>
      <c r="B60" s="28"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29"/>
      <c r="L60" s="157"/>
    </row>
    <row r="61" spans="1:12" ht="62.25" customHeight="1">
      <c r="A61" s="194" t="str">
        <f>'Critères et tests'!B60</f>
        <v>PRÉSENTATION</v>
      </c>
      <c r="B61" s="28"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29"/>
      <c r="L61" s="157"/>
    </row>
    <row r="62" spans="1:12" ht="62.25" customHeight="1">
      <c r="A62" s="194" t="str">
        <f>'Critères et tests'!B61</f>
        <v>PRÉSENTATION</v>
      </c>
      <c r="B62" s="28"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29"/>
      <c r="L62" s="157"/>
    </row>
    <row r="63" spans="1:12" ht="62.25" customHeight="1">
      <c r="A63" s="194" t="str">
        <f>'Critères et tests'!B62</f>
        <v>PRÉSENTATION</v>
      </c>
      <c r="B63" s="28"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29"/>
      <c r="L63" s="157"/>
    </row>
    <row r="64" spans="1:12" ht="62.25" customHeight="1">
      <c r="A64" s="194" t="str">
        <f>'Critères et tests'!B63</f>
        <v>PRÉSENTATION</v>
      </c>
      <c r="B64" s="28"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29"/>
      <c r="L64" s="157"/>
    </row>
    <row r="65" spans="1:12" ht="62.25" customHeight="1">
      <c r="A65" s="194" t="str">
        <f>'Critères et tests'!B64</f>
        <v>PRÉSENTATION</v>
      </c>
      <c r="B65" s="28"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29"/>
      <c r="L65" s="157"/>
    </row>
    <row r="66" spans="1:12" ht="62.25" customHeight="1">
      <c r="A66" s="194" t="str">
        <f>'Critères et tests'!B65</f>
        <v>PRÉSENTATION</v>
      </c>
      <c r="B66" s="28"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29"/>
      <c r="L66" s="157"/>
    </row>
    <row r="67" spans="1:12" ht="62.25" customHeight="1">
      <c r="A67" s="194" t="str">
        <f>'Critères et tests'!B66</f>
        <v>PRÉSENTATION</v>
      </c>
      <c r="B67" s="28"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29"/>
      <c r="L67" s="157"/>
    </row>
    <row r="68" spans="1:12" ht="62.25" customHeight="1">
      <c r="A68" s="194" t="str">
        <f>'Critères et tests'!B67</f>
        <v>PRÉSENTATION</v>
      </c>
      <c r="B68" s="28"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29"/>
      <c r="L68" s="157"/>
    </row>
    <row r="69" spans="1:12" ht="62.25" customHeight="1">
      <c r="A69" s="194" t="str">
        <f>'Critères et tests'!B68</f>
        <v>PRÉSENTATION</v>
      </c>
      <c r="B69" s="28"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29"/>
      <c r="L69" s="157"/>
    </row>
    <row r="70" spans="1:12" ht="62.25" customHeight="1">
      <c r="A70" s="194" t="str">
        <f>'Critères et tests'!B69</f>
        <v>PRÉSENTATION</v>
      </c>
      <c r="B70" s="28"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29"/>
      <c r="L70" s="157"/>
    </row>
    <row r="71" spans="1:12" ht="62.25" customHeight="1">
      <c r="A71" s="194" t="str">
        <f>'Critères et tests'!B70</f>
        <v>PRÉSENTATION</v>
      </c>
      <c r="B71" s="28"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29"/>
      <c r="L71" s="157"/>
    </row>
    <row r="72" spans="1:12" ht="62.25" customHeight="1">
      <c r="A72" s="194" t="str">
        <f>'Critères et tests'!B71</f>
        <v>PRÉSENTATION</v>
      </c>
      <c r="B72" s="28"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29"/>
      <c r="L72" s="157"/>
    </row>
    <row r="73" spans="1:12" ht="62.25" customHeight="1">
      <c r="A73" s="194" t="str">
        <f>'Critères et tests'!B72</f>
        <v>PRÉSENTATION</v>
      </c>
      <c r="B73" s="28"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29"/>
      <c r="L73" s="157"/>
    </row>
    <row r="74" spans="1:12" ht="62.25" customHeight="1">
      <c r="A74" s="194" t="str">
        <f>'Critères et tests'!B73</f>
        <v>FORMULAIRES</v>
      </c>
      <c r="B74" s="28"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29"/>
      <c r="L74" s="157"/>
    </row>
    <row r="75" spans="1:12" ht="62.25" customHeight="1">
      <c r="A75" s="194" t="str">
        <f>'Critères et tests'!B74</f>
        <v>FORMULAIRES</v>
      </c>
      <c r="B75" s="28"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29"/>
      <c r="L75" s="157"/>
    </row>
    <row r="76" spans="1:12" ht="62.25" customHeight="1">
      <c r="A76" s="194" t="str">
        <f>'Critères et tests'!B75</f>
        <v>FORMULAIRES</v>
      </c>
      <c r="B76" s="28"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29"/>
      <c r="L76" s="157"/>
    </row>
    <row r="77" spans="1:12" ht="62.25" customHeight="1">
      <c r="A77" s="194" t="str">
        <f>'Critères et tests'!B76</f>
        <v>FORMULAIRES</v>
      </c>
      <c r="B77" s="28"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29"/>
      <c r="L77" s="157"/>
    </row>
    <row r="78" spans="1:12" ht="62.25" customHeight="1">
      <c r="A78" s="194" t="str">
        <f>'Critères et tests'!B77</f>
        <v>FORMULAIRES</v>
      </c>
      <c r="B78" s="28"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29"/>
      <c r="L78" s="157"/>
    </row>
    <row r="79" spans="1:12" ht="62.25" customHeight="1">
      <c r="A79" s="194" t="str">
        <f>'Critères et tests'!B78</f>
        <v>FORMULAIRES</v>
      </c>
      <c r="B79" s="28"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29"/>
      <c r="L79" s="157"/>
    </row>
    <row r="80" spans="1:12" ht="62.25" customHeight="1">
      <c r="A80" s="194" t="str">
        <f>'Critères et tests'!B79</f>
        <v>FORMULAIRES</v>
      </c>
      <c r="B80" s="28"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29"/>
      <c r="L80" s="157"/>
    </row>
    <row r="81" spans="1:12" ht="62.25" customHeight="1">
      <c r="A81" s="194" t="str">
        <f>'Critères et tests'!B80</f>
        <v>FORMULAIRES</v>
      </c>
      <c r="B81" s="28"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29"/>
      <c r="L81" s="157"/>
    </row>
    <row r="82" spans="1:12" ht="62.25" customHeight="1">
      <c r="A82" s="194" t="str">
        <f>'Critères et tests'!B81</f>
        <v>FORMULAIRES</v>
      </c>
      <c r="B82" s="28"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29"/>
      <c r="L82" s="157"/>
    </row>
    <row r="83" spans="1:12" ht="62.25" customHeight="1">
      <c r="A83" s="194" t="str">
        <f>'Critères et tests'!B82</f>
        <v>FORMULAIRES</v>
      </c>
      <c r="B83" s="28"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29"/>
      <c r="L83" s="157"/>
    </row>
    <row r="84" spans="1:12" ht="62.25" customHeight="1">
      <c r="A84" s="194" t="str">
        <f>'Critères et tests'!B83</f>
        <v>FORMULAIRES</v>
      </c>
      <c r="B84" s="28"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29"/>
      <c r="L84" s="157"/>
    </row>
    <row r="85" spans="1:12" ht="62.25" customHeight="1">
      <c r="A85" s="194" t="str">
        <f>'Critères et tests'!B84</f>
        <v>FORMULAIRES</v>
      </c>
      <c r="B85" s="28"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29"/>
      <c r="L85" s="157"/>
    </row>
    <row r="86" spans="1:12" ht="62.25" customHeight="1">
      <c r="A86" s="194" t="str">
        <f>'Critères et tests'!B85</f>
        <v>FORMULAIRES</v>
      </c>
      <c r="B86" s="28"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29"/>
      <c r="L86" s="157"/>
    </row>
    <row r="87" spans="1:12" ht="62.25" customHeight="1">
      <c r="A87" s="194" t="str">
        <f>'Critères et tests'!B86</f>
        <v>NAVIGATION</v>
      </c>
      <c r="B87" s="28"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29"/>
      <c r="L87" s="157"/>
    </row>
    <row r="88" spans="1:12" ht="62.25" customHeight="1">
      <c r="A88" s="194" t="str">
        <f>'Critères et tests'!B87</f>
        <v>NAVIGATION</v>
      </c>
      <c r="B88" s="28"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29"/>
      <c r="L88" s="157"/>
    </row>
    <row r="89" spans="1:12" ht="62.25" customHeight="1">
      <c r="A89" s="194" t="str">
        <f>'Critères et tests'!B88</f>
        <v>NAVIGATION</v>
      </c>
      <c r="B89" s="28"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29"/>
      <c r="L89" s="157"/>
    </row>
    <row r="90" spans="1:12" ht="62.25" customHeight="1">
      <c r="A90" s="194" t="str">
        <f>'Critères et tests'!B89</f>
        <v>NAVIGATION</v>
      </c>
      <c r="B90" s="28"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29"/>
      <c r="L90" s="157"/>
    </row>
    <row r="91" spans="1:12" ht="62.25" customHeight="1">
      <c r="A91" s="194" t="str">
        <f>'Critères et tests'!B90</f>
        <v>NAVIGATION</v>
      </c>
      <c r="B91" s="28"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29"/>
      <c r="L91" s="157"/>
    </row>
    <row r="92" spans="1:12" ht="62.25" customHeight="1">
      <c r="A92" s="194" t="str">
        <f>'Critères et tests'!B91</f>
        <v>NAVIGATION</v>
      </c>
      <c r="B92" s="28"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29"/>
      <c r="L92" s="157"/>
    </row>
    <row r="93" spans="1:12" ht="62.25" customHeight="1">
      <c r="A93" s="194" t="str">
        <f>'Critères et tests'!B92</f>
        <v>NAVIGATION</v>
      </c>
      <c r="B93" s="28"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29"/>
      <c r="L93" s="157"/>
    </row>
    <row r="94" spans="1:12" ht="62.25" customHeight="1">
      <c r="A94" s="194" t="str">
        <f>'Critères et tests'!B93</f>
        <v>NAVIGATION</v>
      </c>
      <c r="B94" s="28"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29"/>
      <c r="L94" s="157"/>
    </row>
    <row r="95" spans="1:12" ht="62.25" customHeight="1">
      <c r="A95" s="194" t="str">
        <f>'Critères et tests'!B94</f>
        <v>NAVIGATION</v>
      </c>
      <c r="B95" s="28"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29"/>
      <c r="L95" s="157"/>
    </row>
    <row r="96" spans="1:12" ht="62.25" customHeight="1">
      <c r="A96" s="194" t="str">
        <f>'Critères et tests'!B95</f>
        <v>NAVIGATION</v>
      </c>
      <c r="B96" s="28"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29"/>
      <c r="L96" s="157"/>
    </row>
    <row r="97" spans="1:12" ht="62.25" customHeight="1">
      <c r="A97" s="194" t="str">
        <f>'Critères et tests'!B96</f>
        <v>NAVIGATION</v>
      </c>
      <c r="B97" s="28"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29"/>
      <c r="L97" s="157"/>
    </row>
    <row r="98" spans="1:12" ht="62.25" customHeight="1">
      <c r="A98" s="194" t="str">
        <f>'Critères et tests'!B97</f>
        <v>CONSULTATION</v>
      </c>
      <c r="B98" s="28"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29"/>
      <c r="L98" s="157"/>
    </row>
    <row r="99" spans="1:12" ht="62.25" customHeight="1">
      <c r="A99" s="194" t="str">
        <f>'Critères et tests'!B98</f>
        <v>CONSULTATION</v>
      </c>
      <c r="B99" s="28"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29"/>
      <c r="L99" s="157"/>
    </row>
    <row r="100" spans="1:12" ht="62.25" customHeight="1">
      <c r="A100" s="194" t="str">
        <f>'Critères et tests'!B99</f>
        <v>CONSULTATION</v>
      </c>
      <c r="B100" s="28"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29"/>
      <c r="L100" s="157"/>
    </row>
    <row r="101" spans="1:12" ht="62.25" customHeight="1">
      <c r="A101" s="194" t="str">
        <f>'Critères et tests'!B100</f>
        <v>CONSULTATION</v>
      </c>
      <c r="B101" s="28"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29"/>
      <c r="L101" s="157"/>
    </row>
    <row r="102" spans="1:12" ht="62.25" customHeight="1">
      <c r="A102" s="194" t="str">
        <f>'Critères et tests'!B101</f>
        <v>CONSULTATION</v>
      </c>
      <c r="B102" s="28"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29"/>
      <c r="L102" s="157"/>
    </row>
    <row r="103" spans="1:12" ht="62.25" customHeight="1">
      <c r="A103" s="194" t="str">
        <f>'Critères et tests'!B102</f>
        <v>CONSULTATION</v>
      </c>
      <c r="B103" s="28"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29"/>
      <c r="L103" s="157"/>
    </row>
    <row r="104" spans="1:12" ht="62.25" customHeight="1">
      <c r="A104" s="194" t="str">
        <f>'Critères et tests'!B103</f>
        <v>CONSULTATION</v>
      </c>
      <c r="B104" s="28"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29"/>
      <c r="L104" s="157"/>
    </row>
    <row r="105" spans="1:12" ht="62.25" customHeight="1">
      <c r="A105" s="194" t="str">
        <f>'Critères et tests'!B104</f>
        <v>CONSULTATION</v>
      </c>
      <c r="B105" s="28"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29"/>
      <c r="L105" s="157"/>
    </row>
    <row r="106" spans="1:12" ht="62.25" customHeight="1">
      <c r="A106" s="194" t="str">
        <f>'Critères et tests'!B105</f>
        <v>CONSULTATION</v>
      </c>
      <c r="B106" s="28"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29"/>
      <c r="L106" s="157"/>
    </row>
    <row r="107" spans="1:12" ht="62.25" customHeight="1">
      <c r="A107" s="194" t="str">
        <f>'Critères et tests'!B106</f>
        <v>CONSULTATION</v>
      </c>
      <c r="B107" s="28"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29"/>
      <c r="L107" s="157"/>
    </row>
    <row r="108" spans="1:12" ht="62.25" customHeight="1">
      <c r="A108" s="194" t="str">
        <f>'Critères et tests'!B107</f>
        <v>CONSULTATION</v>
      </c>
      <c r="B108" s="28"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29"/>
      <c r="L108" s="157"/>
    </row>
    <row r="109" spans="1:12" ht="62.25" customHeight="1">
      <c r="A109" s="194" t="str">
        <f>'Critères et tests'!B108</f>
        <v>CONSULTATION</v>
      </c>
      <c r="B109" s="28"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29"/>
      <c r="L109" s="157"/>
    </row>
    <row r="110" spans="1:12" ht="30" customHeight="1">
      <c r="A110" s="132"/>
      <c r="B110" s="127"/>
      <c r="C110" s="133" t="s">
        <v>433</v>
      </c>
      <c r="D110" s="134" t="s">
        <v>45</v>
      </c>
      <c r="E110" s="135">
        <f t="shared" ref="E110" si="0">COUNTIF(E4:E109,"C*")</f>
        <v>0</v>
      </c>
      <c r="F110" s="147" t="str">
        <f>IF(Transverse!E110="","",Transverse!E110)</f>
        <v/>
      </c>
    </row>
    <row r="111" spans="1:12" ht="30" customHeight="1">
      <c r="A111" s="126"/>
      <c r="B111" s="127"/>
      <c r="C111" s="127"/>
      <c r="D111" s="136" t="s">
        <v>46</v>
      </c>
      <c r="E111" s="137">
        <f t="shared" ref="E111" si="1">COUNTIF(E4:E109,"NC*")</f>
        <v>0</v>
      </c>
      <c r="F111" s="147" t="str">
        <f>IF(Transverse!E111="","",Transverse!E111)</f>
        <v/>
      </c>
    </row>
    <row r="112" spans="1:12" ht="30" customHeight="1">
      <c r="A112" s="126"/>
      <c r="B112" s="127"/>
      <c r="C112" s="127"/>
      <c r="D112" s="138" t="s">
        <v>47</v>
      </c>
      <c r="E112" s="139">
        <f t="shared" ref="E112" si="2">COUNTIF(E4:E109,"NA")</f>
        <v>0</v>
      </c>
      <c r="F112" s="147" t="str">
        <f>IF(Transverse!E112="","",Transverse!E112)</f>
        <v/>
      </c>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4B633C81-4D77-4E40-92E4-9958D5AE56CB}">
      <formula1>"C,NC,NA,NT"</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7EF8-357E-4763-B238-6965BE11F98B}">
  <sheetPr codeName="Feuil9"/>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44.140625" style="48" customWidth="1"/>
    <col min="9" max="9" width="46.42578125" style="49" customWidth="1"/>
    <col min="10" max="10" width="34.28515625" style="2" bestFit="1" customWidth="1"/>
    <col min="11" max="11" width="30.7109375" style="2"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Échantillon!$B$13</f>
        <v>0</v>
      </c>
      <c r="E2" s="90"/>
      <c r="F2" s="90"/>
      <c r="G2" s="27" t="s">
        <v>438</v>
      </c>
      <c r="H2" s="77">
        <f>Échantillon!$C$13</f>
        <v>0</v>
      </c>
      <c r="I2" s="78"/>
      <c r="J2" s="23" t="s">
        <v>439</v>
      </c>
      <c r="K2" s="35" t="str">
        <f>IFERROR(E110/(E110+E111), "0%")</f>
        <v>0%</v>
      </c>
    </row>
    <row r="3" spans="1:11" ht="77.25" customHeight="1">
      <c r="A3" s="194" t="str">
        <f>'Critères et tests'!B2</f>
        <v>Thématique</v>
      </c>
      <c r="B3" s="17" t="str">
        <f>'Critères et tests'!$A2</f>
        <v>n°critères</v>
      </c>
      <c r="C3" s="17" t="str">
        <f>'Critères et tests'!$C2</f>
        <v>Niveau WCAG</v>
      </c>
      <c r="D3" s="18" t="str">
        <f>'Critères et tests'!$E2</f>
        <v>Intitulé des critères</v>
      </c>
      <c r="E3" s="24" t="str">
        <f>'P01'!$E3</f>
        <v>Statut</v>
      </c>
      <c r="F3" s="26" t="str">
        <f>'P01'!$F3</f>
        <v>Transverse</v>
      </c>
      <c r="G3" s="24" t="str">
        <f>'P01'!$G3</f>
        <v>Dérogation</v>
      </c>
      <c r="H3" s="30" t="s">
        <v>454</v>
      </c>
      <c r="I3" s="30" t="str">
        <f>'Critères et tests'!$H2</f>
        <v>Planification des correctifs</v>
      </c>
      <c r="J3" s="18" t="str">
        <f>'P01'!$J3</f>
        <v>Commentaires</v>
      </c>
      <c r="K3" s="87"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29"/>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29"/>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29"/>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29"/>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29"/>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29"/>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29"/>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29"/>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29"/>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29"/>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29"/>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29"/>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29"/>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29"/>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29"/>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29"/>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29"/>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29"/>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29"/>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29"/>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29"/>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29"/>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29"/>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29"/>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29"/>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29"/>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29"/>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29"/>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29"/>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29"/>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29"/>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29"/>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29"/>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29"/>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29"/>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29"/>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29"/>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29"/>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29"/>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29"/>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29"/>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29"/>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29"/>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29"/>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29"/>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29"/>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29"/>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29"/>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29"/>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29"/>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29"/>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29"/>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29"/>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29"/>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29"/>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29"/>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29"/>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29"/>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29"/>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29"/>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29"/>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29"/>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29"/>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29"/>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29"/>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29"/>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29"/>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29"/>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29"/>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29"/>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29"/>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29"/>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29"/>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29"/>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29"/>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29"/>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29"/>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29"/>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29"/>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29"/>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29"/>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29"/>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29"/>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29"/>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29"/>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29"/>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29"/>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29"/>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29"/>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29"/>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29"/>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29"/>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29"/>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29"/>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29"/>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29"/>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29"/>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29"/>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29"/>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29"/>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29"/>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29"/>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29"/>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29"/>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29"/>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29"/>
    </row>
    <row r="110" spans="1:11" ht="30" customHeight="1">
      <c r="A110" s="132"/>
      <c r="B110" s="127"/>
      <c r="C110" s="133" t="s">
        <v>433</v>
      </c>
      <c r="D110" s="134" t="s">
        <v>45</v>
      </c>
      <c r="E110" s="135">
        <f t="shared" ref="E110" si="0">COUNTIF(E4:E109,"C*")</f>
        <v>0</v>
      </c>
      <c r="F110" s="147" t="str">
        <f>IF(Transverse!E110="","",Transverse!E110)</f>
        <v/>
      </c>
    </row>
    <row r="111" spans="1:11" ht="30" customHeight="1">
      <c r="A111" s="126"/>
      <c r="B111" s="127"/>
      <c r="C111" s="127"/>
      <c r="D111" s="136" t="s">
        <v>46</v>
      </c>
      <c r="E111" s="137">
        <f t="shared" ref="E111" si="1">COUNTIF(E4:E109,"NC*")</f>
        <v>0</v>
      </c>
      <c r="F111" s="147" t="str">
        <f>IF(Transverse!E111="","",Transverse!E111)</f>
        <v/>
      </c>
    </row>
    <row r="112" spans="1:11" ht="30" customHeight="1">
      <c r="A112" s="126"/>
      <c r="B112" s="127"/>
      <c r="C112" s="127"/>
      <c r="D112" s="138" t="s">
        <v>47</v>
      </c>
      <c r="E112" s="139">
        <f t="shared" ref="E112" si="2">COUNTIF(E4:E109,"NA")</f>
        <v>0</v>
      </c>
      <c r="F112" s="147" t="str">
        <f>IF(Transverse!E112="","",Transverse!E112)</f>
        <v/>
      </c>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352F56C2-70D4-4CB0-8C8D-FB6AB581B671}">
      <formula1>"C,NC,NA,NT"</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EEC9F-18A4-41D9-A5D4-136F2C2986AB}">
  <sheetPr codeName="Feuil10"/>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41.7109375" style="48" customWidth="1"/>
    <col min="9" max="9" width="46.42578125" style="49" customWidth="1"/>
    <col min="10" max="10" width="34.28515625" style="2" bestFit="1" customWidth="1"/>
    <col min="11" max="11" width="30.7109375"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Échantillon!$B$14</f>
        <v>0</v>
      </c>
      <c r="E2" s="90"/>
      <c r="F2" s="90"/>
      <c r="G2" s="27" t="s">
        <v>438</v>
      </c>
      <c r="H2" s="75">
        <f>Échantillon!$C$14</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tr">
        <f>'P01'!$J3</f>
        <v>Commentaires</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A5677636-FAA3-4AFE-AD54-8214EF947612}">
      <formula1>"C,NC,NA,NT"</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D061-79A3-494E-9E04-26EE47CEF08A}">
  <sheetPr codeName="Feuil11"/>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4.285156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Échantillon!$B$15</f>
        <v>0</v>
      </c>
      <c r="E2" s="90"/>
      <c r="F2" s="90"/>
      <c r="G2" s="27" t="s">
        <v>438</v>
      </c>
      <c r="H2" s="75">
        <f>Échantillon!$C$15</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C9577B35-45BF-4362-8A25-1A2CFC4FC701}">
      <formula1>"C,NC,NA,NT"</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C3D01-063E-4472-8827-06F4436751DC}">
  <sheetPr codeName="Feuil12"/>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Échantillon!$B$16</f>
        <v>0</v>
      </c>
      <c r="E2" s="90"/>
      <c r="F2" s="90"/>
      <c r="G2" s="27" t="s">
        <v>438</v>
      </c>
      <c r="H2" s="75">
        <f>Échantillon!$C$16</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02D50FEC-3190-4D63-B902-E2192C4883C8}">
      <formula1>"C,NC,NA,NT"</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EC3D-65E5-4125-A06C-2E374E2F971C}">
  <sheetPr codeName="Feuil13"/>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Échantillon!$B$17</f>
        <v>0</v>
      </c>
      <c r="E2" s="90"/>
      <c r="F2" s="90"/>
      <c r="G2" s="27" t="s">
        <v>438</v>
      </c>
      <c r="H2" s="75">
        <f>Échantillon!$C$17</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042BFC05-75C8-44A1-9AEA-DAD42B3C638A}">
      <formula1>"C,NC,NA,NT"</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E53E-5AE5-43E2-A909-D48554639B86}">
  <sheetPr codeName="Feuil14"/>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Échantillon!$B$18</f>
        <v>0</v>
      </c>
      <c r="E2" s="90"/>
      <c r="F2" s="90"/>
      <c r="G2" s="27" t="s">
        <v>438</v>
      </c>
      <c r="H2" s="75">
        <f>Échantillon!$C$18</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B40E39EA-A699-4C08-B5A3-37CC63254437}">
      <formula1>"C,NC,NA,NT"</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EB95E-9A5E-4ABC-A89C-03BB993B3496}">
  <sheetPr codeName="Feuil15"/>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Échantillon!$B$19</f>
        <v>0</v>
      </c>
      <c r="E2" s="90"/>
      <c r="F2" s="90"/>
      <c r="G2" s="27" t="s">
        <v>438</v>
      </c>
      <c r="H2" s="75">
        <f>Échantillon!$C$19</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288D7E06-F15A-4781-861F-2A0C24A5E718}">
      <formula1>"C,NC,NA,NT"</formula1>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FE7A-AA41-4E33-95A2-5D723FAAF4A0}">
  <sheetPr codeName="Feuil16"/>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Échantillon!$B$20</f>
        <v>0</v>
      </c>
      <c r="E2" s="90"/>
      <c r="F2" s="90"/>
      <c r="G2" s="27" t="s">
        <v>438</v>
      </c>
      <c r="H2" s="75">
        <f>Échantillon!$C$20</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7950243F-2671-433C-949F-89A39FF3B3CF}">
      <formula1>"C,NC,NA,NT"</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B857F-3A50-4D61-B4A9-FB342F51F36A}">
  <sheetPr codeName="Feuil17"/>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Échantillon!$B$21</f>
        <v>0</v>
      </c>
      <c r="E2" s="92"/>
      <c r="F2" s="92"/>
      <c r="G2" s="27" t="s">
        <v>438</v>
      </c>
      <c r="H2" s="75">
        <f>Échantillon!$C$21</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C872F2FC-B95B-4BD1-8EE7-20891F5CF49C}">
      <formula1>"C,NC,NA,NT"</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A383-DF81-4C99-8C1A-0BC605F12EA8}">
  <sheetPr codeName="Feuil18"/>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Échantillon!$B$22</f>
        <v>0</v>
      </c>
      <c r="E2" s="92"/>
      <c r="F2" s="92"/>
      <c r="G2" s="27" t="s">
        <v>438</v>
      </c>
      <c r="H2" s="75">
        <f>Échantillon!$C$22</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4148497F-00FC-4DDA-9C36-107571E5E2A4}">
      <formula1>"C,NC,NA,NT"</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FF5-3B10-4E12-8562-96FCA70E247C}">
  <sheetPr codeName="Feuil19"/>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Échantillon!$B$23</f>
        <v>0</v>
      </c>
      <c r="E2" s="92"/>
      <c r="F2" s="92"/>
      <c r="G2" s="27" t="s">
        <v>438</v>
      </c>
      <c r="H2" s="75">
        <f>Échantillon!$C$23</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055170A2-1BD8-4385-A7CD-26B68754F876}">
      <formula1>"C,NC,NA,NT"</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9B7B-57E6-453F-B425-8050675A9D99}">
  <sheetPr codeName="Feuil20"/>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Échantillon!$B$24</f>
        <v>0</v>
      </c>
      <c r="E2" s="92"/>
      <c r="F2" s="92"/>
      <c r="G2" s="27" t="s">
        <v>438</v>
      </c>
      <c r="H2" s="75">
        <f>Échantillon!$C$24</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1336F89B-18AA-4335-AF01-A3F929784CCD}">
      <formula1>"C,NC,NA,NT"</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9026-32F9-499F-A52F-6C659304888C}">
  <sheetPr codeName="Feuil21"/>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4.285156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Échantillon!$B$25</f>
        <v>0</v>
      </c>
      <c r="E2" s="92"/>
      <c r="F2" s="92"/>
      <c r="G2" s="27" t="s">
        <v>438</v>
      </c>
      <c r="H2" s="75">
        <f>Échantillon!$C$25</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988EA540-1B1E-4D6E-943A-99252E3E5550}">
      <formula1>"C,NC,NA,NT"</formula1>
    </dataValidation>
  </dataValidation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F130C-1B0E-4BD6-8BE3-BAB1C591433F}">
  <sheetPr codeName="Feuil22"/>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Échantillon!$B$26</f>
        <v>0</v>
      </c>
      <c r="E2" s="92"/>
      <c r="F2" s="92"/>
      <c r="G2" s="27" t="s">
        <v>438</v>
      </c>
      <c r="H2" s="75">
        <f>Échantillon!$C$26</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C94B87A7-B787-40F8-BBD1-350CE6CBBE0C}">
      <formula1>"C,NC,NA,NT"</formula1>
    </dataValidation>
  </dataValidation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B964-C5F8-4CC2-85B0-98E1DF97B539}">
  <sheetPr codeName="Feuil23"/>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Échantillon!$B$27</f>
        <v>0</v>
      </c>
      <c r="E2" s="92"/>
      <c r="F2" s="92"/>
      <c r="G2" s="27" t="s">
        <v>438</v>
      </c>
      <c r="H2" s="75">
        <f>Échantillon!$C$27</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BF6B5238-68A7-40AB-8026-85A46487A982}">
      <formula1>"C,NC,NA,NT"</formula1>
    </dataValidation>
  </dataValidation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7C9A-676B-485F-993E-B7BC753F1B39}">
  <sheetPr codeName="Feuil24"/>
  <dimension ref="A1:K112"/>
  <sheetViews>
    <sheetView topLeftCell="A3" zoomScale="70" zoomScaleNormal="70" workbookViewId="0">
      <selection activeCell="F3"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80">
        <f>Échantillon!$B$28</f>
        <v>0</v>
      </c>
      <c r="E2" s="90"/>
      <c r="F2" s="90"/>
      <c r="G2" s="27" t="s">
        <v>438</v>
      </c>
      <c r="H2" s="75">
        <f>Échantillon!$C$28</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08AAF284-98F5-4F77-9DD0-3D6BF64A9BE2}">
      <formula1>"C,NC,NA,NT"</formula1>
    </dataValidation>
  </dataValidation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9FE88-9C5F-4C72-BC37-A0211222963D}">
  <sheetPr codeName="Feuil25"/>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Échantillon!$B$29</f>
        <v>0</v>
      </c>
      <c r="E2" s="92"/>
      <c r="F2" s="92"/>
      <c r="G2" s="27" t="s">
        <v>438</v>
      </c>
      <c r="H2" s="75">
        <f>Échantillon!$C$29</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9107D33C-82A2-473F-A894-57C007263865}">
      <formula1>"C,NC,NA,NT"</formula1>
    </dataValidation>
  </dataValidation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4CBA-1AFC-4B4D-8A7C-8A8BBCDC65AE}">
  <sheetPr codeName="Feuil26"/>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Échantillon!$B$30</f>
        <v>0</v>
      </c>
      <c r="E2" s="92"/>
      <c r="F2" s="92"/>
      <c r="G2" s="27" t="s">
        <v>438</v>
      </c>
      <c r="H2" s="75">
        <f>Échantillon!$C$30</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C3022E77-5628-4500-BAF4-595C3F8CAB8F}">
      <formula1>"C,NC,NA,NT"</formula1>
    </dataValidation>
  </dataValidation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DACE5-3FC1-44C2-A7FD-BF9E32388630}">
  <sheetPr codeName="Feuil27"/>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Échantillon!$B$31</f>
        <v>0</v>
      </c>
      <c r="E2" s="92"/>
      <c r="F2" s="92"/>
      <c r="G2" s="27" t="s">
        <v>438</v>
      </c>
      <c r="H2" s="75">
        <f>Échantillon!$C$31</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A92960B3-B9DA-403B-9FB7-7FA9F07962AE}">
      <formula1>"C,NC,NA,NT"</formula1>
    </dataValidation>
  </dataValidation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6740-0AC1-4C17-B74C-809B80C6495E}">
  <sheetPr codeName="Feuil6"/>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9" t="str">
        <f>Échantillon!$A$32</f>
        <v>P21</v>
      </c>
      <c r="E2" s="91"/>
      <c r="F2" s="91"/>
      <c r="G2" s="27" t="s">
        <v>438</v>
      </c>
      <c r="H2" s="75">
        <f>Échantillon!$C$32</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834F30C1-E889-42B5-A161-C5A7984186EB}">
      <formula1>"C,NC,NA,NT"</formula1>
    </dataValidation>
  </dataValidation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559-17C3-452C-8DEC-8B7478382376}">
  <sheetPr codeName="Feuil7"/>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t="str">
        <f>Échantillon!$A$33</f>
        <v>P22</v>
      </c>
      <c r="E2" s="92"/>
      <c r="F2" s="92"/>
      <c r="G2" s="27" t="s">
        <v>438</v>
      </c>
      <c r="H2" s="75">
        <f>Échantillon!$C$33</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03512ED8-014B-4770-959D-89D848D0C759}">
      <formula1>"C,NC,NA,NT"</formula1>
    </dataValidation>
  </dataValidation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4A599-B610-469E-9B3D-DEF1033C2AED}">
  <sheetPr codeName="Feuil28"/>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t="str">
        <f>Échantillon!$A$34</f>
        <v>P23</v>
      </c>
      <c r="E2" s="92"/>
      <c r="F2" s="92"/>
      <c r="G2" s="27" t="s">
        <v>438</v>
      </c>
      <c r="H2" s="75">
        <f>Échantillon!$C$34</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84"/>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84"/>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84"/>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84"/>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84"/>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84"/>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84"/>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84"/>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84"/>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84"/>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84"/>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84"/>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84"/>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84"/>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84"/>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84"/>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84"/>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84"/>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84"/>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84"/>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84"/>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84"/>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84"/>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84"/>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84"/>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84"/>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84"/>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84"/>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84"/>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84"/>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84"/>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84"/>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84"/>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84"/>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84"/>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84"/>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84"/>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84"/>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84"/>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84"/>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84"/>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84"/>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84"/>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84"/>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84"/>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84"/>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84"/>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84"/>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84"/>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84"/>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84"/>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84"/>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84"/>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84"/>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84"/>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84"/>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84"/>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84"/>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84"/>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84"/>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84"/>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84"/>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84"/>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84"/>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84"/>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84"/>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84"/>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84"/>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84"/>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84"/>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84"/>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84"/>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84"/>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84"/>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84"/>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84"/>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84"/>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84"/>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84"/>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84"/>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84"/>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84"/>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84"/>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84"/>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84"/>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84"/>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84"/>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84"/>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84"/>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84"/>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84"/>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84"/>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84"/>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84"/>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84"/>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84"/>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84"/>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84"/>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84"/>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84"/>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84"/>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84"/>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84"/>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84"/>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84"/>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84"/>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DE3B1CAF-BBDF-4C1C-A7FA-5CAE0CC454FA}">
      <formula1>"C,NC,NA,NT"</formula1>
    </dataValidation>
  </dataValidation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2CBF4-A54B-4CFD-A44E-76A8BD8F2D0E}">
  <sheetPr codeName="Feuil29"/>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Échantillon!$B$35</f>
        <v>0</v>
      </c>
      <c r="E2" s="92"/>
      <c r="F2" s="92"/>
      <c r="G2" s="27" t="s">
        <v>438</v>
      </c>
      <c r="H2" s="75">
        <f>Échantillon!$C$35</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588AE39B-729E-4473-98EA-B6776CC33D52}">
      <formula1>"C,NC,NA,NT"</formula1>
    </dataValidation>
  </dataValidation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FBBF8-80F2-4C69-A6F6-55E67C9BA8D7}">
  <sheetPr codeName="Feuil30"/>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Échantillon!$B$36</f>
        <v>0</v>
      </c>
      <c r="E2" s="92"/>
      <c r="F2" s="92"/>
      <c r="G2" s="27" t="s">
        <v>438</v>
      </c>
      <c r="H2" s="75">
        <f>Échantillon!$C$36</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C0C27BD8-0EAB-4A35-8A23-3D177AED861C}">
      <formula1>"C,NC,NA,NT"</formula1>
    </dataValidation>
  </dataValidation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41C36-801B-4F36-B218-7F9ADC1DBA2C}">
  <sheetPr codeName="Feuil31"/>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Échantillon!$B$37</f>
        <v>0</v>
      </c>
      <c r="E2" s="92"/>
      <c r="F2" s="92"/>
      <c r="G2" s="27" t="s">
        <v>438</v>
      </c>
      <c r="H2" s="75">
        <f>Échantillon!$C$37</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B6FBA745-C87E-40D6-A067-2FE08A1C62C3}">
      <formula1>"C,NC,NA,NT"</formula1>
    </dataValidation>
  </dataValidation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1C82A-1397-4311-9E28-B686528586DE}">
  <sheetPr codeName="Feuil32"/>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Échantillon!$B$38</f>
        <v>0</v>
      </c>
      <c r="E2" s="92"/>
      <c r="F2" s="92"/>
      <c r="G2" s="27" t="s">
        <v>438</v>
      </c>
      <c r="H2" s="75">
        <f>Échantillon!$C$38</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disablePrompts="1"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4ADA16C8-25D4-4F13-AE9C-CC0497AA51DA}">
      <formula1>"C,NC,NA,NT"</formula1>
    </dataValidation>
  </dataValidation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F994-DCE2-4E91-97CF-14EB5C4476D8}">
  <sheetPr codeName="Feuil33"/>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Échantillon!$B$39</f>
        <v>0</v>
      </c>
      <c r="E2" s="92"/>
      <c r="F2" s="92"/>
      <c r="G2" s="27" t="s">
        <v>438</v>
      </c>
      <c r="H2" s="75">
        <f>Échantillon!$C$39</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E4EBB7EA-B746-4AEB-B622-05D82DC2BFF5}">
      <formula1>"C,NC,NA,NT"</formula1>
    </dataValidation>
  </dataValidation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1BA5C-2E09-4A01-9D7C-FB959CDC453B}">
  <sheetPr codeName="Feuil34"/>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Échantillon!$B$40</f>
        <v>0</v>
      </c>
      <c r="E2" s="92"/>
      <c r="F2" s="92"/>
      <c r="G2" s="27" t="s">
        <v>438</v>
      </c>
      <c r="H2" s="75">
        <f>Échantillon!$C$40</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disablePrompts="1"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C6F2A90A-8EFF-41B8-8FE3-2A3175E88541}">
      <formula1>"C,NC,NA,NT"</formula1>
    </dataValidation>
  </dataValidation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5BE0C-69AD-4B6C-AD0F-BBFAA19D1649}">
  <sheetPr codeName="Feuil35"/>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Échantillon!$B$41</f>
        <v>0</v>
      </c>
      <c r="E2" s="92"/>
      <c r="F2" s="92"/>
      <c r="G2" s="27" t="s">
        <v>438</v>
      </c>
      <c r="H2" s="75">
        <f>Échantillon!$C$41</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044D598E-F103-45E6-8C22-F6890A6C7CB9}">
      <formula1>"C,NC,NA,NT"</formula1>
    </dataValidation>
  </dataValidation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AF70-2C64-4860-9B50-54D8C30B8829}">
  <sheetPr codeName="Feuil36"/>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Échantillon!$B$42</f>
        <v>0</v>
      </c>
      <c r="E2" s="92"/>
      <c r="F2" s="92"/>
      <c r="G2" s="27" t="s">
        <v>438</v>
      </c>
      <c r="H2" s="75">
        <f>Échantillon!$C$42</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AC91A31A-EE41-4C69-8A0E-6172F9E7AA5D}">
      <formula1>"C,NC,NA,NT"</formula1>
    </dataValidation>
  </dataValidation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389C-3B58-4474-90F6-5464E9E3BABA}">
  <sheetPr codeName="Feuil37"/>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Échantillon!$B$43</f>
        <v>0</v>
      </c>
      <c r="E2" s="92"/>
      <c r="F2" s="92"/>
      <c r="G2" s="27" t="s">
        <v>438</v>
      </c>
      <c r="H2" s="75">
        <f>Échantillon!$C$43</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AA86D987-B255-463E-B65B-B7592927267C}">
      <formula1>"C,NC,NA,NT"</formula1>
    </dataValidation>
  </dataValidation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A531C-8DA9-44DD-866E-AD0315163983}">
  <sheetPr codeName="Feuil38"/>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9">
        <f>Échantillon!$B44</f>
        <v>0</v>
      </c>
      <c r="E2" s="91"/>
      <c r="F2" s="91"/>
      <c r="G2" s="27" t="s">
        <v>438</v>
      </c>
      <c r="H2" s="73">
        <f>Échantillon!$C44</f>
        <v>0</v>
      </c>
      <c r="I2" s="74"/>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FE565F51-B26B-4ED7-ACDE-F6AA4D73A09F}">
      <formula1>"C,NC,NA,NT"</formula1>
    </dataValidation>
  </dataValidation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2960-E251-45C8-B89F-019BD132184B}">
  <sheetPr codeName="Feuil39"/>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9">
        <f>Échantillon!$B45</f>
        <v>0</v>
      </c>
      <c r="E2" s="91"/>
      <c r="F2" s="91"/>
      <c r="G2" s="27" t="s">
        <v>438</v>
      </c>
      <c r="H2" s="73">
        <f>Échantillon!$C45</f>
        <v>0</v>
      </c>
      <c r="I2" s="74"/>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12236810-2FF0-4253-9BB3-5F95AA0546F8}">
      <formula1>"C,NC,NA,NT"</formula1>
    </dataValidation>
  </dataValidation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3BD8D-16EF-4663-BA86-C71A77791A8A}">
  <sheetPr codeName="Feuil40"/>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Échantillon!$B$46</f>
        <v>0</v>
      </c>
      <c r="E2" s="92"/>
      <c r="F2" s="92"/>
      <c r="G2" s="27" t="s">
        <v>438</v>
      </c>
      <c r="H2" s="75">
        <f>Échantillon!$C$46</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phoneticPr fontId="1" type="noConversion"/>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AC3E8B5D-894D-4EA1-8D6E-ACC6DDA2F3DB}">
      <formula1>"C,NC,NA,NT"</formula1>
    </dataValidation>
  </dataValidation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67DA-79E3-4731-AC50-2E82D7D45353}">
  <sheetPr codeName="Feuil41"/>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Échantillon!$B$47</f>
        <v>0</v>
      </c>
      <c r="E2" s="92"/>
      <c r="F2" s="92"/>
      <c r="G2" s="27" t="s">
        <v>438</v>
      </c>
      <c r="H2" s="75">
        <f>Échantillon!$C$47</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DCC781EB-F016-4B47-BAD4-FEA768BACD26}">
      <formula1>"C,NC,NA,NT"</formula1>
    </dataValidation>
  </dataValidation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0AD6F-93EA-4CDD-A0DF-4EA4458C60CE}">
  <sheetPr codeName="Feuil42"/>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Échantillon!$B$48</f>
        <v>0</v>
      </c>
      <c r="E2" s="92"/>
      <c r="F2" s="92"/>
      <c r="G2" s="27" t="s">
        <v>438</v>
      </c>
      <c r="H2" s="75">
        <f>Échantillon!$C$48</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17FD35AC-912B-4DA1-A646-B6FD6566B819}">
      <formula1>"C,NC,NA,NT"</formula1>
    </dataValidation>
  </dataValidation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9535-B055-4F75-AE20-77EAD53F14A2}">
  <sheetPr codeName="Feuil43"/>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Échantillon!$B$49</f>
        <v>0</v>
      </c>
      <c r="E2" s="92"/>
      <c r="F2" s="92"/>
      <c r="G2" s="27" t="s">
        <v>438</v>
      </c>
      <c r="H2" s="75">
        <f>Échantillon!$C$49</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658185C6-61DC-4D55-B1DA-EB98CC00F020}">
      <formula1>"C,NC,NA,NT"</formula1>
    </dataValidation>
  </dataValidation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D678-2CA4-4CFC-8538-1D06057851D2}">
  <sheetPr codeName="Feuil44"/>
  <dimension ref="A1:K112"/>
  <sheetViews>
    <sheetView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5">
        <f>Échantillon!$B$50</f>
        <v>0</v>
      </c>
      <c r="E2" s="92"/>
      <c r="F2" s="92"/>
      <c r="G2" s="27" t="s">
        <v>438</v>
      </c>
      <c r="H2" s="75">
        <f>Échantillon!$C$50</f>
        <v>0</v>
      </c>
      <c r="I2" s="76"/>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42"/>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42"/>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42"/>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42"/>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42"/>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42"/>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42"/>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42"/>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42"/>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42"/>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42"/>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42"/>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42"/>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42"/>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42"/>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42"/>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42"/>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42"/>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42"/>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42"/>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42"/>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42"/>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42"/>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42"/>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42"/>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42"/>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42"/>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42"/>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42"/>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42"/>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42"/>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42"/>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42"/>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42"/>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42"/>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42"/>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42"/>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42"/>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42"/>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42"/>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42"/>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42"/>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42"/>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42"/>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42"/>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42"/>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42"/>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42"/>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42"/>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42"/>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42"/>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42"/>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42"/>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42"/>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42"/>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42"/>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42"/>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42"/>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42"/>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42"/>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42"/>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42"/>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42"/>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42"/>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42"/>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42"/>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42"/>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42"/>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42"/>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42"/>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42"/>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42"/>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42"/>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42"/>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42"/>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42"/>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42"/>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42"/>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42"/>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42"/>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42"/>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42"/>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42"/>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42"/>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42"/>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42"/>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42"/>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42"/>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42"/>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42"/>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42"/>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42"/>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42"/>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42"/>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42"/>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42"/>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42"/>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42"/>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42"/>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42"/>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42"/>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42"/>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42"/>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42"/>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42"/>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42"/>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529AC8E1-AA9D-4DC5-94E9-491BDACCD602}">
      <formula1>"C,NC,NA,NT"</formula1>
    </dataValidation>
  </dataValidation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00C0-BD17-41A4-A4AE-2E8F39B3C413}">
  <sheetPr codeName="Feuil45"/>
  <dimension ref="A1:K112"/>
  <sheetViews>
    <sheetView topLeftCell="D1" zoomScale="70" zoomScaleNormal="70" workbookViewId="0">
      <selection activeCell="F1" sqref="F1:F1048576"/>
    </sheetView>
  </sheetViews>
  <sheetFormatPr baseColWidth="10" defaultColWidth="11.42578125" defaultRowHeight="77.25" customHeight="1"/>
  <cols>
    <col min="1" max="1" width="25.140625" style="2" customWidth="1"/>
    <col min="2" max="2" width="5.85546875" style="96" customWidth="1"/>
    <col min="3" max="3" width="5.85546875" style="2" customWidth="1"/>
    <col min="4" max="4" width="75.140625" style="2" customWidth="1"/>
    <col min="5" max="5" width="11.42578125" style="2"/>
    <col min="6" max="6" width="12.5703125" style="2" hidden="1" customWidth="1"/>
    <col min="7" max="7" width="12.42578125" style="2" customWidth="1"/>
    <col min="8" max="8" width="58.85546875" style="48" customWidth="1"/>
    <col min="9" max="9" width="46.42578125" style="49" customWidth="1"/>
    <col min="10" max="10" width="30.5703125" style="2" bestFit="1" customWidth="1"/>
    <col min="11" max="11" width="32" style="7" customWidth="1"/>
    <col min="12" max="16384" width="11.42578125" style="2"/>
  </cols>
  <sheetData>
    <row r="1" spans="1:11" ht="40.5" customHeight="1">
      <c r="A1" s="117" t="str">
        <f>'P01'!$A$1</f>
        <v>Capgemini ♠</v>
      </c>
      <c r="B1" s="93" t="str">
        <f>Échantillon!B1</f>
        <v>Grille RGAA 4.1.2</v>
      </c>
      <c r="C1" s="81"/>
      <c r="D1" s="97"/>
      <c r="E1" s="37"/>
      <c r="F1" s="37"/>
      <c r="G1" s="97"/>
      <c r="H1" s="97"/>
      <c r="I1" s="97"/>
      <c r="J1" s="97"/>
      <c r="K1" s="97"/>
    </row>
    <row r="2" spans="1:11" ht="27" customHeight="1">
      <c r="A2" s="45"/>
      <c r="B2" s="94"/>
      <c r="C2" s="46" t="s">
        <v>450</v>
      </c>
      <c r="D2" s="79">
        <f>Échantillon!$B51</f>
        <v>0</v>
      </c>
      <c r="E2" s="91"/>
      <c r="F2" s="91"/>
      <c r="G2" s="27" t="s">
        <v>438</v>
      </c>
      <c r="H2" s="73">
        <f>Échantillon!$C51</f>
        <v>0</v>
      </c>
      <c r="I2" s="74"/>
      <c r="J2" s="23" t="s">
        <v>439</v>
      </c>
      <c r="K2" s="36" t="str">
        <f>IFERROR(E110/(E110+E111), "0%")</f>
        <v>0%</v>
      </c>
    </row>
    <row r="3" spans="1:11" ht="77.25" customHeight="1">
      <c r="A3" s="194" t="str">
        <f>'Critères et tests'!B2</f>
        <v>Thématique</v>
      </c>
      <c r="B3" s="17" t="str">
        <f>'Critères et tests'!$A2</f>
        <v>n°critères</v>
      </c>
      <c r="C3" s="17" t="str">
        <f>'Critères et tests'!$C2</f>
        <v>Niveau WCAG</v>
      </c>
      <c r="D3" s="25" t="str">
        <f>'Critères et tests'!$E2</f>
        <v>Intitulé des critères</v>
      </c>
      <c r="E3" s="26" t="str">
        <f>'P01'!$E3</f>
        <v>Statut</v>
      </c>
      <c r="F3" s="26" t="str">
        <f>'P01'!$F3</f>
        <v>Transverse</v>
      </c>
      <c r="G3" s="24" t="str">
        <f>'P01'!$G3</f>
        <v>Dérogation</v>
      </c>
      <c r="H3" s="31" t="s">
        <v>454</v>
      </c>
      <c r="I3" s="31" t="str">
        <f>'Critères et tests'!$H2</f>
        <v>Planification des correctifs</v>
      </c>
      <c r="J3" s="25" t="s">
        <v>443</v>
      </c>
      <c r="K3" s="86" t="str">
        <f>'P01'!$K3</f>
        <v>Cause dérogation</v>
      </c>
    </row>
    <row r="4" spans="1:11" ht="77.25" customHeight="1">
      <c r="A4" s="194" t="str">
        <f>'Critères et tests'!B3</f>
        <v>IMAGES</v>
      </c>
      <c r="B4" s="95" t="str">
        <f>'Critères et tests'!$A3</f>
        <v>1.1</v>
      </c>
      <c r="C4" s="28" t="str">
        <f>'Critères et tests'!$C3</f>
        <v>A</v>
      </c>
      <c r="D4" s="32" t="str">
        <f>'Critères et tests'!$E3</f>
        <v>Chaque image porteuse d’information a-t-elle une alternative textuelle ?</v>
      </c>
      <c r="E4" s="147"/>
      <c r="F4" s="147" t="str">
        <f>IF(Transverse!E4="","",Transverse!E4)</f>
        <v/>
      </c>
      <c r="G4" s="47"/>
      <c r="H4" s="47"/>
      <c r="I4" s="32" t="str">
        <f>'Critères et tests'!$H3</f>
        <v>Principale</v>
      </c>
      <c r="J4" s="29"/>
      <c r="K4" s="84"/>
    </row>
    <row r="5" spans="1:11" ht="77.25" customHeight="1">
      <c r="A5" s="194" t="str">
        <f>'Critères et tests'!B4</f>
        <v>IMAGES</v>
      </c>
      <c r="B5" s="95" t="str">
        <f>'Critères et tests'!$A4</f>
        <v>1.2</v>
      </c>
      <c r="C5" s="28" t="str">
        <f>'Critères et tests'!$C4</f>
        <v>A</v>
      </c>
      <c r="D5" s="32" t="str">
        <f>'Critères et tests'!$E4</f>
        <v>Chaque image de décoration est-elle correctement ignorée par les technologies d’assistance ?</v>
      </c>
      <c r="E5" s="147"/>
      <c r="F5" s="147" t="str">
        <f>IF(Transverse!E5="","",Transverse!E5)</f>
        <v/>
      </c>
      <c r="G5" s="47"/>
      <c r="H5" s="47"/>
      <c r="I5" s="32" t="str">
        <f>'Critères et tests'!$H4</f>
        <v>Faible à important</v>
      </c>
      <c r="J5" s="29"/>
      <c r="K5" s="84"/>
    </row>
    <row r="6" spans="1:11" ht="77.25" customHeight="1">
      <c r="A6" s="194" t="str">
        <f>'Critères et tests'!B5</f>
        <v>IMAGES</v>
      </c>
      <c r="B6" s="95" t="str">
        <f>'Critères et tests'!$A5</f>
        <v>1.3</v>
      </c>
      <c r="C6" s="28" t="str">
        <f>'Critères et tests'!$C5</f>
        <v>A</v>
      </c>
      <c r="D6" s="32" t="str">
        <f>'Critères et tests'!$E5</f>
        <v>Pour chaque image porteuse d'information ayant une alternative textuelle, cette alternative est-elle pertinente (hors cas particuliers) ?</v>
      </c>
      <c r="E6" s="147"/>
      <c r="F6" s="147" t="str">
        <f>IF(Transverse!E6="","",Transverse!E6)</f>
        <v/>
      </c>
      <c r="G6" s="47"/>
      <c r="H6" s="47"/>
      <c r="I6" s="32" t="str">
        <f>'Critères et tests'!$H5</f>
        <v>Principale</v>
      </c>
      <c r="J6" s="29"/>
      <c r="K6" s="84"/>
    </row>
    <row r="7" spans="1:11" ht="77.25" customHeight="1">
      <c r="A7" s="194" t="str">
        <f>'Critères et tests'!B6</f>
        <v>IMAGES</v>
      </c>
      <c r="B7" s="95" t="str">
        <f>'Critères et tests'!$A6</f>
        <v>1.4</v>
      </c>
      <c r="C7" s="28" t="str">
        <f>'Critères et tests'!$C6</f>
        <v>A</v>
      </c>
      <c r="D7" s="32" t="str">
        <f>'Critères et tests'!$E6</f>
        <v>Pour chaque image utilisée comme CAPTCHA ou comme image-test, ayant une alternative textuelle, cette alternative permet-elle d’identifier la nature et la fonction de l’image ?</v>
      </c>
      <c r="E7" s="147"/>
      <c r="F7" s="147" t="str">
        <f>IF(Transverse!E7="","",Transverse!E7)</f>
        <v/>
      </c>
      <c r="G7" s="47"/>
      <c r="H7" s="47"/>
      <c r="I7" s="32" t="str">
        <f>'Critères et tests'!$H6</f>
        <v>Principale</v>
      </c>
      <c r="J7" s="29"/>
      <c r="K7" s="84"/>
    </row>
    <row r="8" spans="1:11" ht="77.25" customHeight="1">
      <c r="A8" s="194" t="str">
        <f>'Critères et tests'!B7</f>
        <v>IMAGES</v>
      </c>
      <c r="B8" s="95" t="str">
        <f>'Critères et tests'!$A7</f>
        <v>1.5</v>
      </c>
      <c r="C8" s="28" t="str">
        <f>'Critères et tests'!$C7</f>
        <v>A</v>
      </c>
      <c r="D8" s="32" t="str">
        <f>'Critères et tests'!$E7</f>
        <v>Pour chaque image utilisée comme CAPTCHA, une solution d’accès alternatif au contenu ou à la fonction du CAPTCHA est-elle présente ?</v>
      </c>
      <c r="E8" s="147"/>
      <c r="F8" s="147" t="str">
        <f>IF(Transverse!E8="","",Transverse!E8)</f>
        <v/>
      </c>
      <c r="G8" s="47"/>
      <c r="H8" s="47"/>
      <c r="I8" s="32" t="str">
        <f>'Critères et tests'!$H7</f>
        <v>Principale</v>
      </c>
      <c r="J8" s="29"/>
      <c r="K8" s="84"/>
    </row>
    <row r="9" spans="1:11" ht="77.25" customHeight="1">
      <c r="A9" s="194" t="str">
        <f>'Critères et tests'!B8</f>
        <v>IMAGES</v>
      </c>
      <c r="B9" s="95" t="str">
        <f>'Critères et tests'!$A8</f>
        <v>1.6</v>
      </c>
      <c r="C9" s="28" t="str">
        <f>'Critères et tests'!$C8</f>
        <v>A</v>
      </c>
      <c r="D9" s="32" t="str">
        <f>'Critères et tests'!$E8</f>
        <v>Chaque image porteuse d’information a-t-elle, si nécessaire, une description détaillée ?</v>
      </c>
      <c r="E9" s="147"/>
      <c r="F9" s="147" t="str">
        <f>IF(Transverse!E9="","",Transverse!E9)</f>
        <v/>
      </c>
      <c r="G9" s="47"/>
      <c r="H9" s="47"/>
      <c r="I9" s="32" t="str">
        <f>'Critères et tests'!$H8</f>
        <v>Principale</v>
      </c>
      <c r="J9" s="29"/>
      <c r="K9" s="84"/>
    </row>
    <row r="10" spans="1:11" ht="77.25" customHeight="1">
      <c r="A10" s="194" t="str">
        <f>'Critères et tests'!B9</f>
        <v>IMAGES</v>
      </c>
      <c r="B10" s="95" t="str">
        <f>'Critères et tests'!$A9</f>
        <v>1.7</v>
      </c>
      <c r="C10" s="28" t="str">
        <f>'Critères et tests'!$C9</f>
        <v>A</v>
      </c>
      <c r="D10" s="32" t="str">
        <f>'Critères et tests'!$E9</f>
        <v>Pour chaque image porteuse d’information ayant une description détaillée, cette description est-elle pertinente ?</v>
      </c>
      <c r="E10" s="147"/>
      <c r="F10" s="147" t="str">
        <f>IF(Transverse!E10="","",Transverse!E10)</f>
        <v/>
      </c>
      <c r="G10" s="47"/>
      <c r="H10" s="47"/>
      <c r="I10" s="32" t="str">
        <f>'Critères et tests'!$H9</f>
        <v>Principale</v>
      </c>
      <c r="J10" s="29"/>
      <c r="K10" s="84"/>
    </row>
    <row r="11" spans="1:11" ht="77.25" customHeight="1">
      <c r="A11" s="194" t="str">
        <f>'Critères et tests'!B10</f>
        <v>IMAGES</v>
      </c>
      <c r="B11" s="95" t="str">
        <f>'Critères et tests'!$A10</f>
        <v>1.8</v>
      </c>
      <c r="C11" s="28" t="str">
        <f>'Critères et tests'!$C10</f>
        <v>AA</v>
      </c>
      <c r="D11" s="32" t="str">
        <f>'Critères et tests'!$E10</f>
        <v>Chaque image texte porteuse d’information, en l’absence d’un mécanisme de remplacement, doit si possible être remplacée par du texte stylé. Cette règle est-elle respectée (hors cas particuliers) ?</v>
      </c>
      <c r="E11" s="147"/>
      <c r="F11" s="147" t="str">
        <f>IF(Transverse!E11="","",Transverse!E11)</f>
        <v/>
      </c>
      <c r="G11" s="47"/>
      <c r="H11" s="47"/>
      <c r="I11" s="32" t="str">
        <f>'Critères et tests'!$H10</f>
        <v>Moyen à important</v>
      </c>
      <c r="J11" s="29"/>
      <c r="K11" s="84"/>
    </row>
    <row r="12" spans="1:11" ht="77.25" customHeight="1">
      <c r="A12" s="194" t="str">
        <f>'Critères et tests'!B11</f>
        <v>IMAGES</v>
      </c>
      <c r="B12" s="95" t="str">
        <f>'Critères et tests'!$A11</f>
        <v>1.9</v>
      </c>
      <c r="C12" s="28" t="str">
        <f>'Critères et tests'!$C11</f>
        <v>A</v>
      </c>
      <c r="D12" s="32" t="str">
        <f>'Critères et tests'!$E11</f>
        <v>Chaque légende d’image est-elle, si nécessaire, correctement reliée à l’image correspondante ?</v>
      </c>
      <c r="E12" s="147"/>
      <c r="F12" s="147" t="str">
        <f>IF(Transverse!E12="","",Transverse!E12)</f>
        <v/>
      </c>
      <c r="G12" s="47"/>
      <c r="H12" s="47"/>
      <c r="I12" s="32" t="str">
        <f>'Critères et tests'!$H11</f>
        <v>Important à principale</v>
      </c>
      <c r="J12" s="29"/>
      <c r="K12" s="84"/>
    </row>
    <row r="13" spans="1:11" ht="77.25" customHeight="1">
      <c r="A13" s="194" t="str">
        <f>'Critères et tests'!B12</f>
        <v>CADRE</v>
      </c>
      <c r="B13" s="95" t="str">
        <f>'Critères et tests'!$A12</f>
        <v>2.1</v>
      </c>
      <c r="C13" s="28" t="str">
        <f>'Critères et tests'!$C12</f>
        <v>A</v>
      </c>
      <c r="D13" s="32" t="str">
        <f>'Critères et tests'!$E12</f>
        <v>Chaque cadre a-t-il un titre de cadre ?</v>
      </c>
      <c r="E13" s="147"/>
      <c r="F13" s="147" t="str">
        <f>IF(Transverse!E13="","",Transverse!E13)</f>
        <v/>
      </c>
      <c r="G13" s="47"/>
      <c r="H13" s="47"/>
      <c r="I13" s="32" t="str">
        <f>'Critères et tests'!$H12</f>
        <v>Important à principale</v>
      </c>
      <c r="J13" s="29"/>
      <c r="K13" s="84"/>
    </row>
    <row r="14" spans="1:11" ht="77.25" customHeight="1">
      <c r="A14" s="194" t="str">
        <f>'Critères et tests'!B13</f>
        <v>CADRE</v>
      </c>
      <c r="B14" s="95" t="str">
        <f>'Critères et tests'!$A13</f>
        <v>2.2</v>
      </c>
      <c r="C14" s="28" t="str">
        <f>'Critères et tests'!$C13</f>
        <v>A</v>
      </c>
      <c r="D14" s="32" t="str">
        <f>'Critères et tests'!$E13</f>
        <v>Pour chaque cadre ayant un titre de cadre, ce titre de cadre est-il pertinent ?</v>
      </c>
      <c r="E14" s="147"/>
      <c r="F14" s="147" t="str">
        <f>IF(Transverse!E14="","",Transverse!E14)</f>
        <v/>
      </c>
      <c r="G14" s="47"/>
      <c r="H14" s="47"/>
      <c r="I14" s="32" t="str">
        <f>'Critères et tests'!$H13</f>
        <v>Faible à important</v>
      </c>
      <c r="J14" s="29"/>
      <c r="K14" s="84"/>
    </row>
    <row r="15" spans="1:11" ht="77.25" customHeight="1">
      <c r="A15" s="194" t="str">
        <f>'Critères et tests'!B14</f>
        <v>COULEURS</v>
      </c>
      <c r="B15" s="95" t="str">
        <f>'Critères et tests'!$A14</f>
        <v>3.1</v>
      </c>
      <c r="C15" s="28" t="str">
        <f>'Critères et tests'!$C14</f>
        <v>A</v>
      </c>
      <c r="D15" s="32" t="str">
        <f>'Critères et tests'!$E14</f>
        <v>Dans chaque page web, l’information ne doit pas être donnée uniquement par la couleur. Cette règle est-elle respectée ?</v>
      </c>
      <c r="E15" s="147"/>
      <c r="F15" s="147" t="str">
        <f>IF(Transverse!E15="","",Transverse!E15)</f>
        <v/>
      </c>
      <c r="G15" s="47"/>
      <c r="H15" s="47"/>
      <c r="I15" s="32" t="str">
        <f>'Critères et tests'!$H14</f>
        <v>Faible à important</v>
      </c>
      <c r="J15" s="29"/>
      <c r="K15" s="84"/>
    </row>
    <row r="16" spans="1:11" ht="77.25" customHeight="1">
      <c r="A16" s="194" t="str">
        <f>'Critères et tests'!B15</f>
        <v>COULEURS</v>
      </c>
      <c r="B16" s="95" t="str">
        <f>'Critères et tests'!$A15</f>
        <v>3.2</v>
      </c>
      <c r="C16" s="28" t="str">
        <f>'Critères et tests'!$C15</f>
        <v>A</v>
      </c>
      <c r="D16" s="32" t="str">
        <f>'Critères et tests'!$E15</f>
        <v>Dans chaque page web, le contraste entre la couleur du texte et la couleur de son arrière-plan est-il suffisamment élevé (hors cas particuliers) ?</v>
      </c>
      <c r="E16" s="147"/>
      <c r="F16" s="147" t="str">
        <f>IF(Transverse!E16="","",Transverse!E16)</f>
        <v/>
      </c>
      <c r="G16" s="47"/>
      <c r="H16" s="47"/>
      <c r="I16" s="32" t="str">
        <f>'Critères et tests'!$H15</f>
        <v>Important à principale</v>
      </c>
      <c r="J16" s="29"/>
      <c r="K16" s="84"/>
    </row>
    <row r="17" spans="1:11" ht="77.25" customHeight="1">
      <c r="A17" s="194" t="str">
        <f>'Critères et tests'!B16</f>
        <v>COULEURS</v>
      </c>
      <c r="B17" s="95" t="str">
        <f>'Critères et tests'!$A16</f>
        <v>3.3</v>
      </c>
      <c r="C17" s="28" t="str">
        <f>'Critères et tests'!$C16</f>
        <v>A</v>
      </c>
      <c r="D17" s="32" t="str">
        <f>'Critères et tests'!$E16</f>
        <v>Dans chaque page web, les couleurs utilisées dans les composants d’interface ou les éléments graphiques porteurs d’informations sont-elles suffisamment contrastées (hors cas particuliers) ?</v>
      </c>
      <c r="E17" s="147"/>
      <c r="F17" s="147" t="str">
        <f>IF(Transverse!E17="","",Transverse!E17)</f>
        <v/>
      </c>
      <c r="G17" s="47"/>
      <c r="H17" s="47"/>
      <c r="I17" s="32" t="str">
        <f>'Critères et tests'!$H16</f>
        <v>Important à principale</v>
      </c>
      <c r="J17" s="29"/>
      <c r="K17" s="84"/>
    </row>
    <row r="18" spans="1:11" ht="77.25" customHeight="1">
      <c r="A18" s="194" t="str">
        <f>'Critères et tests'!B17</f>
        <v>MULTIMÉDIA</v>
      </c>
      <c r="B18" s="95" t="str">
        <f>'Critères et tests'!$A17</f>
        <v>4.1</v>
      </c>
      <c r="C18" s="28" t="str">
        <f>'Critères et tests'!$C17</f>
        <v>A</v>
      </c>
      <c r="D18" s="32" t="str">
        <f>'Critères et tests'!$E17</f>
        <v>Chaque média temporel préenregistré a-t-il, si nécessaire, une transcription textuelle ou une audiodescription (hors cas particuliers) ?</v>
      </c>
      <c r="E18" s="147"/>
      <c r="F18" s="147" t="str">
        <f>IF(Transverse!E18="","",Transverse!E18)</f>
        <v/>
      </c>
      <c r="G18" s="47"/>
      <c r="H18" s="47"/>
      <c r="I18" s="32" t="str">
        <f>'Critères et tests'!$H17</f>
        <v>Important à principale</v>
      </c>
      <c r="J18" s="29"/>
      <c r="K18" s="84"/>
    </row>
    <row r="19" spans="1:11" ht="77.25" customHeight="1">
      <c r="A19" s="194" t="str">
        <f>'Critères et tests'!B18</f>
        <v>MULTIMÉDIA</v>
      </c>
      <c r="B19" s="95" t="str">
        <f>'Critères et tests'!$A18</f>
        <v>4.2</v>
      </c>
      <c r="C19" s="28" t="str">
        <f>'Critères et tests'!$C18</f>
        <v>A</v>
      </c>
      <c r="D19" s="32" t="str">
        <f>'Critères et tests'!$E18</f>
        <v>Pour chaque média temporel préenregistré ayant une transcription textuelle ou une audiodescription synchronisée, celles-ci sont-elles pertinentes (hors cas particuliers) ?</v>
      </c>
      <c r="E19" s="147"/>
      <c r="F19" s="147" t="str">
        <f>IF(Transverse!E19="","",Transverse!E19)</f>
        <v/>
      </c>
      <c r="G19" s="47"/>
      <c r="H19" s="47"/>
      <c r="I19" s="32" t="str">
        <f>'Critères et tests'!$H18</f>
        <v>Important à principale</v>
      </c>
      <c r="J19" s="29"/>
      <c r="K19" s="84"/>
    </row>
    <row r="20" spans="1:11" ht="77.25" customHeight="1">
      <c r="A20" s="194" t="str">
        <f>'Critères et tests'!B19</f>
        <v>MULTIMÉDIA</v>
      </c>
      <c r="B20" s="95" t="str">
        <f>'Critères et tests'!$A19</f>
        <v>4.3</v>
      </c>
      <c r="C20" s="28" t="str">
        <f>'Critères et tests'!$C19</f>
        <v>A</v>
      </c>
      <c r="D20" s="32" t="str">
        <f>'Critères et tests'!$E19</f>
        <v>Chaque média temporel synchronisé préenregistré a-t-il, si nécessaire, des sous-titres synchronisés (hors cas particuliers) ?</v>
      </c>
      <c r="E20" s="147"/>
      <c r="F20" s="147" t="str">
        <f>IF(Transverse!E20="","",Transverse!E20)</f>
        <v/>
      </c>
      <c r="G20" s="47"/>
      <c r="H20" s="47"/>
      <c r="I20" s="32" t="str">
        <f>'Critères et tests'!$H19</f>
        <v>Principale</v>
      </c>
      <c r="J20" s="29"/>
      <c r="K20" s="84"/>
    </row>
    <row r="21" spans="1:11" ht="77.25" customHeight="1">
      <c r="A21" s="194" t="str">
        <f>'Critères et tests'!B20</f>
        <v>MULTIMÉDIA</v>
      </c>
      <c r="B21" s="95" t="str">
        <f>'Critères et tests'!$A20</f>
        <v>4.4</v>
      </c>
      <c r="C21" s="28" t="str">
        <f>'Critères et tests'!$C20</f>
        <v>A</v>
      </c>
      <c r="D21" s="32" t="str">
        <f>'Critères et tests'!$E20</f>
        <v>Pour chaque média temporel synchronisé préenregistré ayant des sous-titres synchronisés, ces sous-titres sont-ils pertinents ?</v>
      </c>
      <c r="E21" s="147"/>
      <c r="F21" s="147" t="str">
        <f>IF(Transverse!E21="","",Transverse!E21)</f>
        <v/>
      </c>
      <c r="G21" s="47"/>
      <c r="H21" s="47"/>
      <c r="I21" s="32" t="str">
        <f>'Critères et tests'!$H20</f>
        <v>Principale</v>
      </c>
      <c r="J21" s="29"/>
      <c r="K21" s="84"/>
    </row>
    <row r="22" spans="1:11" ht="77.25" customHeight="1">
      <c r="A22" s="194" t="str">
        <f>'Critères et tests'!B21</f>
        <v>MULTIMÉDIA</v>
      </c>
      <c r="B22" s="95" t="str">
        <f>'Critères et tests'!$A21</f>
        <v>4.5</v>
      </c>
      <c r="C22" s="28" t="str">
        <f>'Critères et tests'!$C21</f>
        <v>AA</v>
      </c>
      <c r="D22" s="32" t="str">
        <f>'Critères et tests'!$E21</f>
        <v>Chaque média temporel préenregistré a-t-il, si nécessaire, une audiodescription synchronisée (hors cas particuliers) ?</v>
      </c>
      <c r="E22" s="147"/>
      <c r="F22" s="147" t="str">
        <f>IF(Transverse!E22="","",Transverse!E22)</f>
        <v/>
      </c>
      <c r="G22" s="47"/>
      <c r="H22" s="47"/>
      <c r="I22" s="32" t="str">
        <f>'Critères et tests'!$H21</f>
        <v>Moyen à important</v>
      </c>
      <c r="J22" s="29"/>
      <c r="K22" s="84"/>
    </row>
    <row r="23" spans="1:11" ht="77.25" customHeight="1">
      <c r="A23" s="194" t="str">
        <f>'Critères et tests'!B22</f>
        <v>MULTIMÉDIA</v>
      </c>
      <c r="B23" s="95" t="str">
        <f>'Critères et tests'!$A22</f>
        <v>4.6</v>
      </c>
      <c r="C23" s="28" t="str">
        <f>'Critères et tests'!$C22</f>
        <v>AA</v>
      </c>
      <c r="D23" s="32" t="str">
        <f>'Critères et tests'!$E22</f>
        <v>Pour chaque média temporel préenregistré ayant une audiodescription synchronisée, celle-ci est-elle pertinente ?</v>
      </c>
      <c r="E23" s="147"/>
      <c r="F23" s="147" t="str">
        <f>IF(Transverse!E23="","",Transverse!E23)</f>
        <v/>
      </c>
      <c r="G23" s="47"/>
      <c r="H23" s="47"/>
      <c r="I23" s="32" t="str">
        <f>'Critères et tests'!$H22</f>
        <v>Moyen à important</v>
      </c>
      <c r="J23" s="29"/>
      <c r="K23" s="84"/>
    </row>
    <row r="24" spans="1:11" ht="77.25" customHeight="1">
      <c r="A24" s="194" t="str">
        <f>'Critères et tests'!B23</f>
        <v>MULTIMÉDIA</v>
      </c>
      <c r="B24" s="95" t="str">
        <f>'Critères et tests'!$A23</f>
        <v>4.7</v>
      </c>
      <c r="C24" s="28" t="str">
        <f>'Critères et tests'!$C23</f>
        <v>A</v>
      </c>
      <c r="D24" s="32" t="str">
        <f>'Critères et tests'!$E23</f>
        <v>Chaque média temporel est-il clairement identifiable (hors cas particuliers) ?</v>
      </c>
      <c r="E24" s="147"/>
      <c r="F24" s="147" t="str">
        <f>IF(Transverse!E24="","",Transverse!E24)</f>
        <v/>
      </c>
      <c r="G24" s="47"/>
      <c r="H24" s="47"/>
      <c r="I24" s="32" t="str">
        <f>'Critères et tests'!$H23</f>
        <v>Important</v>
      </c>
      <c r="J24" s="29"/>
      <c r="K24" s="84"/>
    </row>
    <row r="25" spans="1:11" ht="77.25" customHeight="1">
      <c r="A25" s="194" t="str">
        <f>'Critères et tests'!B24</f>
        <v>MULTIMÉDIA</v>
      </c>
      <c r="B25" s="95" t="str">
        <f>'Critères et tests'!$A24</f>
        <v>4.8</v>
      </c>
      <c r="C25" s="28" t="str">
        <f>'Critères et tests'!$C24</f>
        <v>A</v>
      </c>
      <c r="D25" s="32" t="str">
        <f>'Critères et tests'!$E24</f>
        <v>Chaque média non temporel a-t-il, si nécessaire, une alternative (hors cas particuliers) ?</v>
      </c>
      <c r="E25" s="147"/>
      <c r="F25" s="147" t="str">
        <f>IF(Transverse!E25="","",Transverse!E25)</f>
        <v/>
      </c>
      <c r="G25" s="47"/>
      <c r="H25" s="47"/>
      <c r="I25" s="32" t="str">
        <f>'Critères et tests'!$H24</f>
        <v>Important</v>
      </c>
      <c r="J25" s="29"/>
      <c r="K25" s="84"/>
    </row>
    <row r="26" spans="1:11" ht="77.25" customHeight="1">
      <c r="A26" s="194" t="str">
        <f>'Critères et tests'!B25</f>
        <v>MULTIMÉDIA</v>
      </c>
      <c r="B26" s="95" t="str">
        <f>'Critères et tests'!$A25</f>
        <v>4.9</v>
      </c>
      <c r="C26" s="28" t="str">
        <f>'Critères et tests'!$C25</f>
        <v>A</v>
      </c>
      <c r="D26" s="32" t="str">
        <f>'Critères et tests'!$E25</f>
        <v>Pour chaque média non temporel ayant une alternative, cette alternative est-elle pertinente ?</v>
      </c>
      <c r="E26" s="147"/>
      <c r="F26" s="147" t="str">
        <f>IF(Transverse!E26="","",Transverse!E26)</f>
        <v/>
      </c>
      <c r="G26" s="47"/>
      <c r="H26" s="47"/>
      <c r="I26" s="32" t="str">
        <f>'Critères et tests'!$H25</f>
        <v>Moyen</v>
      </c>
      <c r="J26" s="29"/>
      <c r="K26" s="84"/>
    </row>
    <row r="27" spans="1:11" ht="77.25" customHeight="1">
      <c r="A27" s="194" t="str">
        <f>'Critères et tests'!B26</f>
        <v>MULTIMÉDIA</v>
      </c>
      <c r="B27" s="95" t="str">
        <f>'Critères et tests'!$A26</f>
        <v>4.10</v>
      </c>
      <c r="C27" s="28" t="str">
        <f>'Critères et tests'!$C26</f>
        <v>A</v>
      </c>
      <c r="D27" s="32" t="str">
        <f>'Critères et tests'!$E26</f>
        <v>Chaque son déclenché automatiquement est-il contrôlable par l’utilisateur ?</v>
      </c>
      <c r="E27" s="147"/>
      <c r="F27" s="147" t="str">
        <f>IF(Transverse!E27="","",Transverse!E27)</f>
        <v/>
      </c>
      <c r="G27" s="47"/>
      <c r="H27" s="47"/>
      <c r="I27" s="32" t="str">
        <f>'Critères et tests'!$H26</f>
        <v>Important à principale</v>
      </c>
      <c r="J27" s="29"/>
      <c r="K27" s="84"/>
    </row>
    <row r="28" spans="1:11" ht="77.25" customHeight="1">
      <c r="A28" s="194" t="str">
        <f>'Critères et tests'!B27</f>
        <v>MULTIMÉDIA</v>
      </c>
      <c r="B28" s="95" t="str">
        <f>'Critères et tests'!$A27</f>
        <v>4.11</v>
      </c>
      <c r="C28" s="28" t="str">
        <f>'Critères et tests'!$C27</f>
        <v>A</v>
      </c>
      <c r="D28" s="32" t="str">
        <f>'Critères et tests'!$E27</f>
        <v>La consultation de chaque média temporel est-elle, si nécessaire, contrôlable par le clavier et tout dispositif de pointage ?</v>
      </c>
      <c r="E28" s="147"/>
      <c r="F28" s="147" t="str">
        <f>IF(Transverse!E28="","",Transverse!E28)</f>
        <v/>
      </c>
      <c r="G28" s="47"/>
      <c r="H28" s="47"/>
      <c r="I28" s="32" t="str">
        <f>'Critères et tests'!$H27</f>
        <v>Important à principale</v>
      </c>
      <c r="J28" s="29"/>
      <c r="K28" s="84"/>
    </row>
    <row r="29" spans="1:11" ht="77.25" customHeight="1">
      <c r="A29" s="194" t="str">
        <f>'Critères et tests'!B28</f>
        <v>MULTIMÉDIA</v>
      </c>
      <c r="B29" s="95" t="str">
        <f>'Critères et tests'!$A28</f>
        <v>4.12</v>
      </c>
      <c r="C29" s="28" t="str">
        <f>'Critères et tests'!$C28</f>
        <v>A</v>
      </c>
      <c r="D29" s="32" t="str">
        <f>'Critères et tests'!$E28</f>
        <v>La consultation de chaque média non temporel est-elle contrôlable par le clavier et tout dispositif de pointage ?</v>
      </c>
      <c r="E29" s="147"/>
      <c r="F29" s="147" t="str">
        <f>IF(Transverse!E29="","",Transverse!E29)</f>
        <v/>
      </c>
      <c r="G29" s="47"/>
      <c r="H29" s="47"/>
      <c r="I29" s="32" t="str">
        <f>'Critères et tests'!$H28</f>
        <v>Important à principale</v>
      </c>
      <c r="J29" s="29"/>
      <c r="K29" s="84"/>
    </row>
    <row r="30" spans="1:11" ht="77.25" customHeight="1">
      <c r="A30" s="194" t="str">
        <f>'Critères et tests'!B29</f>
        <v>MULTIMÉDIA</v>
      </c>
      <c r="B30" s="95" t="str">
        <f>'Critères et tests'!$A29</f>
        <v>4.13</v>
      </c>
      <c r="C30" s="28" t="str">
        <f>'Critères et tests'!$C29</f>
        <v>A</v>
      </c>
      <c r="D30" s="32" t="str">
        <f>'Critères et tests'!$E29</f>
        <v>Chaque média temporel et non temporel est-il compatible avec les technologies d’assistance (hors cas particuliers) ?</v>
      </c>
      <c r="E30" s="147"/>
      <c r="F30" s="147" t="str">
        <f>IF(Transverse!E30="","",Transverse!E30)</f>
        <v/>
      </c>
      <c r="G30" s="47"/>
      <c r="H30" s="47"/>
      <c r="I30" s="32" t="str">
        <f>'Critères et tests'!$H29</f>
        <v>Principale</v>
      </c>
      <c r="J30" s="29"/>
      <c r="K30" s="84"/>
    </row>
    <row r="31" spans="1:11" ht="77.25" customHeight="1">
      <c r="A31" s="194" t="str">
        <f>'Critères et tests'!B30</f>
        <v>TABLEAUX</v>
      </c>
      <c r="B31" s="95" t="str">
        <f>'Critères et tests'!$A30</f>
        <v>5.1</v>
      </c>
      <c r="C31" s="28" t="str">
        <f>'Critères et tests'!$C30</f>
        <v>A</v>
      </c>
      <c r="D31" s="32" t="str">
        <f>'Critères et tests'!$E30</f>
        <v>Chaque tableau de données complexe a-t-il un résumé ?</v>
      </c>
      <c r="E31" s="147"/>
      <c r="F31" s="147" t="str">
        <f>IF(Transverse!E31="","",Transverse!E31)</f>
        <v/>
      </c>
      <c r="G31" s="47"/>
      <c r="H31" s="47"/>
      <c r="I31" s="32" t="str">
        <f>'Critères et tests'!$H30</f>
        <v>Principale</v>
      </c>
      <c r="J31" s="29"/>
      <c r="K31" s="84"/>
    </row>
    <row r="32" spans="1:11" ht="77.25" customHeight="1">
      <c r="A32" s="194" t="str">
        <f>'Critères et tests'!B31</f>
        <v>TABLEAUX</v>
      </c>
      <c r="B32" s="95" t="str">
        <f>'Critères et tests'!$A31</f>
        <v>5.2</v>
      </c>
      <c r="C32" s="28" t="str">
        <f>'Critères et tests'!$C31</f>
        <v>A</v>
      </c>
      <c r="D32" s="32" t="str">
        <f>'Critères et tests'!$E31</f>
        <v>Pour chaque tableau de données complexe ayant un résumé, celui-ci est-il pertinent ?</v>
      </c>
      <c r="E32" s="147"/>
      <c r="F32" s="147" t="str">
        <f>IF(Transverse!E32="","",Transverse!E32)</f>
        <v/>
      </c>
      <c r="G32" s="47"/>
      <c r="H32" s="47"/>
      <c r="I32" s="32" t="str">
        <f>'Critères et tests'!$H31</f>
        <v>Principale</v>
      </c>
      <c r="J32" s="29"/>
      <c r="K32" s="84"/>
    </row>
    <row r="33" spans="1:11" ht="77.25" customHeight="1">
      <c r="A33" s="194" t="str">
        <f>'Critères et tests'!B32</f>
        <v>TABLEAUX</v>
      </c>
      <c r="B33" s="95" t="str">
        <f>'Critères et tests'!$A32</f>
        <v>5.3</v>
      </c>
      <c r="C33" s="28" t="str">
        <f>'Critères et tests'!$C32</f>
        <v>A</v>
      </c>
      <c r="D33" s="32" t="str">
        <f>'Critères et tests'!$E32</f>
        <v>Pour chaque tableau de mise en forme, le contenu linéarisé reste-t-il compréhensible ?</v>
      </c>
      <c r="E33" s="147"/>
      <c r="F33" s="147" t="str">
        <f>IF(Transverse!E33="","",Transverse!E33)</f>
        <v/>
      </c>
      <c r="G33" s="47"/>
      <c r="H33" s="47"/>
      <c r="I33" s="32" t="str">
        <f>'Critères et tests'!$H32</f>
        <v>Principale</v>
      </c>
      <c r="J33" s="29"/>
      <c r="K33" s="84"/>
    </row>
    <row r="34" spans="1:11" ht="77.25" customHeight="1">
      <c r="A34" s="194" t="str">
        <f>'Critères et tests'!B33</f>
        <v>TABLEAUX</v>
      </c>
      <c r="B34" s="95" t="str">
        <f>'Critères et tests'!$A33</f>
        <v>5.4</v>
      </c>
      <c r="C34" s="28" t="str">
        <f>'Critères et tests'!$C33</f>
        <v>A</v>
      </c>
      <c r="D34" s="32" t="str">
        <f>'Critères et tests'!$E33</f>
        <v>Pour chaque tableau de données ayant un titre, le titre est-il correctement associé au tableau de données ?</v>
      </c>
      <c r="E34" s="147"/>
      <c r="F34" s="147" t="str">
        <f>IF(Transverse!E34="","",Transverse!E34)</f>
        <v/>
      </c>
      <c r="G34" s="47"/>
      <c r="H34" s="47"/>
      <c r="I34" s="32" t="str">
        <f>'Critères et tests'!$H33</f>
        <v>Principale</v>
      </c>
      <c r="J34" s="29"/>
      <c r="K34" s="84"/>
    </row>
    <row r="35" spans="1:11" ht="77.25" customHeight="1">
      <c r="A35" s="194" t="str">
        <f>'Critères et tests'!B34</f>
        <v>TABLEAUX</v>
      </c>
      <c r="B35" s="95" t="str">
        <f>'Critères et tests'!$A34</f>
        <v>5.5</v>
      </c>
      <c r="C35" s="28" t="str">
        <f>'Critères et tests'!$C34</f>
        <v>A</v>
      </c>
      <c r="D35" s="32" t="str">
        <f>'Critères et tests'!$E34</f>
        <v>Pour chaque tableau de données ayant un titre, celui-ci est-il pertinent ?</v>
      </c>
      <c r="E35" s="147"/>
      <c r="F35" s="147" t="str">
        <f>IF(Transverse!E35="","",Transverse!E35)</f>
        <v/>
      </c>
      <c r="G35" s="47"/>
      <c r="H35" s="47"/>
      <c r="I35" s="32" t="str">
        <f>'Critères et tests'!$H34</f>
        <v>Principale</v>
      </c>
      <c r="J35" s="29"/>
      <c r="K35" s="84"/>
    </row>
    <row r="36" spans="1:11" ht="77.25" customHeight="1">
      <c r="A36" s="194" t="str">
        <f>'Critères et tests'!B35</f>
        <v>TABLEAUX</v>
      </c>
      <c r="B36" s="95" t="str">
        <f>'Critères et tests'!$A35</f>
        <v>5.6</v>
      </c>
      <c r="C36" s="28" t="str">
        <f>'Critères et tests'!$C35</f>
        <v>A</v>
      </c>
      <c r="D36" s="32" t="str">
        <f>'Critères et tests'!$E35</f>
        <v>Pour chaque tableau de données, chaque en-tête de colonnes et chaque en-tête de lignes sont-ils correctement déclarés ?</v>
      </c>
      <c r="E36" s="147"/>
      <c r="F36" s="147" t="str">
        <f>IF(Transverse!E36="","",Transverse!E36)</f>
        <v/>
      </c>
      <c r="G36" s="47"/>
      <c r="H36" s="47"/>
      <c r="I36" s="32" t="str">
        <f>'Critères et tests'!$H35</f>
        <v>Principale</v>
      </c>
      <c r="J36" s="29"/>
      <c r="K36" s="84"/>
    </row>
    <row r="37" spans="1:11" ht="77.25" customHeight="1">
      <c r="A37" s="194" t="str">
        <f>'Critères et tests'!B36</f>
        <v>TABLEAUX</v>
      </c>
      <c r="B37" s="95" t="str">
        <f>'Critères et tests'!$A36</f>
        <v>5.7</v>
      </c>
      <c r="C37" s="28" t="str">
        <f>'Critères et tests'!$C36</f>
        <v>A</v>
      </c>
      <c r="D37" s="32" t="str">
        <f>'Critères et tests'!$E36</f>
        <v>Pour chaque tableau de données, la technique appropriée permettant d’associer chaque cellule avec ses en-têtes est-elle utilisée (hors cas particuliers) ?</v>
      </c>
      <c r="E37" s="147"/>
      <c r="F37" s="147" t="str">
        <f>IF(Transverse!E37="","",Transverse!E37)</f>
        <v/>
      </c>
      <c r="G37" s="47"/>
      <c r="H37" s="47"/>
      <c r="I37" s="32" t="str">
        <f>'Critères et tests'!$H36</f>
        <v>Principale</v>
      </c>
      <c r="J37" s="29"/>
      <c r="K37" s="84"/>
    </row>
    <row r="38" spans="1:11" ht="77.25" customHeight="1">
      <c r="A38" s="194" t="str">
        <f>'Critères et tests'!B37</f>
        <v>TABLEAUX</v>
      </c>
      <c r="B38" s="95" t="str">
        <f>'Critères et tests'!$A37</f>
        <v>5.8</v>
      </c>
      <c r="C38" s="28" t="str">
        <f>'Critères et tests'!$C37</f>
        <v>A</v>
      </c>
      <c r="D38" s="32" t="str">
        <f>'Critères et tests'!$E37</f>
        <v>Chaque tableau de mise en forme ne doit pas utiliser d’éléments propres aux tableaux de données. Cette règle est-elle respectée ?</v>
      </c>
      <c r="E38" s="147"/>
      <c r="F38" s="147" t="str">
        <f>IF(Transverse!E38="","",Transverse!E38)</f>
        <v/>
      </c>
      <c r="G38" s="47"/>
      <c r="H38" s="47"/>
      <c r="I38" s="32" t="str">
        <f>'Critères et tests'!$H37</f>
        <v>Principale</v>
      </c>
      <c r="J38" s="29"/>
      <c r="K38" s="84"/>
    </row>
    <row r="39" spans="1:11" ht="77.25" customHeight="1">
      <c r="A39" s="194" t="str">
        <f>'Critères et tests'!B38</f>
        <v>LIENS</v>
      </c>
      <c r="B39" s="95" t="str">
        <f>'Critères et tests'!$A38</f>
        <v>6.1</v>
      </c>
      <c r="C39" s="28" t="str">
        <f>'Critères et tests'!$C38</f>
        <v>A</v>
      </c>
      <c r="D39" s="32" t="str">
        <f>'Critères et tests'!$E38</f>
        <v>Chaque lien est-il explicite (hors cas particuliers) ?</v>
      </c>
      <c r="E39" s="147"/>
      <c r="F39" s="147" t="str">
        <f>IF(Transverse!E39="","",Transverse!E39)</f>
        <v/>
      </c>
      <c r="G39" s="47"/>
      <c r="H39" s="47"/>
      <c r="I39" s="32" t="str">
        <f>'Critères et tests'!$H38</f>
        <v>Principale</v>
      </c>
      <c r="J39" s="29"/>
      <c r="K39" s="84"/>
    </row>
    <row r="40" spans="1:11" ht="77.25" customHeight="1">
      <c r="A40" s="194" t="str">
        <f>'Critères et tests'!B39</f>
        <v>LIENS</v>
      </c>
      <c r="B40" s="95" t="str">
        <f>'Critères et tests'!$A39</f>
        <v>6.2</v>
      </c>
      <c r="C40" s="28" t="str">
        <f>'Critères et tests'!$C39</f>
        <v>A</v>
      </c>
      <c r="D40" s="32" t="str">
        <f>'Critères et tests'!$E39</f>
        <v>Dans chaque page web, chaque lien a-t-il un intitulé ?</v>
      </c>
      <c r="E40" s="147"/>
      <c r="F40" s="147" t="str">
        <f>IF(Transverse!E40="","",Transverse!E40)</f>
        <v/>
      </c>
      <c r="G40" s="47"/>
      <c r="H40" s="47"/>
      <c r="I40" s="32" t="str">
        <f>'Critères et tests'!$H39</f>
        <v>Important à principale</v>
      </c>
      <c r="J40" s="29"/>
      <c r="K40" s="84"/>
    </row>
    <row r="41" spans="1:11" ht="77.25" customHeight="1">
      <c r="A41" s="194" t="str">
        <f>'Critères et tests'!B40</f>
        <v>SCRIPTS</v>
      </c>
      <c r="B41" s="95" t="str">
        <f>'Critères et tests'!$A40</f>
        <v>7.1</v>
      </c>
      <c r="C41" s="28" t="str">
        <f>'Critères et tests'!$C40</f>
        <v>A</v>
      </c>
      <c r="D41" s="32" t="str">
        <f>'Critères et tests'!$E40</f>
        <v>Chaque script est-il, si nécessaire, compatible avec les technologies d’assistance ?</v>
      </c>
      <c r="E41" s="147"/>
      <c r="F41" s="147" t="str">
        <f>IF(Transverse!E41="","",Transverse!E41)</f>
        <v/>
      </c>
      <c r="G41" s="47"/>
      <c r="H41" s="47"/>
      <c r="I41" s="32" t="str">
        <f>'Critères et tests'!$H40</f>
        <v>Important à principale</v>
      </c>
      <c r="J41" s="29"/>
      <c r="K41" s="84"/>
    </row>
    <row r="42" spans="1:11" ht="77.25" customHeight="1">
      <c r="A42" s="194" t="str">
        <f>'Critères et tests'!B41</f>
        <v>SCRIPTS</v>
      </c>
      <c r="B42" s="95" t="str">
        <f>'Critères et tests'!$A41</f>
        <v>7.2</v>
      </c>
      <c r="C42" s="28" t="str">
        <f>'Critères et tests'!$C41</f>
        <v>A</v>
      </c>
      <c r="D42" s="32" t="str">
        <f>'Critères et tests'!$E41</f>
        <v>Pour chaque script ayant une alternative, cette alternative est-elle pertinente ?</v>
      </c>
      <c r="E42" s="147"/>
      <c r="F42" s="147" t="str">
        <f>IF(Transverse!E42="","",Transverse!E42)</f>
        <v/>
      </c>
      <c r="G42" s="47"/>
      <c r="H42" s="47"/>
      <c r="I42" s="32" t="str">
        <f>'Critères et tests'!$H41</f>
        <v>Principale</v>
      </c>
      <c r="J42" s="29"/>
      <c r="K42" s="84"/>
    </row>
    <row r="43" spans="1:11" ht="77.25" customHeight="1">
      <c r="A43" s="194" t="str">
        <f>'Critères et tests'!B42</f>
        <v>SCRIPTS</v>
      </c>
      <c r="B43" s="95" t="str">
        <f>'Critères et tests'!$A42</f>
        <v>7.3</v>
      </c>
      <c r="C43" s="28" t="str">
        <f>'Critères et tests'!$C42</f>
        <v>A</v>
      </c>
      <c r="D43" s="32" t="str">
        <f>'Critères et tests'!$E42</f>
        <v>Chaque script est-il contrôlable par le clavier et par tout dispositif de pointage (hors cas particuliers) ?</v>
      </c>
      <c r="E43" s="147"/>
      <c r="F43" s="147" t="str">
        <f>IF(Transverse!E43="","",Transverse!E43)</f>
        <v/>
      </c>
      <c r="G43" s="47"/>
      <c r="H43" s="47"/>
      <c r="I43" s="32" t="str">
        <f>'Critères et tests'!$H42</f>
        <v>Important</v>
      </c>
      <c r="J43" s="29"/>
      <c r="K43" s="84"/>
    </row>
    <row r="44" spans="1:11" ht="77.25" customHeight="1">
      <c r="A44" s="194" t="str">
        <f>'Critères et tests'!B43</f>
        <v>SCRIPTS</v>
      </c>
      <c r="B44" s="95" t="str">
        <f>'Critères et tests'!$A43</f>
        <v>7.4</v>
      </c>
      <c r="C44" s="28" t="str">
        <f>'Critères et tests'!$C43</f>
        <v>A</v>
      </c>
      <c r="D44" s="32" t="str">
        <f>'Critères et tests'!$E43</f>
        <v>Pour chaque script qui initie un changement de contexte, l’utilisateur est-il averti ou en a-t-il le contrôle ?</v>
      </c>
      <c r="E44" s="147"/>
      <c r="F44" s="147" t="str">
        <f>IF(Transverse!E44="","",Transverse!E44)</f>
        <v/>
      </c>
      <c r="G44" s="47"/>
      <c r="H44" s="47"/>
      <c r="I44" s="32" t="str">
        <f>'Critères et tests'!$H43</f>
        <v>Important</v>
      </c>
      <c r="J44" s="29"/>
      <c r="K44" s="84"/>
    </row>
    <row r="45" spans="1:11" ht="77.25" customHeight="1">
      <c r="A45" s="194" t="str">
        <f>'Critères et tests'!B44</f>
        <v>SCRIPTS</v>
      </c>
      <c r="B45" s="95" t="str">
        <f>'Critères et tests'!$A44</f>
        <v>7.5</v>
      </c>
      <c r="C45" s="28" t="str">
        <f>'Critères et tests'!$C44</f>
        <v>AA</v>
      </c>
      <c r="D45" s="32" t="str">
        <f>'Critères et tests'!$E44</f>
        <v>Dans chaque page web, les messages de statut sont-ils correctement restitués par les technologies d’assistance ?</v>
      </c>
      <c r="E45" s="147"/>
      <c r="F45" s="147" t="str">
        <f>IF(Transverse!E45="","",Transverse!E45)</f>
        <v/>
      </c>
      <c r="G45" s="47"/>
      <c r="H45" s="47"/>
      <c r="I45" s="32" t="str">
        <f>'Critères et tests'!$H44</f>
        <v>Principale</v>
      </c>
      <c r="J45" s="29"/>
      <c r="K45" s="84"/>
    </row>
    <row r="46" spans="1:11" ht="77.25" customHeight="1">
      <c r="A46" s="194" t="str">
        <f>'Critères et tests'!B45</f>
        <v>ÉLÉMENTS OBLIGATOIRES</v>
      </c>
      <c r="B46" s="95" t="str">
        <f>'Critères et tests'!$A45</f>
        <v>8.1</v>
      </c>
      <c r="C46" s="28" t="str">
        <f>'Critères et tests'!$C45</f>
        <v>A</v>
      </c>
      <c r="D46" s="32" t="str">
        <f>'Critères et tests'!$E45</f>
        <v>Chaque page web est-elle définie par un type de document ?</v>
      </c>
      <c r="E46" s="147"/>
      <c r="F46" s="147" t="str">
        <f>IF(Transverse!E46="","",Transverse!E46)</f>
        <v/>
      </c>
      <c r="G46" s="47"/>
      <c r="H46" s="47"/>
      <c r="I46" s="32" t="str">
        <f>'Critères et tests'!$H45</f>
        <v>Normal</v>
      </c>
      <c r="J46" s="29"/>
      <c r="K46" s="84"/>
    </row>
    <row r="47" spans="1:11" ht="77.25" customHeight="1">
      <c r="A47" s="194" t="str">
        <f>'Critères et tests'!B46</f>
        <v>ÉLÉMENTS OBLIGATOIRES</v>
      </c>
      <c r="B47" s="95" t="str">
        <f>'Critères et tests'!$A46</f>
        <v>8.2</v>
      </c>
      <c r="C47" s="28" t="str">
        <f>'Critères et tests'!$C46</f>
        <v>A</v>
      </c>
      <c r="D47" s="32" t="str">
        <f>'Critères et tests'!$E46</f>
        <v>Pour chaque page web, le code source généré est-il valide selon le type de document spécifié (hors cas particuliers) ?</v>
      </c>
      <c r="E47" s="147"/>
      <c r="F47" s="147" t="str">
        <f>IF(Transverse!E47="","",Transverse!E47)</f>
        <v/>
      </c>
      <c r="G47" s="47"/>
      <c r="H47" s="47"/>
      <c r="I47" s="32" t="str">
        <f>'Critères et tests'!$H46</f>
        <v>Normal</v>
      </c>
      <c r="J47" s="29"/>
      <c r="K47" s="84"/>
    </row>
    <row r="48" spans="1:11" ht="77.25" customHeight="1">
      <c r="A48" s="194" t="str">
        <f>'Critères et tests'!B47</f>
        <v>ÉLÉMENTS OBLIGATOIRES</v>
      </c>
      <c r="B48" s="95" t="str">
        <f>'Critères et tests'!$A47</f>
        <v>8.3</v>
      </c>
      <c r="C48" s="28" t="str">
        <f>'Critères et tests'!$C47</f>
        <v>A</v>
      </c>
      <c r="D48" s="32" t="str">
        <f>'Critères et tests'!$E47</f>
        <v>Dans chaque page web, la langue par défaut est-elle présente ?</v>
      </c>
      <c r="E48" s="147"/>
      <c r="F48" s="147" t="str">
        <f>IF(Transverse!E48="","",Transverse!E48)</f>
        <v/>
      </c>
      <c r="G48" s="47"/>
      <c r="H48" s="47"/>
      <c r="I48" s="32" t="str">
        <f>'Critères et tests'!$H47</f>
        <v>Principale</v>
      </c>
      <c r="J48" s="29"/>
      <c r="K48" s="84"/>
    </row>
    <row r="49" spans="1:11" ht="77.25" customHeight="1">
      <c r="A49" s="194" t="str">
        <f>'Critères et tests'!B48</f>
        <v>ÉLÉMENTS OBLIGATOIRES</v>
      </c>
      <c r="B49" s="95" t="str">
        <f>'Critères et tests'!$A48</f>
        <v>8.4</v>
      </c>
      <c r="C49" s="28" t="str">
        <f>'Critères et tests'!$C48</f>
        <v>A</v>
      </c>
      <c r="D49" s="32" t="str">
        <f>'Critères et tests'!$E48</f>
        <v>Pour chaque page web ayant une langue par défaut, le code de langue est-il pertinent ?</v>
      </c>
      <c r="E49" s="147"/>
      <c r="F49" s="147" t="str">
        <f>IF(Transverse!E49="","",Transverse!E49)</f>
        <v/>
      </c>
      <c r="G49" s="47"/>
      <c r="H49" s="47"/>
      <c r="I49" s="32" t="str">
        <f>'Critères et tests'!$H48</f>
        <v>Principale</v>
      </c>
      <c r="J49" s="29"/>
      <c r="K49" s="84"/>
    </row>
    <row r="50" spans="1:11" ht="77.25" customHeight="1">
      <c r="A50" s="194" t="str">
        <f>'Critères et tests'!B49</f>
        <v>ÉLÉMENTS OBLIGATOIRES</v>
      </c>
      <c r="B50" s="95" t="str">
        <f>'Critères et tests'!$A49</f>
        <v>8.5</v>
      </c>
      <c r="C50" s="28" t="str">
        <f>'Critères et tests'!$C49</f>
        <v>A</v>
      </c>
      <c r="D50" s="32" t="str">
        <f>'Critères et tests'!$E49</f>
        <v>Chaque page web a-t-elle un titre de page ?</v>
      </c>
      <c r="E50" s="147"/>
      <c r="F50" s="147" t="str">
        <f>IF(Transverse!E50="","",Transverse!E50)</f>
        <v/>
      </c>
      <c r="G50" s="47"/>
      <c r="H50" s="47"/>
      <c r="I50" s="32" t="str">
        <f>'Critères et tests'!$H49</f>
        <v>Principale</v>
      </c>
      <c r="J50" s="29"/>
      <c r="K50" s="84"/>
    </row>
    <row r="51" spans="1:11" ht="77.25" customHeight="1">
      <c r="A51" s="194" t="str">
        <f>'Critères et tests'!B50</f>
        <v>ÉLÉMENTS OBLIGATOIRES</v>
      </c>
      <c r="B51" s="95" t="str">
        <f>'Critères et tests'!$A50</f>
        <v>8.6</v>
      </c>
      <c r="C51" s="28" t="str">
        <f>'Critères et tests'!$C50</f>
        <v>A</v>
      </c>
      <c r="D51" s="32" t="str">
        <f>'Critères et tests'!$E50</f>
        <v>Pour chaque page web ayant un titre de page, ce titre est-il pertinent ?</v>
      </c>
      <c r="E51" s="147"/>
      <c r="F51" s="147" t="str">
        <f>IF(Transverse!E51="","",Transverse!E51)</f>
        <v/>
      </c>
      <c r="G51" s="47"/>
      <c r="H51" s="47"/>
      <c r="I51" s="32" t="str">
        <f>'Critères et tests'!$H50</f>
        <v>Important à principale</v>
      </c>
      <c r="J51" s="29"/>
      <c r="K51" s="84"/>
    </row>
    <row r="52" spans="1:11" ht="77.25" customHeight="1">
      <c r="A52" s="194" t="str">
        <f>'Critères et tests'!B51</f>
        <v>ÉLÉMENTS OBLIGATOIRES</v>
      </c>
      <c r="B52" s="95" t="str">
        <f>'Critères et tests'!$A51</f>
        <v>8.7</v>
      </c>
      <c r="C52" s="28" t="str">
        <f>'Critères et tests'!$C51</f>
        <v>AA</v>
      </c>
      <c r="D52" s="32" t="str">
        <f>'Critères et tests'!$E51</f>
        <v>Dans chaque page web, chaque changement de langue est-il indiqué dans le code source (hors cas particuliers) ?</v>
      </c>
      <c r="E52" s="147"/>
      <c r="F52" s="147" t="str">
        <f>IF(Transverse!E52="","",Transverse!E52)</f>
        <v/>
      </c>
      <c r="G52" s="47"/>
      <c r="H52" s="47"/>
      <c r="I52" s="32" t="str">
        <f>'Critères et tests'!$H51</f>
        <v>Important à principale</v>
      </c>
      <c r="J52" s="29"/>
      <c r="K52" s="84"/>
    </row>
    <row r="53" spans="1:11" ht="77.25" customHeight="1">
      <c r="A53" s="194" t="str">
        <f>'Critères et tests'!B52</f>
        <v>ÉLÉMENTS OBLIGATOIRES</v>
      </c>
      <c r="B53" s="95" t="str">
        <f>'Critères et tests'!$A52</f>
        <v>8.8</v>
      </c>
      <c r="C53" s="28" t="str">
        <f>'Critères et tests'!$C52</f>
        <v>AA</v>
      </c>
      <c r="D53" s="32" t="str">
        <f>'Critères et tests'!$E52</f>
        <v>Dans chaque page web, le code de langue de chaque changement de langue est-il valide et pertinent ?</v>
      </c>
      <c r="E53" s="147"/>
      <c r="F53" s="147" t="str">
        <f>IF(Transverse!E53="","",Transverse!E53)</f>
        <v/>
      </c>
      <c r="G53" s="47"/>
      <c r="H53" s="47"/>
      <c r="I53" s="32" t="str">
        <f>'Critères et tests'!$H52</f>
        <v>Important à principale</v>
      </c>
      <c r="J53" s="29"/>
      <c r="K53" s="84"/>
    </row>
    <row r="54" spans="1:11" ht="77.25" customHeight="1">
      <c r="A54" s="194" t="str">
        <f>'Critères et tests'!B53</f>
        <v>ÉLÉMENTS OBLIGATOIRES</v>
      </c>
      <c r="B54" s="95" t="str">
        <f>'Critères et tests'!$A53</f>
        <v>8.9</v>
      </c>
      <c r="C54" s="28" t="str">
        <f>'Critères et tests'!$C53</f>
        <v>A</v>
      </c>
      <c r="D54" s="32" t="str">
        <f>'Critères et tests'!$E53</f>
        <v>Dans chaque page web, les balises ne doivent pas être utilisées uniquement à des fins de présentation. Cette règle est-elle respectée ?</v>
      </c>
      <c r="E54" s="147"/>
      <c r="F54" s="147" t="str">
        <f>IF(Transverse!E54="","",Transverse!E54)</f>
        <v/>
      </c>
      <c r="G54" s="47"/>
      <c r="H54" s="47"/>
      <c r="I54" s="32" t="str">
        <f>'Critères et tests'!$H53</f>
        <v>Important</v>
      </c>
      <c r="J54" s="29"/>
      <c r="K54" s="84"/>
    </row>
    <row r="55" spans="1:11" ht="77.25" customHeight="1">
      <c r="A55" s="194" t="str">
        <f>'Critères et tests'!B54</f>
        <v>ÉLÉMENTS OBLIGATOIRES</v>
      </c>
      <c r="B55" s="95" t="str">
        <f>'Critères et tests'!$A54</f>
        <v>8.10</v>
      </c>
      <c r="C55" s="28" t="str">
        <f>'Critères et tests'!$C54</f>
        <v>A</v>
      </c>
      <c r="D55" s="32" t="str">
        <f>'Critères et tests'!$E54</f>
        <v>Dans chaque page web, les changements du sens de lecture sont-ils signalés ?</v>
      </c>
      <c r="E55" s="147"/>
      <c r="F55" s="147" t="str">
        <f>IF(Transverse!E55="","",Transverse!E55)</f>
        <v/>
      </c>
      <c r="G55" s="47"/>
      <c r="H55" s="47"/>
      <c r="I55" s="32" t="str">
        <f>'Critères et tests'!$H54</f>
        <v>Important à principale</v>
      </c>
      <c r="J55" s="29"/>
      <c r="K55" s="84"/>
    </row>
    <row r="56" spans="1:11" ht="77.25" customHeight="1">
      <c r="A56" s="194" t="str">
        <f>'Critères et tests'!B55</f>
        <v>STRUCTURATION</v>
      </c>
      <c r="B56" s="95" t="str">
        <f>'Critères et tests'!$A55</f>
        <v>9.1</v>
      </c>
      <c r="C56" s="28" t="str">
        <f>'Critères et tests'!$C55</f>
        <v>A</v>
      </c>
      <c r="D56" s="32" t="str">
        <f>'Critères et tests'!$E55</f>
        <v>Dans chaque page web, l’information est-elle structurée par l’utilisation appropriée de titres ?</v>
      </c>
      <c r="E56" s="147"/>
      <c r="F56" s="147" t="str">
        <f>IF(Transverse!E56="","",Transverse!E56)</f>
        <v/>
      </c>
      <c r="G56" s="47"/>
      <c r="H56" s="47"/>
      <c r="I56" s="32" t="str">
        <f>'Critères et tests'!$H55</f>
        <v>Important à principale</v>
      </c>
      <c r="J56" s="29"/>
      <c r="K56" s="84"/>
    </row>
    <row r="57" spans="1:11" ht="77.25" customHeight="1">
      <c r="A57" s="194" t="str">
        <f>'Critères et tests'!B56</f>
        <v>STRUCTURATION</v>
      </c>
      <c r="B57" s="95" t="str">
        <f>'Critères et tests'!$A56</f>
        <v>9.2</v>
      </c>
      <c r="C57" s="28" t="str">
        <f>'Critères et tests'!$C56</f>
        <v>A</v>
      </c>
      <c r="D57" s="32" t="str">
        <f>'Critères et tests'!$E56</f>
        <v>Dans chaque page web, la structure du document est-elle cohérente (hors cas particuliers) ?</v>
      </c>
      <c r="E57" s="147"/>
      <c r="F57" s="147" t="str">
        <f>IF(Transverse!E57="","",Transverse!E57)</f>
        <v/>
      </c>
      <c r="G57" s="47"/>
      <c r="H57" s="47"/>
      <c r="I57" s="32" t="str">
        <f>'Critères et tests'!$H56</f>
        <v>Faible à modéré</v>
      </c>
      <c r="J57" s="29"/>
      <c r="K57" s="84"/>
    </row>
    <row r="58" spans="1:11" ht="77.25" customHeight="1">
      <c r="A58" s="194" t="str">
        <f>'Critères et tests'!B57</f>
        <v>STRUCTURATION</v>
      </c>
      <c r="B58" s="95" t="str">
        <f>'Critères et tests'!$A57</f>
        <v>9.3</v>
      </c>
      <c r="C58" s="28" t="str">
        <f>'Critères et tests'!$C57</f>
        <v>A</v>
      </c>
      <c r="D58" s="32" t="str">
        <f>'Critères et tests'!$E57</f>
        <v>Dans chaque page web, chaque liste est-elle correctement structurée ?</v>
      </c>
      <c r="E58" s="147"/>
      <c r="F58" s="147" t="str">
        <f>IF(Transverse!E58="","",Transverse!E58)</f>
        <v/>
      </c>
      <c r="G58" s="47"/>
      <c r="H58" s="47"/>
      <c r="I58" s="32" t="str">
        <f>'Critères et tests'!$H57</f>
        <v>Faible à modéré</v>
      </c>
      <c r="J58" s="29"/>
      <c r="K58" s="84"/>
    </row>
    <row r="59" spans="1:11" ht="77.25" customHeight="1">
      <c r="A59" s="194" t="str">
        <f>'Critères et tests'!B58</f>
        <v>STRUCTURATION</v>
      </c>
      <c r="B59" s="95" t="str">
        <f>'Critères et tests'!$A58</f>
        <v>9.4</v>
      </c>
      <c r="C59" s="28" t="str">
        <f>'Critères et tests'!$C58</f>
        <v>A</v>
      </c>
      <c r="D59" s="32" t="str">
        <f>'Critères et tests'!$E58</f>
        <v>Dans chaque page web, chaque citation est-elle correctement indiquée ?</v>
      </c>
      <c r="E59" s="147"/>
      <c r="F59" s="147" t="str">
        <f>IF(Transverse!E59="","",Transverse!E59)</f>
        <v/>
      </c>
      <c r="G59" s="47"/>
      <c r="H59" s="47"/>
      <c r="I59" s="32" t="str">
        <f>'Critères et tests'!$H58</f>
        <v>Important</v>
      </c>
      <c r="J59" s="29"/>
      <c r="K59" s="84"/>
    </row>
    <row r="60" spans="1:11" ht="77.25" customHeight="1">
      <c r="A60" s="194" t="str">
        <f>'Critères et tests'!B59</f>
        <v>PRÉSENTATION</v>
      </c>
      <c r="B60" s="95" t="str">
        <f>'Critères et tests'!$A59</f>
        <v>10.1</v>
      </c>
      <c r="C60" s="28" t="str">
        <f>'Critères et tests'!$C59</f>
        <v>A</v>
      </c>
      <c r="D60" s="32" t="str">
        <f>'Critères et tests'!$E59</f>
        <v>Dans le site web, des feuilles de styles sont-elles utilisées pour contrôler la présentation de l’information ?</v>
      </c>
      <c r="E60" s="147"/>
      <c r="F60" s="147" t="str">
        <f>IF(Transverse!E60="","",Transverse!E60)</f>
        <v/>
      </c>
      <c r="G60" s="47"/>
      <c r="H60" s="47"/>
      <c r="I60" s="32" t="str">
        <f>'Critères et tests'!$H59</f>
        <v>Important</v>
      </c>
      <c r="J60" s="29"/>
      <c r="K60" s="84"/>
    </row>
    <row r="61" spans="1:11" ht="77.25" customHeight="1">
      <c r="A61" s="194" t="str">
        <f>'Critères et tests'!B60</f>
        <v>PRÉSENTATION</v>
      </c>
      <c r="B61" s="95" t="str">
        <f>'Critères et tests'!$A60</f>
        <v>10.2</v>
      </c>
      <c r="C61" s="28" t="str">
        <f>'Critères et tests'!$C60</f>
        <v>A</v>
      </c>
      <c r="D61" s="32" t="str">
        <f>'Critères et tests'!$E60</f>
        <v>Dans chaque page web, le contenu visible porteur d’information reste-t-il présent lorsque les feuilles de styles sont désactivées ?</v>
      </c>
      <c r="E61" s="147"/>
      <c r="F61" s="147" t="str">
        <f>IF(Transverse!E61="","",Transverse!E61)</f>
        <v/>
      </c>
      <c r="G61" s="47"/>
      <c r="H61" s="47"/>
      <c r="I61" s="32" t="str">
        <f>'Critères et tests'!$H60</f>
        <v>Important à principale</v>
      </c>
      <c r="J61" s="29"/>
      <c r="K61" s="84"/>
    </row>
    <row r="62" spans="1:11" ht="77.25" customHeight="1">
      <c r="A62" s="194" t="str">
        <f>'Critères et tests'!B61</f>
        <v>PRÉSENTATION</v>
      </c>
      <c r="B62" s="95" t="str">
        <f>'Critères et tests'!$A61</f>
        <v>10.3</v>
      </c>
      <c r="C62" s="28" t="str">
        <f>'Critères et tests'!$C61</f>
        <v>A</v>
      </c>
      <c r="D62" s="32" t="str">
        <f>'Critères et tests'!$E61</f>
        <v>Dans chaque page web, l’information reste-t-elle compréhensible lorsque les feuilles de styles sont désactivées ?</v>
      </c>
      <c r="E62" s="147"/>
      <c r="F62" s="147" t="str">
        <f>IF(Transverse!E62="","",Transverse!E62)</f>
        <v/>
      </c>
      <c r="G62" s="47"/>
      <c r="H62" s="47"/>
      <c r="I62" s="32" t="str">
        <f>'Critères et tests'!$H61</f>
        <v>Important à principale</v>
      </c>
      <c r="J62" s="29"/>
      <c r="K62" s="84"/>
    </row>
    <row r="63" spans="1:11" ht="77.25" customHeight="1">
      <c r="A63" s="194" t="str">
        <f>'Critères et tests'!B62</f>
        <v>PRÉSENTATION</v>
      </c>
      <c r="B63" s="95" t="str">
        <f>'Critères et tests'!$A62</f>
        <v>10.4</v>
      </c>
      <c r="C63" s="28" t="str">
        <f>'Critères et tests'!$C62</f>
        <v>AA</v>
      </c>
      <c r="D63" s="32" t="str">
        <f>'Critères et tests'!$E62</f>
        <v>Dans chaque page web, le texte reste-t-il lisible lorsque la taille des caractères est augmentée jusqu’à 200%, au moins (hors cas particuliers) ?</v>
      </c>
      <c r="E63" s="147"/>
      <c r="F63" s="147" t="str">
        <f>IF(Transverse!E63="","",Transverse!E63)</f>
        <v/>
      </c>
      <c r="G63" s="47"/>
      <c r="H63" s="47"/>
      <c r="I63" s="32" t="str">
        <f>'Critères et tests'!$H62</f>
        <v>Important</v>
      </c>
      <c r="J63" s="29"/>
      <c r="K63" s="84"/>
    </row>
    <row r="64" spans="1:11" ht="77.25" customHeight="1">
      <c r="A64" s="194" t="str">
        <f>'Critères et tests'!B63</f>
        <v>PRÉSENTATION</v>
      </c>
      <c r="B64" s="95" t="str">
        <f>'Critères et tests'!$A63</f>
        <v>10.5</v>
      </c>
      <c r="C64" s="28" t="str">
        <f>'Critères et tests'!$C63</f>
        <v>AA</v>
      </c>
      <c r="D64" s="32" t="str">
        <f>'Critères et tests'!$E63</f>
        <v>Dans chaque page web, les déclarations CSS de couleurs de fond d’élément et de police sont-elles correctement utilisées ?</v>
      </c>
      <c r="E64" s="147"/>
      <c r="F64" s="147" t="str">
        <f>IF(Transverse!E64="","",Transverse!E64)</f>
        <v/>
      </c>
      <c r="G64" s="47"/>
      <c r="H64" s="47"/>
      <c r="I64" s="32" t="str">
        <f>'Critères et tests'!$H63</f>
        <v>Important</v>
      </c>
      <c r="J64" s="29"/>
      <c r="K64" s="84"/>
    </row>
    <row r="65" spans="1:11" ht="77.25" customHeight="1">
      <c r="A65" s="194" t="str">
        <f>'Critères et tests'!B64</f>
        <v>PRÉSENTATION</v>
      </c>
      <c r="B65" s="95" t="str">
        <f>'Critères et tests'!$A64</f>
        <v>10.6</v>
      </c>
      <c r="C65" s="28" t="str">
        <f>'Critères et tests'!$C64</f>
        <v>A</v>
      </c>
      <c r="D65" s="32" t="str">
        <f>'Critères et tests'!$E64</f>
        <v>Dans chaque page web, chaque lien dont la nature n’est pas évidente est-il visible par rapport au texte environnant ?</v>
      </c>
      <c r="E65" s="147"/>
      <c r="F65" s="147" t="str">
        <f>IF(Transverse!E65="","",Transverse!E65)</f>
        <v/>
      </c>
      <c r="G65" s="47"/>
      <c r="H65" s="47"/>
      <c r="I65" s="32" t="str">
        <f>'Critères et tests'!$H64</f>
        <v>Faible à majeur</v>
      </c>
      <c r="J65" s="29"/>
      <c r="K65" s="84"/>
    </row>
    <row r="66" spans="1:11" ht="77.25" customHeight="1">
      <c r="A66" s="194" t="str">
        <f>'Critères et tests'!B65</f>
        <v>PRÉSENTATION</v>
      </c>
      <c r="B66" s="95" t="str">
        <f>'Critères et tests'!$A65</f>
        <v>10.7</v>
      </c>
      <c r="C66" s="28" t="str">
        <f>'Critères et tests'!$C65</f>
        <v>A</v>
      </c>
      <c r="D66" s="32" t="str">
        <f>'Critères et tests'!$E65</f>
        <v>Dans chaque page web, pour chaque élément recevant le focus, la prise de focus est-elle visible ?</v>
      </c>
      <c r="E66" s="147"/>
      <c r="F66" s="147" t="str">
        <f>IF(Transverse!E66="","",Transverse!E66)</f>
        <v/>
      </c>
      <c r="G66" s="47"/>
      <c r="H66" s="47"/>
      <c r="I66" s="32" t="str">
        <f>'Critères et tests'!$H65</f>
        <v>Important</v>
      </c>
      <c r="J66" s="29"/>
      <c r="K66" s="84"/>
    </row>
    <row r="67" spans="1:11" ht="77.25" customHeight="1">
      <c r="A67" s="194" t="str">
        <f>'Critères et tests'!B66</f>
        <v>PRÉSENTATION</v>
      </c>
      <c r="B67" s="95" t="str">
        <f>'Critères et tests'!$A66</f>
        <v>10.8</v>
      </c>
      <c r="C67" s="28" t="str">
        <f>'Critères et tests'!$C66</f>
        <v>A</v>
      </c>
      <c r="D67" s="32" t="str">
        <f>'Critères et tests'!$E66</f>
        <v>Pour chaque page web, les contenus cachés ont-ils vocation à être ignorés par les technologies d’assistance ?</v>
      </c>
      <c r="E67" s="147"/>
      <c r="F67" s="147" t="str">
        <f>IF(Transverse!E67="","",Transverse!E67)</f>
        <v/>
      </c>
      <c r="G67" s="47"/>
      <c r="H67" s="47"/>
      <c r="I67" s="32" t="str">
        <f>'Critères et tests'!$H66</f>
        <v>Moyen à important</v>
      </c>
      <c r="J67" s="29"/>
      <c r="K67" s="84"/>
    </row>
    <row r="68" spans="1:11" ht="77.25" customHeight="1">
      <c r="A68" s="194" t="str">
        <f>'Critères et tests'!B67</f>
        <v>PRÉSENTATION</v>
      </c>
      <c r="B68" s="95" t="str">
        <f>'Critères et tests'!$A67</f>
        <v>10.9</v>
      </c>
      <c r="C68" s="28" t="str">
        <f>'Critères et tests'!$C67</f>
        <v>A</v>
      </c>
      <c r="D68" s="32" t="str">
        <f>'Critères et tests'!$E67</f>
        <v>Dans chaque page web, l’information ne doit pas être donnée uniquement par la forme, taille ou position. Cette règle est-elle respectée ?</v>
      </c>
      <c r="E68" s="147"/>
      <c r="F68" s="147" t="str">
        <f>IF(Transverse!E68="","",Transverse!E68)</f>
        <v/>
      </c>
      <c r="G68" s="47"/>
      <c r="H68" s="47"/>
      <c r="I68" s="32" t="str">
        <f>'Critères et tests'!$H67</f>
        <v>Moyen à important</v>
      </c>
      <c r="J68" s="29"/>
      <c r="K68" s="84"/>
    </row>
    <row r="69" spans="1:11" ht="77.25" customHeight="1">
      <c r="A69" s="194" t="str">
        <f>'Critères et tests'!B68</f>
        <v>PRÉSENTATION</v>
      </c>
      <c r="B69" s="95" t="str">
        <f>'Critères et tests'!$A68</f>
        <v>10.10</v>
      </c>
      <c r="C69" s="28" t="str">
        <f>'Critères et tests'!$C68</f>
        <v>A</v>
      </c>
      <c r="D69" s="32" t="str">
        <f>'Critères et tests'!$E68</f>
        <v>Dans chaque page web, l’information ne doit pas être donnée par la forme, taille ou position uniquement. Cette règle est-elle implémentée de façon pertinente ?</v>
      </c>
      <c r="E69" s="147"/>
      <c r="F69" s="147" t="str">
        <f>IF(Transverse!E69="","",Transverse!E69)</f>
        <v/>
      </c>
      <c r="G69" s="47"/>
      <c r="H69" s="47"/>
      <c r="I69" s="32" t="str">
        <f>'Critères et tests'!$H68</f>
        <v>Moyen à important</v>
      </c>
      <c r="J69" s="29"/>
      <c r="K69" s="84"/>
    </row>
    <row r="70" spans="1:11" ht="77.25" customHeight="1">
      <c r="A70" s="194" t="str">
        <f>'Critères et tests'!B69</f>
        <v>PRÉSENTATION</v>
      </c>
      <c r="B70" s="95" t="str">
        <f>'Critères et tests'!$A69</f>
        <v>10.11</v>
      </c>
      <c r="C70" s="28" t="str">
        <f>'Critères et tests'!$C69</f>
        <v>AA</v>
      </c>
      <c r="D70" s="32" t="str">
        <f>'Critères et tests'!$E69</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147"/>
      <c r="F70" s="147" t="str">
        <f>IF(Transverse!E70="","",Transverse!E70)</f>
        <v/>
      </c>
      <c r="G70" s="47"/>
      <c r="H70" s="47"/>
      <c r="I70" s="32" t="str">
        <f>'Critères et tests'!$H69</f>
        <v>Faible à important</v>
      </c>
      <c r="J70" s="29"/>
      <c r="K70" s="84"/>
    </row>
    <row r="71" spans="1:11" ht="77.25" customHeight="1">
      <c r="A71" s="194" t="str">
        <f>'Critères et tests'!B70</f>
        <v>PRÉSENTATION</v>
      </c>
      <c r="B71" s="95" t="str">
        <f>'Critères et tests'!$A70</f>
        <v>10.12</v>
      </c>
      <c r="C71" s="28" t="str">
        <f>'Critères et tests'!$C70</f>
        <v>AA</v>
      </c>
      <c r="D71" s="32" t="str">
        <f>'Critères et tests'!$E70</f>
        <v>Dans chaque page web, les propriétés d’espacement du texte peuvent-elles être redéfinies par l’utilisateur sans perte de contenu ou de fonctionnalité (hors cas particuliers) ?</v>
      </c>
      <c r="E71" s="147"/>
      <c r="F71" s="147" t="str">
        <f>IF(Transverse!E71="","",Transverse!E71)</f>
        <v/>
      </c>
      <c r="G71" s="47"/>
      <c r="H71" s="47"/>
      <c r="I71" s="32" t="str">
        <f>'Critères et tests'!$H70</f>
        <v>Moyen</v>
      </c>
      <c r="J71" s="29"/>
      <c r="K71" s="84"/>
    </row>
    <row r="72" spans="1:11" ht="77.25" customHeight="1">
      <c r="A72" s="194" t="str">
        <f>'Critères et tests'!B71</f>
        <v>PRÉSENTATION</v>
      </c>
      <c r="B72" s="95" t="str">
        <f>'Critères et tests'!$A71</f>
        <v>10.13</v>
      </c>
      <c r="C72" s="28" t="str">
        <f>'Critères et tests'!$C71</f>
        <v>AA</v>
      </c>
      <c r="D72" s="32" t="str">
        <f>'Critères et tests'!$E71</f>
        <v>Dans chaque page web, les contenus additionnels apparaissant à la prise de focus ou au survol d’un composant d’interface sont-ils contrôlables par l’utilisateur (hors cas particuliers) ?</v>
      </c>
      <c r="E72" s="147"/>
      <c r="F72" s="147" t="str">
        <f>IF(Transverse!E72="","",Transverse!E72)</f>
        <v/>
      </c>
      <c r="G72" s="47"/>
      <c r="H72" s="47"/>
      <c r="I72" s="32" t="str">
        <f>'Critères et tests'!$H71</f>
        <v>Moyen</v>
      </c>
      <c r="J72" s="29"/>
      <c r="K72" s="84"/>
    </row>
    <row r="73" spans="1:11" ht="77.25" customHeight="1">
      <c r="A73" s="194" t="str">
        <f>'Critères et tests'!B72</f>
        <v>PRÉSENTATION</v>
      </c>
      <c r="B73" s="95" t="str">
        <f>'Critères et tests'!$A72</f>
        <v>10.14</v>
      </c>
      <c r="C73" s="28" t="str">
        <f>'Critères et tests'!$C72</f>
        <v>AA</v>
      </c>
      <c r="D73" s="32" t="str">
        <f>'Critères et tests'!$E72</f>
        <v>Dans chaque page web, les contenus additionnels apparaissant via les styles CSS uniquement peuvent-ils être rendus visibles au clavier et par tout dispositif de pointage ?</v>
      </c>
      <c r="E73" s="147"/>
      <c r="F73" s="147" t="str">
        <f>IF(Transverse!E73="","",Transverse!E73)</f>
        <v/>
      </c>
      <c r="G73" s="47"/>
      <c r="H73" s="47"/>
      <c r="I73" s="32" t="str">
        <f>'Critères et tests'!$H72</f>
        <v>Important à principale</v>
      </c>
      <c r="J73" s="29"/>
      <c r="K73" s="84"/>
    </row>
    <row r="74" spans="1:11" ht="77.25" customHeight="1">
      <c r="A74" s="194" t="str">
        <f>'Critères et tests'!B73</f>
        <v>FORMULAIRES</v>
      </c>
      <c r="B74" s="95" t="str">
        <f>'Critères et tests'!$A73</f>
        <v>11.1</v>
      </c>
      <c r="C74" s="28" t="str">
        <f>'Critères et tests'!$C73</f>
        <v>A</v>
      </c>
      <c r="D74" s="32" t="str">
        <f>'Critères et tests'!$E73</f>
        <v>Chaque champ de formulaire a-t-il une étiquette ?</v>
      </c>
      <c r="E74" s="147"/>
      <c r="F74" s="147" t="str">
        <f>IF(Transverse!E74="","",Transverse!E74)</f>
        <v/>
      </c>
      <c r="G74" s="47"/>
      <c r="H74" s="47"/>
      <c r="I74" s="32" t="str">
        <f>'Critères et tests'!$H73</f>
        <v>Important à principale</v>
      </c>
      <c r="J74" s="29"/>
      <c r="K74" s="84"/>
    </row>
    <row r="75" spans="1:11" ht="77.25" customHeight="1">
      <c r="A75" s="194" t="str">
        <f>'Critères et tests'!B74</f>
        <v>FORMULAIRES</v>
      </c>
      <c r="B75" s="95" t="str">
        <f>'Critères et tests'!$A74</f>
        <v>11.2</v>
      </c>
      <c r="C75" s="28" t="str">
        <f>'Critères et tests'!$C74</f>
        <v>A</v>
      </c>
      <c r="D75" s="32" t="str">
        <f>'Critères et tests'!$E74</f>
        <v>Chaque étiquette associée à un champ de formulaire est-elle pertinente (hors cas particuliers) ?</v>
      </c>
      <c r="E75" s="147"/>
      <c r="F75" s="147" t="str">
        <f>IF(Transverse!E75="","",Transverse!E75)</f>
        <v/>
      </c>
      <c r="G75" s="47"/>
      <c r="H75" s="47"/>
      <c r="I75" s="32" t="str">
        <f>'Critères et tests'!$H74</f>
        <v>Important à principale</v>
      </c>
      <c r="J75" s="29"/>
      <c r="K75" s="84"/>
    </row>
    <row r="76" spans="1:11" ht="77.25" customHeight="1">
      <c r="A76" s="194" t="str">
        <f>'Critères et tests'!B75</f>
        <v>FORMULAIRES</v>
      </c>
      <c r="B76" s="95" t="str">
        <f>'Critères et tests'!$A75</f>
        <v>11.3</v>
      </c>
      <c r="C76" s="28" t="str">
        <f>'Critères et tests'!$C75</f>
        <v>A</v>
      </c>
      <c r="D76" s="32" t="str">
        <f>'Critères et tests'!$E75</f>
        <v>Dans chaque formulaire, chaque étiquette associée à un champ de formulaire ayant la même fonction et répétée plusieurs fois dans une même page ou dans un ensemble de pages est-elle cohérente ?</v>
      </c>
      <c r="E76" s="147"/>
      <c r="F76" s="147" t="str">
        <f>IF(Transverse!E76="","",Transverse!E76)</f>
        <v/>
      </c>
      <c r="G76" s="47"/>
      <c r="H76" s="47"/>
      <c r="I76" s="32" t="str">
        <f>'Critères et tests'!$H75</f>
        <v>Important à principale</v>
      </c>
      <c r="J76" s="29"/>
      <c r="K76" s="84"/>
    </row>
    <row r="77" spans="1:11" ht="77.25" customHeight="1">
      <c r="A77" s="194" t="str">
        <f>'Critères et tests'!B76</f>
        <v>FORMULAIRES</v>
      </c>
      <c r="B77" s="95" t="str">
        <f>'Critères et tests'!$A76</f>
        <v>11.4</v>
      </c>
      <c r="C77" s="28" t="str">
        <f>'Critères et tests'!$C76</f>
        <v>A</v>
      </c>
      <c r="D77" s="32" t="str">
        <f>'Critères et tests'!$E76</f>
        <v>Dans chaque formulaire, chaque étiquette de champ et son champ associé sont-ils accolés (hors cas particuliers) ?</v>
      </c>
      <c r="E77" s="147"/>
      <c r="F77" s="147" t="str">
        <f>IF(Transverse!E77="","",Transverse!E77)</f>
        <v/>
      </c>
      <c r="G77" s="47"/>
      <c r="H77" s="47"/>
      <c r="I77" s="32" t="str">
        <f>'Critères et tests'!$H76</f>
        <v>Important à principale</v>
      </c>
      <c r="J77" s="29"/>
      <c r="K77" s="84"/>
    </row>
    <row r="78" spans="1:11" ht="77.25" customHeight="1">
      <c r="A78" s="194" t="str">
        <f>'Critères et tests'!B77</f>
        <v>FORMULAIRES</v>
      </c>
      <c r="B78" s="95" t="str">
        <f>'Critères et tests'!$A77</f>
        <v>11.5</v>
      </c>
      <c r="C78" s="28" t="str">
        <f>'Critères et tests'!$C77</f>
        <v>A</v>
      </c>
      <c r="D78" s="32" t="str">
        <f>'Critères et tests'!$E77</f>
        <v>Dans chaque formulaire, les champs de même nature sont-ils regroupés, si nécessaire ?</v>
      </c>
      <c r="E78" s="147"/>
      <c r="F78" s="147" t="str">
        <f>IF(Transverse!E78="","",Transverse!E78)</f>
        <v/>
      </c>
      <c r="G78" s="47"/>
      <c r="H78" s="47"/>
      <c r="I78" s="32" t="str">
        <f>'Critères et tests'!$H77</f>
        <v>Important</v>
      </c>
      <c r="J78" s="29"/>
      <c r="K78" s="84"/>
    </row>
    <row r="79" spans="1:11" ht="77.25" customHeight="1">
      <c r="A79" s="194" t="str">
        <f>'Critères et tests'!B78</f>
        <v>FORMULAIRES</v>
      </c>
      <c r="B79" s="95" t="str">
        <f>'Critères et tests'!$A78</f>
        <v>11.6</v>
      </c>
      <c r="C79" s="28" t="str">
        <f>'Critères et tests'!$C78</f>
        <v>A</v>
      </c>
      <c r="D79" s="32" t="str">
        <f>'Critères et tests'!$E78</f>
        <v>Dans chaque formulaire, chaque regroupement de champs de même nature a-t-il une légende ?</v>
      </c>
      <c r="E79" s="147"/>
      <c r="F79" s="147" t="str">
        <f>IF(Transverse!E79="","",Transverse!E79)</f>
        <v/>
      </c>
      <c r="G79" s="47"/>
      <c r="H79" s="47"/>
      <c r="I79" s="32" t="str">
        <f>'Critères et tests'!$H78</f>
        <v>Important à principale</v>
      </c>
      <c r="J79" s="29"/>
      <c r="K79" s="84"/>
    </row>
    <row r="80" spans="1:11" ht="77.25" customHeight="1">
      <c r="A80" s="194" t="str">
        <f>'Critères et tests'!B79</f>
        <v>FORMULAIRES</v>
      </c>
      <c r="B80" s="95" t="str">
        <f>'Critères et tests'!$A79</f>
        <v>11.7</v>
      </c>
      <c r="C80" s="28" t="str">
        <f>'Critères et tests'!$C79</f>
        <v>A</v>
      </c>
      <c r="D80" s="32" t="str">
        <f>'Critères et tests'!$E79</f>
        <v>Dans chaque formulaire, chaque légende associée à un regroupement de champs de même nature est-elle pertinente ?</v>
      </c>
      <c r="E80" s="147"/>
      <c r="F80" s="147" t="str">
        <f>IF(Transverse!E80="","",Transverse!E80)</f>
        <v/>
      </c>
      <c r="G80" s="47"/>
      <c r="H80" s="47"/>
      <c r="I80" s="32" t="str">
        <f>'Critères et tests'!$H79</f>
        <v>Principale</v>
      </c>
      <c r="J80" s="29"/>
      <c r="K80" s="84"/>
    </row>
    <row r="81" spans="1:11" ht="77.25" customHeight="1">
      <c r="A81" s="194" t="str">
        <f>'Critères et tests'!B80</f>
        <v>FORMULAIRES</v>
      </c>
      <c r="B81" s="95" t="str">
        <f>'Critères et tests'!$A80</f>
        <v>11.8</v>
      </c>
      <c r="C81" s="28" t="str">
        <f>'Critères et tests'!$C80</f>
        <v>A</v>
      </c>
      <c r="D81" s="32" t="str">
        <f>'Critères et tests'!$E80</f>
        <v>Dans chaque formulaire, les items de même nature d’une liste de choix sont-ils regroupés de manière pertinente ?</v>
      </c>
      <c r="E81" s="147"/>
      <c r="F81" s="147" t="str">
        <f>IF(Transverse!E81="","",Transverse!E81)</f>
        <v/>
      </c>
      <c r="G81" s="47"/>
      <c r="H81" s="47"/>
      <c r="I81" s="32" t="str">
        <f>'Critères et tests'!$H80</f>
        <v>Principale</v>
      </c>
      <c r="J81" s="29"/>
      <c r="K81" s="84"/>
    </row>
    <row r="82" spans="1:11" ht="77.25" customHeight="1">
      <c r="A82" s="194" t="str">
        <f>'Critères et tests'!B81</f>
        <v>FORMULAIRES</v>
      </c>
      <c r="B82" s="95" t="str">
        <f>'Critères et tests'!$A81</f>
        <v>11.9</v>
      </c>
      <c r="C82" s="28" t="str">
        <f>'Critères et tests'!$C81</f>
        <v>A</v>
      </c>
      <c r="D82" s="32" t="str">
        <f>'Critères et tests'!$E81</f>
        <v>Dans chaque formulaire, l’intitulé de chaque bouton est-il pertinent (hors cas particuliers) ?</v>
      </c>
      <c r="E82" s="147"/>
      <c r="F82" s="147" t="str">
        <f>IF(Transverse!E82="","",Transverse!E82)</f>
        <v/>
      </c>
      <c r="G82" s="47"/>
      <c r="H82" s="47"/>
      <c r="I82" s="32" t="str">
        <f>'Critères et tests'!$H81</f>
        <v>Principale</v>
      </c>
      <c r="J82" s="29"/>
      <c r="K82" s="84"/>
    </row>
    <row r="83" spans="1:11" ht="77.25" customHeight="1">
      <c r="A83" s="194" t="str">
        <f>'Critères et tests'!B82</f>
        <v>FORMULAIRES</v>
      </c>
      <c r="B83" s="95" t="str">
        <f>'Critères et tests'!$A82</f>
        <v>11.10</v>
      </c>
      <c r="C83" s="28" t="str">
        <f>'Critères et tests'!$C82</f>
        <v>A</v>
      </c>
      <c r="D83" s="32" t="str">
        <f>'Critères et tests'!$E82</f>
        <v>Dans chaque formulaire, le contrôle de saisie est-il utilisé de manière pertinente (hors cas particuliers) ?</v>
      </c>
      <c r="E83" s="147"/>
      <c r="F83" s="147" t="str">
        <f>IF(Transverse!E83="","",Transverse!E83)</f>
        <v/>
      </c>
      <c r="G83" s="47"/>
      <c r="H83" s="47"/>
      <c r="I83" s="32" t="str">
        <f>'Critères et tests'!$H82</f>
        <v>Important à principale</v>
      </c>
      <c r="J83" s="29"/>
      <c r="K83" s="84"/>
    </row>
    <row r="84" spans="1:11" ht="77.25" customHeight="1">
      <c r="A84" s="194" t="str">
        <f>'Critères et tests'!B83</f>
        <v>FORMULAIRES</v>
      </c>
      <c r="B84" s="95" t="str">
        <f>'Critères et tests'!$A83</f>
        <v>11.11</v>
      </c>
      <c r="C84" s="28" t="str">
        <f>'Critères et tests'!$C83</f>
        <v>A</v>
      </c>
      <c r="D84" s="32" t="str">
        <f>'Critères et tests'!$E83</f>
        <v>Dans chaque formulaire, le contrôle de saisie est-il accompagné, si nécessaire, de suggestions facilitant la correction des erreurs de saisie ?</v>
      </c>
      <c r="E84" s="147"/>
      <c r="F84" s="147" t="str">
        <f>IF(Transverse!E84="","",Transverse!E84)</f>
        <v/>
      </c>
      <c r="G84" s="47"/>
      <c r="H84" s="47"/>
      <c r="I84" s="32" t="str">
        <f>'Critères et tests'!$H83</f>
        <v>Important à principale</v>
      </c>
      <c r="J84" s="29"/>
      <c r="K84" s="84"/>
    </row>
    <row r="85" spans="1:11" ht="77.25" customHeight="1">
      <c r="A85" s="194" t="str">
        <f>'Critères et tests'!B84</f>
        <v>FORMULAIRES</v>
      </c>
      <c r="B85" s="95" t="str">
        <f>'Critères et tests'!$A84</f>
        <v>11.12</v>
      </c>
      <c r="C85" s="28" t="str">
        <f>'Critères et tests'!$C84</f>
        <v>A</v>
      </c>
      <c r="D85" s="32" t="str">
        <f>'Critères et tests'!$E84</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147"/>
      <c r="F85" s="147" t="str">
        <f>IF(Transverse!E85="","",Transverse!E85)</f>
        <v/>
      </c>
      <c r="G85" s="47"/>
      <c r="H85" s="47"/>
      <c r="I85" s="32" t="str">
        <f>'Critères et tests'!$H84</f>
        <v>Important à principale</v>
      </c>
      <c r="J85" s="29"/>
      <c r="K85" s="84"/>
    </row>
    <row r="86" spans="1:11" ht="77.25" customHeight="1">
      <c r="A86" s="194" t="str">
        <f>'Critères et tests'!B85</f>
        <v>FORMULAIRES</v>
      </c>
      <c r="B86" s="95" t="str">
        <f>'Critères et tests'!$A85</f>
        <v>11.13</v>
      </c>
      <c r="C86" s="28" t="str">
        <f>'Critères et tests'!$C85</f>
        <v>AA</v>
      </c>
      <c r="D86" s="32" t="str">
        <f>'Critères et tests'!$E85</f>
        <v>La finalité d’un champ de saisie peut-elle être déduite pour faciliter le remplissage automatique des champs avec les données de l’utilisateur ?</v>
      </c>
      <c r="E86" s="147"/>
      <c r="F86" s="147" t="str">
        <f>IF(Transverse!E86="","",Transverse!E86)</f>
        <v/>
      </c>
      <c r="G86" s="47"/>
      <c r="H86" s="47"/>
      <c r="I86" s="32" t="str">
        <f>'Critères et tests'!$H85</f>
        <v>Important à principale</v>
      </c>
      <c r="J86" s="29"/>
      <c r="K86" s="84"/>
    </row>
    <row r="87" spans="1:11" ht="77.25" customHeight="1">
      <c r="A87" s="194" t="str">
        <f>'Critères et tests'!B86</f>
        <v>NAVIGATION</v>
      </c>
      <c r="B87" s="95" t="str">
        <f>'Critères et tests'!$A86</f>
        <v>12.1</v>
      </c>
      <c r="C87" s="28" t="str">
        <f>'Critères et tests'!$C86</f>
        <v>AA</v>
      </c>
      <c r="D87" s="32" t="str">
        <f>'Critères et tests'!$E86</f>
        <v>Chaque ensemble de pages dispose-t-il de deux systèmes de navigation différents, au moins (hors cas particuliers) ?</v>
      </c>
      <c r="E87" s="147"/>
      <c r="F87" s="147" t="str">
        <f>IF(Transverse!E87="","",Transverse!E87)</f>
        <v/>
      </c>
      <c r="G87" s="47"/>
      <c r="H87" s="47"/>
      <c r="I87" s="32" t="str">
        <f>'Critères et tests'!$H86</f>
        <v>Important</v>
      </c>
      <c r="J87" s="29"/>
      <c r="K87" s="84"/>
    </row>
    <row r="88" spans="1:11" ht="77.25" customHeight="1">
      <c r="A88" s="194" t="str">
        <f>'Critères et tests'!B87</f>
        <v>NAVIGATION</v>
      </c>
      <c r="B88" s="95" t="str">
        <f>'Critères et tests'!$A87</f>
        <v>12.2</v>
      </c>
      <c r="C88" s="28" t="str">
        <f>'Critères et tests'!$C87</f>
        <v>AA</v>
      </c>
      <c r="D88" s="32" t="str">
        <f>'Critères et tests'!$E87</f>
        <v>Dans chaque ensemble de pages, le menu et les barres de navigation sont-ils toujours à la même place (hors cas particuliers) ?</v>
      </c>
      <c r="E88" s="147"/>
      <c r="F88" s="147" t="str">
        <f>IF(Transverse!E88="","",Transverse!E88)</f>
        <v/>
      </c>
      <c r="G88" s="47"/>
      <c r="H88" s="47"/>
      <c r="I88" s="32" t="str">
        <f>'Critères et tests'!$H87</f>
        <v>Important</v>
      </c>
      <c r="J88" s="29"/>
      <c r="K88" s="84"/>
    </row>
    <row r="89" spans="1:11" ht="77.25" customHeight="1">
      <c r="A89" s="194" t="str">
        <f>'Critères et tests'!B88</f>
        <v>NAVIGATION</v>
      </c>
      <c r="B89" s="95" t="str">
        <f>'Critères et tests'!$A88</f>
        <v>12.3</v>
      </c>
      <c r="C89" s="28" t="str">
        <f>'Critères et tests'!$C88</f>
        <v>AA</v>
      </c>
      <c r="D89" s="32" t="str">
        <f>'Critères et tests'!$E88</f>
        <v>La page « plan du site » est-elle pertinente ?</v>
      </c>
      <c r="E89" s="147"/>
      <c r="F89" s="147" t="str">
        <f>IF(Transverse!E89="","",Transverse!E89)</f>
        <v/>
      </c>
      <c r="G89" s="47"/>
      <c r="H89" s="47"/>
      <c r="I89" s="32" t="str">
        <f>'Critères et tests'!$H88</f>
        <v>Important</v>
      </c>
      <c r="J89" s="29"/>
      <c r="K89" s="84"/>
    </row>
    <row r="90" spans="1:11" ht="77.25" customHeight="1">
      <c r="A90" s="194" t="str">
        <f>'Critères et tests'!B89</f>
        <v>NAVIGATION</v>
      </c>
      <c r="B90" s="95" t="str">
        <f>'Critères et tests'!$A89</f>
        <v>12.4</v>
      </c>
      <c r="C90" s="28" t="str">
        <f>'Critères et tests'!$C89</f>
        <v>AA</v>
      </c>
      <c r="D90" s="32" t="str">
        <f>'Critères et tests'!$E89</f>
        <v>Dans chaque ensemble de pages, la page « plan du site » est-elle atteignable de manière identique ?</v>
      </c>
      <c r="E90" s="147"/>
      <c r="F90" s="147" t="str">
        <f>IF(Transverse!E90="","",Transverse!E90)</f>
        <v/>
      </c>
      <c r="G90" s="47"/>
      <c r="H90" s="47"/>
      <c r="I90" s="32" t="str">
        <f>'Critères et tests'!$H89</f>
        <v>Important</v>
      </c>
      <c r="J90" s="29"/>
      <c r="K90" s="84"/>
    </row>
    <row r="91" spans="1:11" ht="77.25" customHeight="1">
      <c r="A91" s="194" t="str">
        <f>'Critères et tests'!B90</f>
        <v>NAVIGATION</v>
      </c>
      <c r="B91" s="95" t="str">
        <f>'Critères et tests'!$A90</f>
        <v>12.5</v>
      </c>
      <c r="C91" s="28" t="str">
        <f>'Critères et tests'!$C90</f>
        <v>AA</v>
      </c>
      <c r="D91" s="32" t="str">
        <f>'Critères et tests'!$E90</f>
        <v>Dans chaque ensemble de pages, le moteur de recherche est-il atteignable de manière identique ?</v>
      </c>
      <c r="E91" s="147"/>
      <c r="F91" s="147" t="str">
        <f>IF(Transverse!E91="","",Transverse!E91)</f>
        <v/>
      </c>
      <c r="G91" s="47"/>
      <c r="H91" s="47"/>
      <c r="I91" s="32" t="str">
        <f>'Critères et tests'!$H90</f>
        <v>Important</v>
      </c>
      <c r="J91" s="29"/>
      <c r="K91" s="84"/>
    </row>
    <row r="92" spans="1:11" ht="77.25" customHeight="1">
      <c r="A92" s="194" t="str">
        <f>'Critères et tests'!B91</f>
        <v>NAVIGATION</v>
      </c>
      <c r="B92" s="95" t="str">
        <f>'Critères et tests'!$A91</f>
        <v>12.6</v>
      </c>
      <c r="C92" s="28" t="str">
        <f>'Critères et tests'!$C91</f>
        <v>A</v>
      </c>
      <c r="D92" s="32" t="str">
        <f>'Critères et tests'!$E91</f>
        <v>Les zones de regroupement de contenus présentes dans plusieurs pages web (zones d’en-tête, de navigation principale, de contenu principal, de pied de page et de moteur de recherche) peuvent-elles être atteintes ou évitées ?</v>
      </c>
      <c r="E92" s="147"/>
      <c r="F92" s="147" t="str">
        <f>IF(Transverse!E92="","",Transverse!E92)</f>
        <v/>
      </c>
      <c r="G92" s="47"/>
      <c r="H92" s="47"/>
      <c r="I92" s="32" t="str">
        <f>'Critères et tests'!$H91</f>
        <v>Important à principale</v>
      </c>
      <c r="J92" s="29"/>
      <c r="K92" s="84"/>
    </row>
    <row r="93" spans="1:11" ht="77.25" customHeight="1">
      <c r="A93" s="194" t="str">
        <f>'Critères et tests'!B92</f>
        <v>NAVIGATION</v>
      </c>
      <c r="B93" s="95" t="str">
        <f>'Critères et tests'!$A92</f>
        <v>12.7</v>
      </c>
      <c r="C93" s="28" t="str">
        <f>'Critères et tests'!$C92</f>
        <v>A</v>
      </c>
      <c r="D93" s="32" t="str">
        <f>'Critères et tests'!$E92</f>
        <v>Dans chaque page web, un lien d’évitement ou d’accès rapide à la zone de contenu principal est-il présent (hors cas particuliers) ?</v>
      </c>
      <c r="E93" s="147"/>
      <c r="F93" s="147" t="str">
        <f>IF(Transverse!E93="","",Transverse!E93)</f>
        <v/>
      </c>
      <c r="G93" s="47"/>
      <c r="H93" s="47"/>
      <c r="I93" s="32" t="str">
        <f>'Critères et tests'!$H92</f>
        <v>Important à principale</v>
      </c>
      <c r="J93" s="29"/>
      <c r="K93" s="84"/>
    </row>
    <row r="94" spans="1:11" ht="77.25" customHeight="1">
      <c r="A94" s="194" t="str">
        <f>'Critères et tests'!B93</f>
        <v>NAVIGATION</v>
      </c>
      <c r="B94" s="95" t="str">
        <f>'Critères et tests'!$A93</f>
        <v>12.8</v>
      </c>
      <c r="C94" s="28" t="str">
        <f>'Critères et tests'!$C93</f>
        <v>A</v>
      </c>
      <c r="D94" s="32" t="str">
        <f>'Critères et tests'!$E93</f>
        <v>Dans chaque page web, l’ordre de tabulation est-il cohérent ?</v>
      </c>
      <c r="E94" s="147"/>
      <c r="F94" s="147" t="str">
        <f>IF(Transverse!E94="","",Transverse!E94)</f>
        <v/>
      </c>
      <c r="G94" s="47"/>
      <c r="H94" s="47"/>
      <c r="I94" s="32" t="str">
        <f>'Critères et tests'!$H93</f>
        <v>Important à principale</v>
      </c>
      <c r="J94" s="29"/>
      <c r="K94" s="84"/>
    </row>
    <row r="95" spans="1:11" ht="77.25" customHeight="1">
      <c r="A95" s="194" t="str">
        <f>'Critères et tests'!B94</f>
        <v>NAVIGATION</v>
      </c>
      <c r="B95" s="95" t="str">
        <f>'Critères et tests'!$A94</f>
        <v>12.9</v>
      </c>
      <c r="C95" s="28" t="str">
        <f>'Critères et tests'!$C94</f>
        <v>A</v>
      </c>
      <c r="D95" s="32" t="str">
        <f>'Critères et tests'!$E94</f>
        <v>Dans chaque page web, la navigation ne doit pas contenir de piège au clavier. Cette règle est-elle respectée ?</v>
      </c>
      <c r="E95" s="147"/>
      <c r="F95" s="147" t="str">
        <f>IF(Transverse!E95="","",Transverse!E95)</f>
        <v/>
      </c>
      <c r="G95" s="47"/>
      <c r="H95" s="47"/>
      <c r="I95" s="32" t="str">
        <f>'Critères et tests'!$H94</f>
        <v>Moyen à important</v>
      </c>
      <c r="J95" s="29"/>
      <c r="K95" s="84"/>
    </row>
    <row r="96" spans="1:11" ht="77.25" customHeight="1">
      <c r="A96" s="194" t="str">
        <f>'Critères et tests'!B95</f>
        <v>NAVIGATION</v>
      </c>
      <c r="B96" s="95" t="str">
        <f>'Critères et tests'!$A95</f>
        <v>12.10</v>
      </c>
      <c r="C96" s="28" t="str">
        <f>'Critères et tests'!$C95</f>
        <v>A</v>
      </c>
      <c r="D96" s="32" t="str">
        <f>'Critères et tests'!$E95</f>
        <v>Dans chaque page web, les raccourcis clavier n’utilisant qu’une seule touche (lettre minuscule ou majuscule, ponctuation, chiffre ou symbole) sont-ils contrôlables par l’utilisateur ?</v>
      </c>
      <c r="E96" s="147"/>
      <c r="F96" s="147" t="str">
        <f>IF(Transverse!E96="","",Transverse!E96)</f>
        <v/>
      </c>
      <c r="G96" s="47"/>
      <c r="H96" s="47"/>
      <c r="I96" s="32" t="str">
        <f>'Critères et tests'!$H95</f>
        <v>Important à principale</v>
      </c>
      <c r="J96" s="29"/>
      <c r="K96" s="84"/>
    </row>
    <row r="97" spans="1:11" ht="77.25" customHeight="1">
      <c r="A97" s="194" t="str">
        <f>'Critères et tests'!B96</f>
        <v>NAVIGATION</v>
      </c>
      <c r="B97" s="95" t="str">
        <f>'Critères et tests'!$A96</f>
        <v>12.11</v>
      </c>
      <c r="C97" s="28" t="str">
        <f>'Critères et tests'!$C96</f>
        <v>A</v>
      </c>
      <c r="D97" s="32" t="str">
        <f>'Critères et tests'!$E96</f>
        <v>Dans chaque page web, les contenus additionnels apparaissant au survol, à la prise de focus ou à l’activation d’un composant d’interface sont-ils si nécessaire atteignables au clavier ?</v>
      </c>
      <c r="E97" s="147"/>
      <c r="F97" s="147" t="str">
        <f>IF(Transverse!E97="","",Transverse!E97)</f>
        <v/>
      </c>
      <c r="G97" s="47"/>
      <c r="H97" s="47"/>
      <c r="I97" s="32" t="str">
        <f>'Critères et tests'!$H96</f>
        <v>Important à principale</v>
      </c>
      <c r="J97" s="29"/>
      <c r="K97" s="84"/>
    </row>
    <row r="98" spans="1:11" ht="77.25" customHeight="1">
      <c r="A98" s="194" t="str">
        <f>'Critères et tests'!B97</f>
        <v>CONSULTATION</v>
      </c>
      <c r="B98" s="95" t="str">
        <f>'Critères et tests'!$A97</f>
        <v>13.1</v>
      </c>
      <c r="C98" s="28" t="str">
        <f>'Critères et tests'!$C97</f>
        <v>A</v>
      </c>
      <c r="D98" s="32" t="str">
        <f>'Critères et tests'!$E97</f>
        <v>Pour chaque page web, l’utilisateur a-t-il le contrôle de chaque limite de temps modifiant le contenu (hors cas particuliers) ?</v>
      </c>
      <c r="E98" s="147"/>
      <c r="F98" s="147" t="str">
        <f>IF(Transverse!E98="","",Transverse!E98)</f>
        <v/>
      </c>
      <c r="G98" s="47"/>
      <c r="H98" s="47"/>
      <c r="I98" s="32" t="str">
        <f>'Critères et tests'!$H97</f>
        <v>Important à principale</v>
      </c>
      <c r="J98" s="29"/>
      <c r="K98" s="84"/>
    </row>
    <row r="99" spans="1:11" ht="77.25" customHeight="1">
      <c r="A99" s="194" t="str">
        <f>'Critères et tests'!B98</f>
        <v>CONSULTATION</v>
      </c>
      <c r="B99" s="95" t="str">
        <f>'Critères et tests'!$A98</f>
        <v>13.2</v>
      </c>
      <c r="C99" s="28" t="str">
        <f>'Critères et tests'!$C98</f>
        <v>A</v>
      </c>
      <c r="D99" s="32" t="str">
        <f>'Critères et tests'!$E98</f>
        <v>Dans chaque page web, l’ouverture d’une nouvelle fenêtre ne doit pas être déclenchée sans action de l’utilisateur. Cette règle est-elle respectée ?</v>
      </c>
      <c r="E99" s="147"/>
      <c r="F99" s="147" t="str">
        <f>IF(Transverse!E99="","",Transverse!E99)</f>
        <v/>
      </c>
      <c r="G99" s="47"/>
      <c r="H99" s="47"/>
      <c r="I99" s="32" t="str">
        <f>'Critères et tests'!$H98</f>
        <v>Important à principale</v>
      </c>
      <c r="J99" s="29"/>
      <c r="K99" s="84"/>
    </row>
    <row r="100" spans="1:11" ht="77.25" customHeight="1">
      <c r="A100" s="194" t="str">
        <f>'Critères et tests'!B99</f>
        <v>CONSULTATION</v>
      </c>
      <c r="B100" s="95" t="str">
        <f>'Critères et tests'!$A99</f>
        <v>13.3</v>
      </c>
      <c r="C100" s="28" t="str">
        <f>'Critères et tests'!$C99</f>
        <v>A</v>
      </c>
      <c r="D100" s="32" t="str">
        <f>'Critères et tests'!$E99</f>
        <v>Dans chaque page web, chaque document bureautique en téléchargement possède-t-il, si nécessaire, une version accessible (hors cas particuliers) ?</v>
      </c>
      <c r="E100" s="147"/>
      <c r="F100" s="147" t="str">
        <f>IF(Transverse!E100="","",Transverse!E100)</f>
        <v/>
      </c>
      <c r="G100" s="47"/>
      <c r="H100" s="47"/>
      <c r="I100" s="32" t="str">
        <f>'Critères et tests'!$H99</f>
        <v>Important à principale</v>
      </c>
      <c r="J100" s="29"/>
      <c r="K100" s="84"/>
    </row>
    <row r="101" spans="1:11" ht="77.25" customHeight="1">
      <c r="A101" s="194" t="str">
        <f>'Critères et tests'!B100</f>
        <v>CONSULTATION</v>
      </c>
      <c r="B101" s="95" t="str">
        <f>'Critères et tests'!$A100</f>
        <v>13.4</v>
      </c>
      <c r="C101" s="28" t="str">
        <f>'Critères et tests'!$C100</f>
        <v>A</v>
      </c>
      <c r="D101" s="32" t="str">
        <f>'Critères et tests'!$E100</f>
        <v>Pour chaque document bureautique ayant une version accessible, cette version offre-t-elle la même information ?</v>
      </c>
      <c r="E101" s="147"/>
      <c r="F101" s="147" t="str">
        <f>IF(Transverse!E101="","",Transverse!E101)</f>
        <v/>
      </c>
      <c r="G101" s="47"/>
      <c r="H101" s="47"/>
      <c r="I101" s="32" t="str">
        <f>'Critères et tests'!$H100</f>
        <v>Important à principale</v>
      </c>
      <c r="J101" s="29"/>
      <c r="K101" s="84"/>
    </row>
    <row r="102" spans="1:11" ht="77.25" customHeight="1">
      <c r="A102" s="194" t="str">
        <f>'Critères et tests'!B101</f>
        <v>CONSULTATION</v>
      </c>
      <c r="B102" s="95" t="str">
        <f>'Critères et tests'!$A101</f>
        <v>13.5</v>
      </c>
      <c r="C102" s="28" t="str">
        <f>'Critères et tests'!$C101</f>
        <v>A</v>
      </c>
      <c r="D102" s="32" t="str">
        <f>'Critères et tests'!$E101</f>
        <v>Dans chaque page web, chaque contenu cryptique (art ASCII, émoticon, syntaxe cryptique) a-t-il une alternative ?</v>
      </c>
      <c r="E102" s="147"/>
      <c r="F102" s="147" t="str">
        <f>IF(Transverse!E102="","",Transverse!E102)</f>
        <v/>
      </c>
      <c r="G102" s="47"/>
      <c r="H102" s="47"/>
      <c r="I102" s="32" t="str">
        <f>'Critères et tests'!$H101</f>
        <v>Important à principale</v>
      </c>
      <c r="J102" s="29"/>
      <c r="K102" s="84"/>
    </row>
    <row r="103" spans="1:11" ht="77.25" customHeight="1">
      <c r="A103" s="194" t="str">
        <f>'Critères et tests'!B102</f>
        <v>CONSULTATION</v>
      </c>
      <c r="B103" s="95" t="str">
        <f>'Critères et tests'!$A102</f>
        <v>13.6</v>
      </c>
      <c r="C103" s="28" t="str">
        <f>'Critères et tests'!$C102</f>
        <v>A</v>
      </c>
      <c r="D103" s="32" t="str">
        <f>'Critères et tests'!$E102</f>
        <v>Dans chaque page web, pour chaque contenu cryptique (art ASCII, émoticon, syntaxe cryptique) ayant une alternative, cette alternative est-elle pertinente ?</v>
      </c>
      <c r="E103" s="147"/>
      <c r="F103" s="147" t="str">
        <f>IF(Transverse!E103="","",Transverse!E103)</f>
        <v/>
      </c>
      <c r="G103" s="47"/>
      <c r="H103" s="47"/>
      <c r="I103" s="32" t="str">
        <f>'Critères et tests'!$H102</f>
        <v>Important à principale</v>
      </c>
      <c r="J103" s="29"/>
      <c r="K103" s="84"/>
    </row>
    <row r="104" spans="1:11" ht="77.25" customHeight="1">
      <c r="A104" s="194" t="str">
        <f>'Critères et tests'!B103</f>
        <v>CONSULTATION</v>
      </c>
      <c r="B104" s="95" t="str">
        <f>'Critères et tests'!$A103</f>
        <v>13.7</v>
      </c>
      <c r="C104" s="28" t="str">
        <f>'Critères et tests'!$C103</f>
        <v>A</v>
      </c>
      <c r="D104" s="32" t="str">
        <f>'Critères et tests'!$E103</f>
        <v>Dans chaque page web, les changements brusques de luminosité ou les effets de flash sont-ils correctement utilisés ?</v>
      </c>
      <c r="E104" s="147"/>
      <c r="F104" s="147" t="str">
        <f>IF(Transverse!E104="","",Transverse!E104)</f>
        <v/>
      </c>
      <c r="G104" s="47"/>
      <c r="H104" s="47"/>
      <c r="I104" s="32" t="str">
        <f>'Critères et tests'!$H103</f>
        <v>Important à principale</v>
      </c>
      <c r="J104" s="29"/>
      <c r="K104" s="84"/>
    </row>
    <row r="105" spans="1:11" ht="77.25" customHeight="1">
      <c r="A105" s="194" t="str">
        <f>'Critères et tests'!B104</f>
        <v>CONSULTATION</v>
      </c>
      <c r="B105" s="95" t="str">
        <f>'Critères et tests'!$A104</f>
        <v>13.8</v>
      </c>
      <c r="C105" s="28" t="str">
        <f>'Critères et tests'!$C104</f>
        <v>A</v>
      </c>
      <c r="D105" s="32" t="str">
        <f>'Critères et tests'!$E104</f>
        <v>Dans chaque page web, chaque contenu en mouvement ou clignotant est-il contrôlable par l’utilisateur ?</v>
      </c>
      <c r="E105" s="147"/>
      <c r="F105" s="147" t="str">
        <f>IF(Transverse!E105="","",Transverse!E105)</f>
        <v/>
      </c>
      <c r="G105" s="47"/>
      <c r="H105" s="47"/>
      <c r="I105" s="32" t="str">
        <f>'Critères et tests'!$H104</f>
        <v>Important à principale</v>
      </c>
      <c r="J105" s="29"/>
      <c r="K105" s="84"/>
    </row>
    <row r="106" spans="1:11" ht="77.25" customHeight="1">
      <c r="A106" s="194" t="str">
        <f>'Critères et tests'!B105</f>
        <v>CONSULTATION</v>
      </c>
      <c r="B106" s="95" t="str">
        <f>'Critères et tests'!$A105</f>
        <v>13.9</v>
      </c>
      <c r="C106" s="28" t="str">
        <f>'Critères et tests'!$C105</f>
        <v>AA</v>
      </c>
      <c r="D106" s="32" t="str">
        <f>'Critères et tests'!$E105</f>
        <v>Dans chaque page web, le contenu proposé est-il consultable, quelle que soit l’orientation de l’écran (portrait ou paysage) (hors cas particuliers) ?</v>
      </c>
      <c r="E106" s="147"/>
      <c r="F106" s="147" t="str">
        <f>IF(Transverse!E106="","",Transverse!E106)</f>
        <v/>
      </c>
      <c r="G106" s="47"/>
      <c r="H106" s="47"/>
      <c r="I106" s="32" t="str">
        <f>'Critères et tests'!$H105</f>
        <v>Important à principale</v>
      </c>
      <c r="J106" s="29"/>
      <c r="K106" s="84"/>
    </row>
    <row r="107" spans="1:11" ht="77.25" customHeight="1">
      <c r="A107" s="194" t="str">
        <f>'Critères et tests'!B106</f>
        <v>CONSULTATION</v>
      </c>
      <c r="B107" s="95" t="str">
        <f>'Critères et tests'!$A106</f>
        <v>13.10</v>
      </c>
      <c r="C107" s="28" t="str">
        <f>'Critères et tests'!$C106</f>
        <v>AA</v>
      </c>
      <c r="D107" s="32" t="str">
        <f>'Critères et tests'!$E106</f>
        <v>Dans chaque page web, les fonctionnalités utilisables ou disponibles au moyen d’un geste complexe peuvent-elles être également disponibles au moyen d’un geste simple (hors cas particuliers) ?</v>
      </c>
      <c r="E107" s="147"/>
      <c r="F107" s="147" t="str">
        <f>IF(Transverse!E107="","",Transverse!E107)</f>
        <v/>
      </c>
      <c r="G107" s="47"/>
      <c r="H107" s="47"/>
      <c r="I107" s="32" t="str">
        <f>'Critères et tests'!$H106</f>
        <v>Important à principale</v>
      </c>
      <c r="J107" s="29"/>
      <c r="K107" s="84"/>
    </row>
    <row r="108" spans="1:11" ht="77.25" customHeight="1">
      <c r="A108" s="194" t="str">
        <f>'Critères et tests'!B107</f>
        <v>CONSULTATION</v>
      </c>
      <c r="B108" s="95" t="str">
        <f>'Critères et tests'!$A107</f>
        <v>13.11</v>
      </c>
      <c r="C108" s="28" t="str">
        <f>'Critères et tests'!$C107</f>
        <v>AA</v>
      </c>
      <c r="D108" s="32" t="str">
        <f>'Critères et tests'!$E107</f>
        <v>Dans chaque page web, les actions déclenchées au moyen d’un dispositif de pointage sur un point unique de l’écran peuvent-elles faire l’objet d’une annulation (hors cas particuliers) ?</v>
      </c>
      <c r="E108" s="147"/>
      <c r="F108" s="147" t="str">
        <f>IF(Transverse!E108="","",Transverse!E108)</f>
        <v/>
      </c>
      <c r="G108" s="47"/>
      <c r="H108" s="47"/>
      <c r="I108" s="32" t="str">
        <f>'Critères et tests'!$H107</f>
        <v>Moyen à important</v>
      </c>
      <c r="J108" s="29"/>
      <c r="K108" s="84"/>
    </row>
    <row r="109" spans="1:11" ht="77.25" customHeight="1">
      <c r="A109" s="194" t="str">
        <f>'Critères et tests'!B108</f>
        <v>CONSULTATION</v>
      </c>
      <c r="B109" s="95" t="str">
        <f>'Critères et tests'!$A108</f>
        <v>13.12</v>
      </c>
      <c r="C109" s="28" t="str">
        <f>'Critères et tests'!$C108</f>
        <v>A</v>
      </c>
      <c r="D109" s="32" t="str">
        <f>'Critères et tests'!$E108</f>
        <v>Dans chaque page web, les fonctionnalités qui impliquent un mouvement de l’appareil ou vers l’appareil peuvent-elles être satisfaites de manière alternative (hors cas particuliers) ?</v>
      </c>
      <c r="E109" s="147"/>
      <c r="F109" s="147" t="str">
        <f>IF(Transverse!E109="","",Transverse!E109)</f>
        <v/>
      </c>
      <c r="G109" s="47"/>
      <c r="H109" s="47"/>
      <c r="I109" s="32" t="str">
        <f>'Critères et tests'!$H108</f>
        <v>Moyen à important</v>
      </c>
      <c r="J109" s="29"/>
      <c r="K109" s="84"/>
    </row>
    <row r="110" spans="1:11" ht="30" customHeight="1">
      <c r="A110" s="132"/>
      <c r="B110" s="127"/>
      <c r="C110" s="133" t="s">
        <v>433</v>
      </c>
      <c r="D110" s="134" t="s">
        <v>45</v>
      </c>
      <c r="E110" s="135">
        <f t="shared" ref="E110" si="0">COUNTIF(E4:E109,"C*")</f>
        <v>0</v>
      </c>
      <c r="F110" s="147"/>
    </row>
    <row r="111" spans="1:11" ht="30" customHeight="1">
      <c r="A111" s="126"/>
      <c r="B111" s="127"/>
      <c r="C111" s="127"/>
      <c r="D111" s="136" t="s">
        <v>46</v>
      </c>
      <c r="E111" s="137">
        <f t="shared" ref="E111" si="1">COUNTIF(E4:E109,"NC*")</f>
        <v>0</v>
      </c>
      <c r="F111" s="147"/>
    </row>
    <row r="112" spans="1:11" ht="30" customHeight="1">
      <c r="A112" s="126"/>
      <c r="B112" s="127"/>
      <c r="C112" s="127"/>
      <c r="D112" s="138" t="s">
        <v>47</v>
      </c>
      <c r="E112" s="139">
        <f t="shared" ref="E112" si="2">COUNTIF(E4:E109,"NA")</f>
        <v>0</v>
      </c>
      <c r="F112" s="147"/>
    </row>
  </sheetData>
  <dataValidations count="1">
    <dataValidation type="list" showErrorMessage="1" errorTitle="Le statut est incorrect" error="Indiquez C : Si le critère est correcte_x000a_Indiquez NC : Si le critère est incorrecte_x000a_Indiquez NA : Si le critère est non applicable_x000a_Indiquez NT: Si le critère  est non tester ou bien qu'un dout subsiste" promptTitle="Utilisez les majuscules" sqref="E110:E112" xr:uid="{F54BC444-E7BA-4AE1-93AD-5A5A2A94A18F}">
      <formula1>"C,NC,NA,NT"</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44288029DB3D4AAE9EBF20F01F9057" ma:contentTypeVersion="14" ma:contentTypeDescription="Create a new document." ma:contentTypeScope="" ma:versionID="5dba2459d4440ac5d2932d033aa1770a">
  <xsd:schema xmlns:xsd="http://www.w3.org/2001/XMLSchema" xmlns:xs="http://www.w3.org/2001/XMLSchema" xmlns:p="http://schemas.microsoft.com/office/2006/metadata/properties" xmlns:ns2="ba06b4d6-fd77-4015-860b-6701aa755dda" xmlns:ns3="ffe1ba2d-7740-49bb-b1e6-3954149b4b5c" targetNamespace="http://schemas.microsoft.com/office/2006/metadata/properties" ma:root="true" ma:fieldsID="50ac98027a56133457ab4865b2aa716b" ns2:_="" ns3:_="">
    <xsd:import namespace="ba06b4d6-fd77-4015-860b-6701aa755dda"/>
    <xsd:import namespace="ffe1ba2d-7740-49bb-b1e6-3954149b4b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06b4d6-fd77-4015-860b-6701aa755d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fe1ba2d-7740-49bb-b1e6-3954149b4b5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cd26ffc-c5ee-4235-a138-ff0adb5cd07a}" ma:internalName="TaxCatchAll" ma:showField="CatchAllData" ma:web="ffe1ba2d-7740-49bb-b1e6-3954149b4b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a06b4d6-fd77-4015-860b-6701aa755dda">
      <Terms xmlns="http://schemas.microsoft.com/office/infopath/2007/PartnerControls"/>
    </lcf76f155ced4ddcb4097134ff3c332f>
    <TaxCatchAll xmlns="ffe1ba2d-7740-49bb-b1e6-3954149b4b5c" xsi:nil="true"/>
    <SharedWithUsers xmlns="ffe1ba2d-7740-49bb-b1e6-3954149b4b5c">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C5E871-93F0-446D-BBDD-54DD9BB528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06b4d6-fd77-4015-860b-6701aa755dda"/>
    <ds:schemaRef ds:uri="ffe1ba2d-7740-49bb-b1e6-3954149b4b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B78832-95E3-41E4-BF10-57891BAC8573}">
  <ds:schemaRefs>
    <ds:schemaRef ds:uri="http://schemas.microsoft.com/office/2006/metadata/properties"/>
    <ds:schemaRef ds:uri="http://schemas.microsoft.com/office/infopath/2007/PartnerControls"/>
    <ds:schemaRef ds:uri="ba06b4d6-fd77-4015-860b-6701aa755dda"/>
    <ds:schemaRef ds:uri="ffe1ba2d-7740-49bb-b1e6-3954149b4b5c"/>
  </ds:schemaRefs>
</ds:datastoreItem>
</file>

<file path=customXml/itemProps3.xml><?xml version="1.0" encoding="utf-8"?>
<ds:datastoreItem xmlns:ds="http://schemas.openxmlformats.org/officeDocument/2006/customXml" ds:itemID="{649F707A-187C-4650-97EF-C78B07F64F1A}">
  <ds:schemaRefs>
    <ds:schemaRef ds:uri="http://schemas.microsoft.com/sharepoint/v3/contenttype/forms"/>
  </ds:schemaRefs>
</ds:datastoreItem>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45</vt:i4>
      </vt:variant>
      <vt:variant>
        <vt:lpstr>Plages nommées</vt:lpstr>
      </vt:variant>
      <vt:variant>
        <vt:i4>1</vt:i4>
      </vt:variant>
    </vt:vector>
  </HeadingPairs>
  <TitlesOfParts>
    <vt:vector size="46" baseType="lpstr">
      <vt:lpstr>Échantillon</vt:lpstr>
      <vt:lpstr>Synthèse</vt:lpstr>
      <vt:lpstr>Critères et tests</vt:lpstr>
      <vt:lpstr>Visualisation d'ensemble</vt:lpstr>
      <vt:lpstr>Transverse</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P18</vt:lpstr>
      <vt:lpstr>P19</vt:lpstr>
      <vt:lpstr>P20</vt:lpstr>
      <vt:lpstr>P21</vt:lpstr>
      <vt:lpstr>P22</vt:lpstr>
      <vt:lpstr>P23</vt:lpstr>
      <vt:lpstr>P24</vt:lpstr>
      <vt:lpstr>P25</vt:lpstr>
      <vt:lpstr>P26</vt:lpstr>
      <vt:lpstr>P27</vt:lpstr>
      <vt:lpstr>P28</vt:lpstr>
      <vt:lpstr>P29</vt:lpstr>
      <vt:lpstr>P30</vt:lpstr>
      <vt:lpstr>P31</vt:lpstr>
      <vt:lpstr>P32</vt:lpstr>
      <vt:lpstr>P33</vt:lpstr>
      <vt:lpstr>P34</vt:lpstr>
      <vt:lpstr>P35</vt:lpstr>
      <vt:lpstr>P36</vt:lpstr>
      <vt:lpstr>P37</vt:lpstr>
      <vt:lpstr>P38</vt:lpstr>
      <vt:lpstr>P39</vt:lpstr>
      <vt:lpstr>P40</vt:lpstr>
      <vt:lpstr>P21_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RGAA 4.1.2- Capgemini v4.0</dc:title>
  <dc:subject/>
  <dc:creator>CHARDONNET, Anthony</dc:creator>
  <cp:keywords/>
  <dc:description/>
  <cp:lastModifiedBy>LANTOINE, Loic</cp:lastModifiedBy>
  <cp:revision/>
  <dcterms:created xsi:type="dcterms:W3CDTF">2021-12-21T08:46:26Z</dcterms:created>
  <dcterms:modified xsi:type="dcterms:W3CDTF">2025-10-06T10:31:15Z</dcterms:modified>
  <cp:category>RGAA</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0x0101004144288029DB3D4AAE9EBF20F01F9057</vt:lpwstr>
  </property>
  <property fmtid="{D5CDD505-2E9C-101B-9397-08002B2CF9AE}" pid="3" name="MediaServiceImageTags">
    <vt:lpwstr/>
  </property>
  <property fmtid="{D5CDD505-2E9C-101B-9397-08002B2CF9AE}" pid="4" name="Order">
    <vt:r8>228200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